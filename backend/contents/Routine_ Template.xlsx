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57DFE019-2A52-4306-B85F-B74775151C30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Summary" sheetId="1" r:id="rId1"/>
    <sheet name="Lists" sheetId="2" r:id="rId2"/>
    <sheet name="Config" sheetId="3" r:id="rId3"/>
    <sheet name="Year_Sem" sheetId="4" r:id="rId4"/>
    <sheet name="Teachers" sheetId="5" r:id="rId5"/>
    <sheet name="Credit_Rules" sheetId="6" r:id="rId6"/>
    <sheet name="Courses" sheetId="7" r:id="rId7"/>
    <sheet name="Rooms" sheetId="8" r:id="rId8"/>
    <sheet name="Room_Preference" sheetId="9" r:id="rId9"/>
    <sheet name="Day_Preference" sheetId="10" r:id="rId10"/>
    <sheet name="Teacher_Unavailability" sheetId="11" r:id="rId11"/>
  </sheets>
  <definedNames>
    <definedName name="dep_Animal_Science_and_Veterinary_Medicine_Faculty">OFFSET(Lists!$Y$2,0,0,COUNTA(Lists!$Y$2:$Y$200),1)</definedName>
    <definedName name="dep_Business_Studies_Faculty">OFFSET(Lists!$V$2,0,0,COUNTA(Lists!$V$2:$V$200),1)</definedName>
    <definedName name="dep_Engineering_Faculty">OFFSET(Lists!$Q$2,0,0,COUNTA(Lists!$Q$2:$Q$200),1)</definedName>
    <definedName name="dep_Faculty_of_Agriculture">OFFSET(Lists!$X$2,0,0,COUNTA(Lists!$X$2:$X$200),1)</definedName>
    <definedName name="dep_Faculty_of_Agriculture_Sheikh_Hasina_Agriculture_Institute">OFFSET(Lists!$Y$2,0,0,COUNTA(Lists!$Y$2:$Y$200),1)</definedName>
    <definedName name="dep_Humanities_Faculty_Faculty_of_Arts">OFFSET(Lists!$T$2,0,0,COUNTA(Lists!$T$2:$T$200),1)</definedName>
    <definedName name="dep_Law_Faculty">OFFSET(Lists!$W$2,0,0,COUNTA(Lists!$W$2:$W$200),1)</definedName>
    <definedName name="dep_Life_Science_Faculty">OFFSET(Lists!$S$2,0,0,COUNTA(Lists!$S$2:$S$200),1)</definedName>
    <definedName name="dep_Science_Faculty">OFFSET(Lists!$R$2,0,0,COUNTA(Lists!$R$2:$R$200),1)</definedName>
    <definedName name="dep_Social_Science_Faculty">OFFSET(Lists!$U$2,0,0,COUNTA(Lists!$U$2:$U$200),1)</definedName>
    <definedName name="dv_ConfigDepartment">OFFSET(Lists!$D$2,0,0,COUNTA(Lists!$D$2:$D$200),1)</definedName>
    <definedName name="dv_ConfigDepartmentByFaculty">OFFSET(Lists!$AA$2,0,0,COUNTA(Lists!$AA$2:$AA$21),1)</definedName>
    <definedName name="dv_ConfigSemester">OFFSET(Lists!$B$2,0,0,COUNTA(Lists!$B$2:$B$200),1)</definedName>
    <definedName name="dv_ConfigYear">OFFSET(Lists!$A$2,0,0,COUNTA(Lists!$A$2:$A$200),1)</definedName>
    <definedName name="dv_CreditType">OFFSET(Lists!$K$2,0,0,COUNTA(Lists!$K$2:$K$200),1)</definedName>
    <definedName name="dv_CreditValue">OFFSET(Credit_Rules!$A$2,0,0,COUNTA(Credit_Rules!$A$2:$A$1000),1)</definedName>
    <definedName name="dv_Day">OFFSET(Lists!$M$2,0,0,COUNTA(Lists!$M$2:$M$200),1)</definedName>
    <definedName name="dv_Department">OFFSET(Lists!$D$2,0,0,COUNTA(Lists!$D$2:$D$200),1)</definedName>
    <definedName name="dv_Designation">OFFSET(Lists!$E$2,0,0,COUNTA(Lists!$E$2:$E$200),1)</definedName>
    <definedName name="dv_Faculty">OFFSET(Lists!$C$2,0,0,COUNTA(Lists!$C$2:$C$200),1)</definedName>
    <definedName name="dv_RoomID">OFFSET(Rooms!$A$2,0,0,COUNTA(Rooms!$A$2:$A$1000),1)</definedName>
    <definedName name="dv_RoomType">OFFSET(Lists!$L$2,0,0,COUNTA(Lists!$L$2:$L$200),1)</definedName>
    <definedName name="dv_Semester">OFFSET(Lists!$H$2,0,0,COUNTA(Lists!$H$2:$H$200),1)</definedName>
    <definedName name="dv_TeacherAbbr">OFFSET(Teachers!$B$2,0,0,COUNTA(Teachers!$B$2:$B$1000),1)</definedName>
    <definedName name="dv_Time">OFFSET(Lists!$F$2,0,0,COUNTA(Lists!$F$2:$F$200),1)</definedName>
    <definedName name="dv_Year">OFFSET(Lists!$G$2,0,0,COUNTA(Lists!$G$2:$G$200),1)</definedName>
    <definedName name="dv_YearGroup">OFFSET(Lists!$J$2,0,0,COUNTA(Lists!$J$2:$J$200),1)</definedName>
    <definedName name="dv_YearSem">OFFSET(Year_Sem!$F$2,0,0,COUNTIF(Year_Sem!$F$2:$F$1000,"?*"),1)</definedName>
    <definedName name="dv_YearSemEntry">OFFSET(Lists!$I$2,0,0,COUNTA(Lists!$I$2:$I$200),1)</definedName>
    <definedName name="dv_YesNo">OFFSET(Lists!$N$2,0,0,COUNTA(Lists!$N$2:$N$200),1)</definedName>
    <definedName name="_xlnm.Print_Area" localSheetId="0">Summary!$A$1:$C$33</definedName>
    <definedName name="rng_Courses">OFFSET(Courses!$A$2,0,0,MAX(1,COUNTIF(Courses!$A:$A,"?*")),6)</definedName>
    <definedName name="rng_Credit_Rules">OFFSET(Credit_Rules!$A$2,0,0,MAX(1,COUNTIF(Credit_Rules!$A:$A,"?*")),4)</definedName>
    <definedName name="rng_Day_Preference">OFFSET(Day_Preference!$A$2,0,0,MAX(1,COUNTIF(Day_Preference!$A:$A,"?*")),4)</definedName>
    <definedName name="rng_Room_Preference">OFFSET(Room_Preference!$A$2,0,0,MAX(1,COUNTIF(Room_Preference!$A:$A,"?*")),3)</definedName>
    <definedName name="rng_Rooms">OFFSET(Rooms!$A$2,0,0,MAX(1,COUNTIF(Rooms!$A:$A,"?*")),3)</definedName>
    <definedName name="rng_Teacher_Unavailability">OFFSET(Teacher_Unavailability!$A$2,0,0,MAX(1,COUNTIF(Teacher_Unavailability!$A:$A,"?*")),4)</definedName>
    <definedName name="rng_Teachers">OFFSET(Teachers!$A$2,0,0,MAX(1,COUNTIF(Teachers!$A:$A,"?*")),4)</definedName>
    <definedName name="rng_Year_Sem">OFFSET(Year_Sem!$A$2,0,0,MAX(1,COUNTIF(Year_Sem!$A:$A,"?*")),5)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0" i="11" l="1"/>
  <c r="E499" i="11"/>
  <c r="E498" i="11"/>
  <c r="E497" i="11"/>
  <c r="E496" i="11"/>
  <c r="E495" i="11"/>
  <c r="E494" i="11"/>
  <c r="E493" i="11"/>
  <c r="E492" i="11"/>
  <c r="E491" i="11"/>
  <c r="E490" i="11"/>
  <c r="E489" i="11"/>
  <c r="E488" i="11"/>
  <c r="E487" i="11"/>
  <c r="E486" i="11"/>
  <c r="E485" i="11"/>
  <c r="E484" i="11"/>
  <c r="E483" i="11"/>
  <c r="E482" i="11"/>
  <c r="E481" i="11"/>
  <c r="E480" i="11"/>
  <c r="E479" i="11"/>
  <c r="E478" i="11"/>
  <c r="E477" i="11"/>
  <c r="E476" i="11"/>
  <c r="E475" i="11"/>
  <c r="E474" i="11"/>
  <c r="E473" i="11"/>
  <c r="E472" i="11"/>
  <c r="E471" i="11"/>
  <c r="E470" i="11"/>
  <c r="E469" i="11"/>
  <c r="E468" i="11"/>
  <c r="E467" i="11"/>
  <c r="E466" i="11"/>
  <c r="E465" i="11"/>
  <c r="E464" i="11"/>
  <c r="E463" i="11"/>
  <c r="E462" i="11"/>
  <c r="E461" i="11"/>
  <c r="E460" i="11"/>
  <c r="E459" i="11"/>
  <c r="E458" i="11"/>
  <c r="E457" i="11"/>
  <c r="E456" i="11"/>
  <c r="E455" i="11"/>
  <c r="E454" i="11"/>
  <c r="E453" i="11"/>
  <c r="E452" i="11"/>
  <c r="E451" i="11"/>
  <c r="E450" i="11"/>
  <c r="E449" i="11"/>
  <c r="E448" i="11"/>
  <c r="E447" i="11"/>
  <c r="E446" i="11"/>
  <c r="E445" i="11"/>
  <c r="E444" i="11"/>
  <c r="E443" i="11"/>
  <c r="E442" i="11"/>
  <c r="E441" i="11"/>
  <c r="E440" i="11"/>
  <c r="E439" i="11"/>
  <c r="E438" i="11"/>
  <c r="E437" i="11"/>
  <c r="E436" i="11"/>
  <c r="E435" i="11"/>
  <c r="E434" i="11"/>
  <c r="E433" i="11"/>
  <c r="E432" i="11"/>
  <c r="E431" i="11"/>
  <c r="E430" i="11"/>
  <c r="E429" i="11"/>
  <c r="E428" i="11"/>
  <c r="E427" i="11"/>
  <c r="E426" i="11"/>
  <c r="E425" i="11"/>
  <c r="E424" i="11"/>
  <c r="E423" i="11"/>
  <c r="E422" i="11"/>
  <c r="E421" i="11"/>
  <c r="E420" i="11"/>
  <c r="E419" i="11"/>
  <c r="E418" i="11"/>
  <c r="E417" i="11"/>
  <c r="E416" i="11"/>
  <c r="E415" i="11"/>
  <c r="E414" i="11"/>
  <c r="E413" i="11"/>
  <c r="E412" i="11"/>
  <c r="E411" i="11"/>
  <c r="E410" i="11"/>
  <c r="E409" i="11"/>
  <c r="E408" i="11"/>
  <c r="E407" i="11"/>
  <c r="E406" i="11"/>
  <c r="E405" i="11"/>
  <c r="E404" i="11"/>
  <c r="E403" i="11"/>
  <c r="E402" i="11"/>
  <c r="E401" i="11"/>
  <c r="E400" i="11"/>
  <c r="E399" i="11"/>
  <c r="E398" i="11"/>
  <c r="E397" i="11"/>
  <c r="E396" i="11"/>
  <c r="E395" i="11"/>
  <c r="E394" i="11"/>
  <c r="E393" i="11"/>
  <c r="E392" i="11"/>
  <c r="E391" i="11"/>
  <c r="E390" i="11"/>
  <c r="E389" i="11"/>
  <c r="E388" i="11"/>
  <c r="E387" i="11"/>
  <c r="E386" i="11"/>
  <c r="E385" i="11"/>
  <c r="E384" i="11"/>
  <c r="E383" i="11"/>
  <c r="E382" i="11"/>
  <c r="E381" i="11"/>
  <c r="E380" i="11"/>
  <c r="E379" i="11"/>
  <c r="E378" i="11"/>
  <c r="E377" i="11"/>
  <c r="E376" i="11"/>
  <c r="E375" i="11"/>
  <c r="E374" i="11"/>
  <c r="E373" i="11"/>
  <c r="E372" i="11"/>
  <c r="E371" i="11"/>
  <c r="E370" i="11"/>
  <c r="E369" i="11"/>
  <c r="E368" i="11"/>
  <c r="E367" i="11"/>
  <c r="E366" i="11"/>
  <c r="E365" i="11"/>
  <c r="E364" i="11"/>
  <c r="E363" i="11"/>
  <c r="E362" i="11"/>
  <c r="E361" i="11"/>
  <c r="E360" i="11"/>
  <c r="E359" i="11"/>
  <c r="E358" i="11"/>
  <c r="E357" i="11"/>
  <c r="E356" i="11"/>
  <c r="E355" i="11"/>
  <c r="E354" i="11"/>
  <c r="E353" i="11"/>
  <c r="E352" i="11"/>
  <c r="E351" i="11"/>
  <c r="E350" i="11"/>
  <c r="E349" i="11"/>
  <c r="E348" i="11"/>
  <c r="E347" i="11"/>
  <c r="E346" i="11"/>
  <c r="E345" i="11"/>
  <c r="E344" i="11"/>
  <c r="E343" i="11"/>
  <c r="E342" i="11"/>
  <c r="E341" i="11"/>
  <c r="E340" i="11"/>
  <c r="E339" i="11"/>
  <c r="E338" i="11"/>
  <c r="E337" i="11"/>
  <c r="E336" i="11"/>
  <c r="E335" i="11"/>
  <c r="E334" i="11"/>
  <c r="E333" i="11"/>
  <c r="E332" i="11"/>
  <c r="E331" i="11"/>
  <c r="E330" i="11"/>
  <c r="E329" i="11"/>
  <c r="E328" i="11"/>
  <c r="E327" i="11"/>
  <c r="E326" i="11"/>
  <c r="E325" i="11"/>
  <c r="E324" i="11"/>
  <c r="E323" i="11"/>
  <c r="E322" i="11"/>
  <c r="E321" i="11"/>
  <c r="E320" i="11"/>
  <c r="E319" i="11"/>
  <c r="E318" i="11"/>
  <c r="E317" i="11"/>
  <c r="E316" i="11"/>
  <c r="E315" i="11"/>
  <c r="E314" i="11"/>
  <c r="E313" i="11"/>
  <c r="E312" i="11"/>
  <c r="E311" i="11"/>
  <c r="E310" i="11"/>
  <c r="E309" i="11"/>
  <c r="E308" i="11"/>
  <c r="E307" i="11"/>
  <c r="E306" i="11"/>
  <c r="E305" i="11"/>
  <c r="E304" i="11"/>
  <c r="E303" i="11"/>
  <c r="E302" i="11"/>
  <c r="E301" i="11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B11" i="1" s="1"/>
  <c r="C11" i="1" s="1"/>
  <c r="D500" i="10"/>
  <c r="D499" i="10"/>
  <c r="D498" i="10"/>
  <c r="D497" i="10"/>
  <c r="D496" i="10"/>
  <c r="D495" i="10"/>
  <c r="D494" i="10"/>
  <c r="D493" i="10"/>
  <c r="D492" i="10"/>
  <c r="D491" i="10"/>
  <c r="D490" i="10"/>
  <c r="D489" i="10"/>
  <c r="D488" i="10"/>
  <c r="D487" i="10"/>
  <c r="D486" i="10"/>
  <c r="D485" i="10"/>
  <c r="D484" i="10"/>
  <c r="D483" i="10"/>
  <c r="D482" i="10"/>
  <c r="D481" i="10"/>
  <c r="D480" i="10"/>
  <c r="D479" i="10"/>
  <c r="D478" i="10"/>
  <c r="D477" i="10"/>
  <c r="D476" i="10"/>
  <c r="D475" i="10"/>
  <c r="D474" i="10"/>
  <c r="D473" i="10"/>
  <c r="D472" i="10"/>
  <c r="D471" i="10"/>
  <c r="D470" i="10"/>
  <c r="D469" i="10"/>
  <c r="D468" i="10"/>
  <c r="D467" i="10"/>
  <c r="D466" i="10"/>
  <c r="D465" i="10"/>
  <c r="D464" i="10"/>
  <c r="D463" i="10"/>
  <c r="D462" i="10"/>
  <c r="D461" i="10"/>
  <c r="D460" i="10"/>
  <c r="D459" i="10"/>
  <c r="D458" i="10"/>
  <c r="D457" i="10"/>
  <c r="D456" i="10"/>
  <c r="D455" i="10"/>
  <c r="D454" i="10"/>
  <c r="D453" i="10"/>
  <c r="D452" i="10"/>
  <c r="D451" i="10"/>
  <c r="D450" i="10"/>
  <c r="D449" i="10"/>
  <c r="D448" i="10"/>
  <c r="D447" i="10"/>
  <c r="D446" i="10"/>
  <c r="D445" i="10"/>
  <c r="D444" i="10"/>
  <c r="D443" i="10"/>
  <c r="D442" i="10"/>
  <c r="D441" i="10"/>
  <c r="D440" i="10"/>
  <c r="D439" i="10"/>
  <c r="D438" i="10"/>
  <c r="D437" i="10"/>
  <c r="D436" i="10"/>
  <c r="D435" i="10"/>
  <c r="D434" i="10"/>
  <c r="D433" i="10"/>
  <c r="D432" i="10"/>
  <c r="D431" i="10"/>
  <c r="D430" i="10"/>
  <c r="D429" i="10"/>
  <c r="D428" i="10"/>
  <c r="D427" i="10"/>
  <c r="D426" i="10"/>
  <c r="D425" i="10"/>
  <c r="D424" i="10"/>
  <c r="D423" i="10"/>
  <c r="D422" i="10"/>
  <c r="D421" i="10"/>
  <c r="D420" i="10"/>
  <c r="D419" i="10"/>
  <c r="D418" i="10"/>
  <c r="D417" i="10"/>
  <c r="D416" i="10"/>
  <c r="D415" i="10"/>
  <c r="D414" i="10"/>
  <c r="D413" i="10"/>
  <c r="D412" i="10"/>
  <c r="D411" i="10"/>
  <c r="D410" i="10"/>
  <c r="D409" i="10"/>
  <c r="D408" i="10"/>
  <c r="D407" i="10"/>
  <c r="D406" i="10"/>
  <c r="D405" i="10"/>
  <c r="D404" i="10"/>
  <c r="D403" i="10"/>
  <c r="D402" i="10"/>
  <c r="D401" i="10"/>
  <c r="D400" i="10"/>
  <c r="D399" i="10"/>
  <c r="D398" i="10"/>
  <c r="D397" i="10"/>
  <c r="D396" i="10"/>
  <c r="D395" i="10"/>
  <c r="D394" i="10"/>
  <c r="D393" i="10"/>
  <c r="D392" i="10"/>
  <c r="D391" i="10"/>
  <c r="D390" i="10"/>
  <c r="D389" i="10"/>
  <c r="D388" i="10"/>
  <c r="D387" i="10"/>
  <c r="D386" i="10"/>
  <c r="D385" i="10"/>
  <c r="D384" i="10"/>
  <c r="D383" i="10"/>
  <c r="D382" i="10"/>
  <c r="D381" i="10"/>
  <c r="D380" i="10"/>
  <c r="D379" i="10"/>
  <c r="D378" i="10"/>
  <c r="D377" i="10"/>
  <c r="D376" i="10"/>
  <c r="D375" i="10"/>
  <c r="D374" i="10"/>
  <c r="D373" i="10"/>
  <c r="D372" i="10"/>
  <c r="D371" i="10"/>
  <c r="D370" i="10"/>
  <c r="D369" i="10"/>
  <c r="D368" i="10"/>
  <c r="D367" i="10"/>
  <c r="D366" i="10"/>
  <c r="D365" i="10"/>
  <c r="D364" i="10"/>
  <c r="D363" i="10"/>
  <c r="D362" i="10"/>
  <c r="D361" i="10"/>
  <c r="D360" i="10"/>
  <c r="D359" i="10"/>
  <c r="D358" i="10"/>
  <c r="D357" i="10"/>
  <c r="D356" i="10"/>
  <c r="D355" i="10"/>
  <c r="D354" i="10"/>
  <c r="D353" i="10"/>
  <c r="D352" i="10"/>
  <c r="D351" i="10"/>
  <c r="D350" i="10"/>
  <c r="D349" i="10"/>
  <c r="D348" i="10"/>
  <c r="D347" i="10"/>
  <c r="D346" i="10"/>
  <c r="D345" i="10"/>
  <c r="D344" i="10"/>
  <c r="D343" i="10"/>
  <c r="D342" i="10"/>
  <c r="D341" i="10"/>
  <c r="D340" i="10"/>
  <c r="D339" i="10"/>
  <c r="D338" i="10"/>
  <c r="D337" i="10"/>
  <c r="D336" i="10"/>
  <c r="D335" i="10"/>
  <c r="D334" i="10"/>
  <c r="D333" i="10"/>
  <c r="D332" i="10"/>
  <c r="D331" i="10"/>
  <c r="D330" i="10"/>
  <c r="D329" i="10"/>
  <c r="D328" i="10"/>
  <c r="D327" i="10"/>
  <c r="D326" i="10"/>
  <c r="D325" i="10"/>
  <c r="D324" i="10"/>
  <c r="D323" i="10"/>
  <c r="D322" i="10"/>
  <c r="D321" i="10"/>
  <c r="D320" i="10"/>
  <c r="D319" i="10"/>
  <c r="D318" i="10"/>
  <c r="D317" i="10"/>
  <c r="D316" i="10"/>
  <c r="D315" i="10"/>
  <c r="D314" i="10"/>
  <c r="D313" i="10"/>
  <c r="D312" i="10"/>
  <c r="D311" i="10"/>
  <c r="D310" i="10"/>
  <c r="D309" i="10"/>
  <c r="D308" i="10"/>
  <c r="D307" i="10"/>
  <c r="D306" i="10"/>
  <c r="D305" i="10"/>
  <c r="D304" i="10"/>
  <c r="D303" i="10"/>
  <c r="D302" i="10"/>
  <c r="D301" i="10"/>
  <c r="D300" i="10"/>
  <c r="D299" i="10"/>
  <c r="D298" i="10"/>
  <c r="D297" i="10"/>
  <c r="D296" i="10"/>
  <c r="D295" i="10"/>
  <c r="D294" i="10"/>
  <c r="D293" i="10"/>
  <c r="D292" i="10"/>
  <c r="D291" i="10"/>
  <c r="D290" i="10"/>
  <c r="D289" i="10"/>
  <c r="D288" i="10"/>
  <c r="D287" i="10"/>
  <c r="D286" i="10"/>
  <c r="D285" i="10"/>
  <c r="D284" i="10"/>
  <c r="D283" i="10"/>
  <c r="D282" i="10"/>
  <c r="D281" i="10"/>
  <c r="D280" i="10"/>
  <c r="D279" i="10"/>
  <c r="D278" i="10"/>
  <c r="D277" i="10"/>
  <c r="D276" i="10"/>
  <c r="D275" i="10"/>
  <c r="D274" i="10"/>
  <c r="D273" i="10"/>
  <c r="D272" i="10"/>
  <c r="D271" i="10"/>
  <c r="D270" i="10"/>
  <c r="D269" i="10"/>
  <c r="D268" i="10"/>
  <c r="D267" i="10"/>
  <c r="D266" i="10"/>
  <c r="D265" i="10"/>
  <c r="D264" i="10"/>
  <c r="D263" i="10"/>
  <c r="D262" i="10"/>
  <c r="D261" i="10"/>
  <c r="D260" i="10"/>
  <c r="D259" i="10"/>
  <c r="D258" i="10"/>
  <c r="D257" i="10"/>
  <c r="D256" i="10"/>
  <c r="D255" i="10"/>
  <c r="D254" i="10"/>
  <c r="D253" i="10"/>
  <c r="D252" i="10"/>
  <c r="D251" i="10"/>
  <c r="D250" i="10"/>
  <c r="D249" i="10"/>
  <c r="D248" i="10"/>
  <c r="D247" i="10"/>
  <c r="D246" i="10"/>
  <c r="D245" i="10"/>
  <c r="D244" i="10"/>
  <c r="D243" i="10"/>
  <c r="D242" i="10"/>
  <c r="D241" i="10"/>
  <c r="D240" i="10"/>
  <c r="D239" i="10"/>
  <c r="D238" i="10"/>
  <c r="D237" i="10"/>
  <c r="D236" i="10"/>
  <c r="D235" i="10"/>
  <c r="D234" i="10"/>
  <c r="D233" i="10"/>
  <c r="D232" i="10"/>
  <c r="D231" i="10"/>
  <c r="D230" i="10"/>
  <c r="D229" i="10"/>
  <c r="D228" i="10"/>
  <c r="D227" i="10"/>
  <c r="D226" i="10"/>
  <c r="D225" i="10"/>
  <c r="D224" i="10"/>
  <c r="D223" i="10"/>
  <c r="D222" i="10"/>
  <c r="D221" i="10"/>
  <c r="D220" i="10"/>
  <c r="D219" i="10"/>
  <c r="D218" i="10"/>
  <c r="D217" i="10"/>
  <c r="D216" i="10"/>
  <c r="D215" i="10"/>
  <c r="D214" i="10"/>
  <c r="D213" i="10"/>
  <c r="D212" i="10"/>
  <c r="D211" i="10"/>
  <c r="D210" i="10"/>
  <c r="D209" i="10"/>
  <c r="D208" i="10"/>
  <c r="D207" i="10"/>
  <c r="D206" i="10"/>
  <c r="D205" i="10"/>
  <c r="D204" i="10"/>
  <c r="D203" i="10"/>
  <c r="D202" i="10"/>
  <c r="D201" i="10"/>
  <c r="D200" i="10"/>
  <c r="D199" i="10"/>
  <c r="D198" i="10"/>
  <c r="D197" i="10"/>
  <c r="D196" i="10"/>
  <c r="D195" i="10"/>
  <c r="D194" i="10"/>
  <c r="D193" i="10"/>
  <c r="D192" i="10"/>
  <c r="D191" i="10"/>
  <c r="D190" i="10"/>
  <c r="D189" i="10"/>
  <c r="D188" i="10"/>
  <c r="D187" i="10"/>
  <c r="D186" i="10"/>
  <c r="D185" i="10"/>
  <c r="D184" i="10"/>
  <c r="D183" i="10"/>
  <c r="D182" i="10"/>
  <c r="D181" i="10"/>
  <c r="D180" i="10"/>
  <c r="D179" i="10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C99" i="10"/>
  <c r="B99" i="10"/>
  <c r="A99" i="10"/>
  <c r="D99" i="10" s="1"/>
  <c r="D98" i="10"/>
  <c r="C97" i="10"/>
  <c r="B97" i="10"/>
  <c r="A97" i="10"/>
  <c r="D97" i="10" s="1"/>
  <c r="D96" i="10"/>
  <c r="C95" i="10"/>
  <c r="B95" i="10"/>
  <c r="A95" i="10"/>
  <c r="D95" i="10" s="1"/>
  <c r="D94" i="10"/>
  <c r="C93" i="10"/>
  <c r="B93" i="10"/>
  <c r="A93" i="10"/>
  <c r="D93" i="10" s="1"/>
  <c r="D92" i="10"/>
  <c r="C91" i="10"/>
  <c r="B91" i="10"/>
  <c r="A91" i="10"/>
  <c r="D91" i="10" s="1"/>
  <c r="D90" i="10"/>
  <c r="C89" i="10"/>
  <c r="B89" i="10"/>
  <c r="A89" i="10"/>
  <c r="D89" i="10" s="1"/>
  <c r="D88" i="10"/>
  <c r="C87" i="10"/>
  <c r="B87" i="10"/>
  <c r="A87" i="10"/>
  <c r="D87" i="10" s="1"/>
  <c r="D86" i="10"/>
  <c r="C85" i="10"/>
  <c r="B85" i="10"/>
  <c r="A85" i="10"/>
  <c r="D85" i="10" s="1"/>
  <c r="D84" i="10"/>
  <c r="C83" i="10"/>
  <c r="B83" i="10"/>
  <c r="A83" i="10"/>
  <c r="D83" i="10" s="1"/>
  <c r="D82" i="10"/>
  <c r="C81" i="10"/>
  <c r="B81" i="10"/>
  <c r="A81" i="10"/>
  <c r="D81" i="10" s="1"/>
  <c r="D80" i="10"/>
  <c r="C79" i="10"/>
  <c r="B79" i="10"/>
  <c r="A79" i="10"/>
  <c r="D79" i="10" s="1"/>
  <c r="D78" i="10"/>
  <c r="C77" i="10"/>
  <c r="B77" i="10"/>
  <c r="A77" i="10"/>
  <c r="D77" i="10" s="1"/>
  <c r="D76" i="10"/>
  <c r="C75" i="10"/>
  <c r="B75" i="10"/>
  <c r="A75" i="10"/>
  <c r="D75" i="10" s="1"/>
  <c r="D74" i="10"/>
  <c r="C73" i="10"/>
  <c r="B73" i="10"/>
  <c r="A73" i="10"/>
  <c r="D73" i="10" s="1"/>
  <c r="D72" i="10"/>
  <c r="C71" i="10"/>
  <c r="B71" i="10"/>
  <c r="A71" i="10"/>
  <c r="D71" i="10" s="1"/>
  <c r="D70" i="10"/>
  <c r="C69" i="10"/>
  <c r="B69" i="10"/>
  <c r="A69" i="10"/>
  <c r="D69" i="10" s="1"/>
  <c r="D68" i="10"/>
  <c r="C67" i="10"/>
  <c r="B67" i="10"/>
  <c r="A67" i="10"/>
  <c r="D67" i="10" s="1"/>
  <c r="D66" i="10"/>
  <c r="C65" i="10"/>
  <c r="B65" i="10"/>
  <c r="A65" i="10"/>
  <c r="D65" i="10" s="1"/>
  <c r="D64" i="10"/>
  <c r="C63" i="10"/>
  <c r="B63" i="10"/>
  <c r="A63" i="10"/>
  <c r="D63" i="10" s="1"/>
  <c r="D62" i="10"/>
  <c r="C61" i="10"/>
  <c r="B61" i="10"/>
  <c r="A61" i="10"/>
  <c r="D61" i="10" s="1"/>
  <c r="D60" i="10"/>
  <c r="C59" i="10"/>
  <c r="B59" i="10"/>
  <c r="A59" i="10"/>
  <c r="D59" i="10" s="1"/>
  <c r="D58" i="10"/>
  <c r="C57" i="10"/>
  <c r="B57" i="10"/>
  <c r="A57" i="10"/>
  <c r="D57" i="10" s="1"/>
  <c r="D56" i="10"/>
  <c r="C55" i="10"/>
  <c r="B55" i="10"/>
  <c r="A55" i="10"/>
  <c r="D55" i="10" s="1"/>
  <c r="D54" i="10"/>
  <c r="C53" i="10"/>
  <c r="B53" i="10"/>
  <c r="A53" i="10"/>
  <c r="D53" i="10" s="1"/>
  <c r="D52" i="10"/>
  <c r="C51" i="10"/>
  <c r="B51" i="10"/>
  <c r="A51" i="10"/>
  <c r="D51" i="10" s="1"/>
  <c r="D50" i="10"/>
  <c r="C49" i="10"/>
  <c r="B49" i="10"/>
  <c r="A49" i="10"/>
  <c r="D49" i="10" s="1"/>
  <c r="D48" i="10"/>
  <c r="C47" i="10"/>
  <c r="B47" i="10"/>
  <c r="A47" i="10"/>
  <c r="D47" i="10" s="1"/>
  <c r="D46" i="10"/>
  <c r="C45" i="10"/>
  <c r="B45" i="10"/>
  <c r="A45" i="10"/>
  <c r="D45" i="10" s="1"/>
  <c r="D44" i="10"/>
  <c r="C43" i="10"/>
  <c r="B43" i="10"/>
  <c r="A43" i="10"/>
  <c r="D43" i="10" s="1"/>
  <c r="D42" i="10"/>
  <c r="C41" i="10"/>
  <c r="B41" i="10"/>
  <c r="A41" i="10"/>
  <c r="D41" i="10" s="1"/>
  <c r="D40" i="10"/>
  <c r="C39" i="10"/>
  <c r="B39" i="10"/>
  <c r="A39" i="10"/>
  <c r="D39" i="10" s="1"/>
  <c r="D38" i="10"/>
  <c r="C37" i="10"/>
  <c r="B37" i="10"/>
  <c r="A37" i="10"/>
  <c r="D37" i="10" s="1"/>
  <c r="D36" i="10"/>
  <c r="C35" i="10"/>
  <c r="B35" i="10"/>
  <c r="A35" i="10"/>
  <c r="D35" i="10" s="1"/>
  <c r="D34" i="10"/>
  <c r="C33" i="10"/>
  <c r="B33" i="10"/>
  <c r="A33" i="10"/>
  <c r="D33" i="10" s="1"/>
  <c r="D32" i="10"/>
  <c r="C31" i="10"/>
  <c r="B31" i="10"/>
  <c r="A31" i="10"/>
  <c r="D31" i="10" s="1"/>
  <c r="D30" i="10"/>
  <c r="C29" i="10"/>
  <c r="B29" i="10"/>
  <c r="A29" i="10"/>
  <c r="D29" i="10" s="1"/>
  <c r="D28" i="10"/>
  <c r="C27" i="10"/>
  <c r="B27" i="10"/>
  <c r="A27" i="10"/>
  <c r="D27" i="10" s="1"/>
  <c r="D26" i="10"/>
  <c r="C25" i="10"/>
  <c r="B25" i="10"/>
  <c r="A25" i="10"/>
  <c r="D25" i="10" s="1"/>
  <c r="D24" i="10"/>
  <c r="C23" i="10"/>
  <c r="B23" i="10"/>
  <c r="A23" i="10"/>
  <c r="D23" i="10" s="1"/>
  <c r="D22" i="10"/>
  <c r="C21" i="10"/>
  <c r="B21" i="10"/>
  <c r="A21" i="10"/>
  <c r="D21" i="10" s="1"/>
  <c r="D20" i="10"/>
  <c r="C19" i="10"/>
  <c r="B19" i="10"/>
  <c r="A19" i="10"/>
  <c r="D19" i="10" s="1"/>
  <c r="D18" i="10"/>
  <c r="C17" i="10"/>
  <c r="B17" i="10"/>
  <c r="A17" i="10"/>
  <c r="D17" i="10" s="1"/>
  <c r="D16" i="10"/>
  <c r="C15" i="10"/>
  <c r="B15" i="10"/>
  <c r="A15" i="10"/>
  <c r="D15" i="10" s="1"/>
  <c r="D14" i="10"/>
  <c r="C13" i="10"/>
  <c r="B13" i="10"/>
  <c r="A13" i="10"/>
  <c r="D13" i="10" s="1"/>
  <c r="D12" i="10"/>
  <c r="C11" i="10"/>
  <c r="B11" i="10"/>
  <c r="A11" i="10"/>
  <c r="D11" i="10" s="1"/>
  <c r="C9" i="10"/>
  <c r="B9" i="10"/>
  <c r="A9" i="10"/>
  <c r="D9" i="10" s="1"/>
  <c r="C7" i="10"/>
  <c r="B7" i="10"/>
  <c r="A7" i="10"/>
  <c r="D7" i="10" s="1"/>
  <c r="C5" i="10"/>
  <c r="B5" i="10"/>
  <c r="A5" i="10"/>
  <c r="D5" i="10" s="1"/>
  <c r="C3" i="10"/>
  <c r="B3" i="10"/>
  <c r="A3" i="10"/>
  <c r="D2" i="10"/>
  <c r="D1000" i="9"/>
  <c r="C999" i="9"/>
  <c r="B999" i="9"/>
  <c r="A999" i="9"/>
  <c r="D999" i="9" s="1"/>
  <c r="D998" i="9"/>
  <c r="C997" i="9"/>
  <c r="B997" i="9"/>
  <c r="A997" i="9"/>
  <c r="D997" i="9" s="1"/>
  <c r="D996" i="9"/>
  <c r="C995" i="9"/>
  <c r="B995" i="9"/>
  <c r="A995" i="9"/>
  <c r="D995" i="9" s="1"/>
  <c r="D994" i="9"/>
  <c r="C993" i="9"/>
  <c r="B993" i="9"/>
  <c r="A993" i="9"/>
  <c r="D993" i="9" s="1"/>
  <c r="D992" i="9"/>
  <c r="C991" i="9"/>
  <c r="B991" i="9"/>
  <c r="A991" i="9"/>
  <c r="D991" i="9" s="1"/>
  <c r="D990" i="9"/>
  <c r="C989" i="9"/>
  <c r="B989" i="9"/>
  <c r="A989" i="9"/>
  <c r="D989" i="9" s="1"/>
  <c r="D988" i="9"/>
  <c r="C987" i="9"/>
  <c r="B987" i="9"/>
  <c r="A987" i="9"/>
  <c r="D987" i="9" s="1"/>
  <c r="D986" i="9"/>
  <c r="C985" i="9"/>
  <c r="B985" i="9"/>
  <c r="A985" i="9"/>
  <c r="D985" i="9" s="1"/>
  <c r="D984" i="9"/>
  <c r="C983" i="9"/>
  <c r="B983" i="9"/>
  <c r="A983" i="9"/>
  <c r="D983" i="9" s="1"/>
  <c r="D982" i="9"/>
  <c r="C981" i="9"/>
  <c r="B981" i="9"/>
  <c r="A981" i="9"/>
  <c r="D981" i="9" s="1"/>
  <c r="D980" i="9"/>
  <c r="C979" i="9"/>
  <c r="B979" i="9"/>
  <c r="A979" i="9"/>
  <c r="D979" i="9" s="1"/>
  <c r="D978" i="9"/>
  <c r="C977" i="9"/>
  <c r="B977" i="9"/>
  <c r="A977" i="9"/>
  <c r="D977" i="9" s="1"/>
  <c r="D976" i="9"/>
  <c r="C975" i="9"/>
  <c r="B975" i="9"/>
  <c r="A975" i="9"/>
  <c r="D975" i="9" s="1"/>
  <c r="D974" i="9"/>
  <c r="C973" i="9"/>
  <c r="B973" i="9"/>
  <c r="A973" i="9"/>
  <c r="D973" i="9" s="1"/>
  <c r="D972" i="9"/>
  <c r="C971" i="9"/>
  <c r="B971" i="9"/>
  <c r="A971" i="9"/>
  <c r="D971" i="9" s="1"/>
  <c r="D970" i="9"/>
  <c r="C969" i="9"/>
  <c r="B969" i="9"/>
  <c r="A969" i="9"/>
  <c r="D969" i="9" s="1"/>
  <c r="D968" i="9"/>
  <c r="C967" i="9"/>
  <c r="B967" i="9"/>
  <c r="A967" i="9"/>
  <c r="D967" i="9" s="1"/>
  <c r="D966" i="9"/>
  <c r="C965" i="9"/>
  <c r="B965" i="9"/>
  <c r="A965" i="9"/>
  <c r="D965" i="9" s="1"/>
  <c r="D964" i="9"/>
  <c r="C963" i="9"/>
  <c r="B963" i="9"/>
  <c r="A963" i="9"/>
  <c r="D963" i="9" s="1"/>
  <c r="D962" i="9"/>
  <c r="C961" i="9"/>
  <c r="B961" i="9"/>
  <c r="A961" i="9"/>
  <c r="D961" i="9" s="1"/>
  <c r="D960" i="9"/>
  <c r="C959" i="9"/>
  <c r="B959" i="9"/>
  <c r="A959" i="9"/>
  <c r="D959" i="9" s="1"/>
  <c r="D958" i="9"/>
  <c r="C957" i="9"/>
  <c r="B957" i="9"/>
  <c r="A957" i="9"/>
  <c r="D957" i="9" s="1"/>
  <c r="D956" i="9"/>
  <c r="C955" i="9"/>
  <c r="B955" i="9"/>
  <c r="A955" i="9"/>
  <c r="D955" i="9" s="1"/>
  <c r="D954" i="9"/>
  <c r="C953" i="9"/>
  <c r="B953" i="9"/>
  <c r="A953" i="9"/>
  <c r="D953" i="9" s="1"/>
  <c r="D952" i="9"/>
  <c r="C951" i="9"/>
  <c r="B951" i="9"/>
  <c r="A951" i="9"/>
  <c r="D951" i="9" s="1"/>
  <c r="D950" i="9"/>
  <c r="C949" i="9"/>
  <c r="B949" i="9"/>
  <c r="A949" i="9"/>
  <c r="D949" i="9" s="1"/>
  <c r="D948" i="9"/>
  <c r="C947" i="9"/>
  <c r="B947" i="9"/>
  <c r="A947" i="9"/>
  <c r="D947" i="9" s="1"/>
  <c r="D946" i="9"/>
  <c r="C945" i="9"/>
  <c r="B945" i="9"/>
  <c r="A945" i="9"/>
  <c r="D945" i="9" s="1"/>
  <c r="D944" i="9"/>
  <c r="C943" i="9"/>
  <c r="B943" i="9"/>
  <c r="A943" i="9"/>
  <c r="D943" i="9" s="1"/>
  <c r="D942" i="9"/>
  <c r="C941" i="9"/>
  <c r="B941" i="9"/>
  <c r="A941" i="9"/>
  <c r="D941" i="9" s="1"/>
  <c r="D940" i="9"/>
  <c r="C939" i="9"/>
  <c r="B939" i="9"/>
  <c r="A939" i="9"/>
  <c r="D939" i="9" s="1"/>
  <c r="D938" i="9"/>
  <c r="C937" i="9"/>
  <c r="B937" i="9"/>
  <c r="A937" i="9"/>
  <c r="D937" i="9" s="1"/>
  <c r="D936" i="9"/>
  <c r="C935" i="9"/>
  <c r="B935" i="9"/>
  <c r="A935" i="9"/>
  <c r="D935" i="9" s="1"/>
  <c r="D934" i="9"/>
  <c r="C933" i="9"/>
  <c r="B933" i="9"/>
  <c r="A933" i="9"/>
  <c r="D933" i="9" s="1"/>
  <c r="D932" i="9"/>
  <c r="C931" i="9"/>
  <c r="B931" i="9"/>
  <c r="A931" i="9"/>
  <c r="D931" i="9" s="1"/>
  <c r="D930" i="9"/>
  <c r="C929" i="9"/>
  <c r="B929" i="9"/>
  <c r="A929" i="9"/>
  <c r="D929" i="9" s="1"/>
  <c r="D928" i="9"/>
  <c r="C927" i="9"/>
  <c r="B927" i="9"/>
  <c r="A927" i="9"/>
  <c r="D927" i="9" s="1"/>
  <c r="D926" i="9"/>
  <c r="C925" i="9"/>
  <c r="B925" i="9"/>
  <c r="A925" i="9"/>
  <c r="D925" i="9" s="1"/>
  <c r="D924" i="9"/>
  <c r="C923" i="9"/>
  <c r="B923" i="9"/>
  <c r="A923" i="9"/>
  <c r="D923" i="9" s="1"/>
  <c r="D922" i="9"/>
  <c r="C921" i="9"/>
  <c r="B921" i="9"/>
  <c r="A921" i="9"/>
  <c r="D921" i="9" s="1"/>
  <c r="D920" i="9"/>
  <c r="C919" i="9"/>
  <c r="B919" i="9"/>
  <c r="A919" i="9"/>
  <c r="D919" i="9" s="1"/>
  <c r="D918" i="9"/>
  <c r="C917" i="9"/>
  <c r="B917" i="9"/>
  <c r="A917" i="9"/>
  <c r="D917" i="9" s="1"/>
  <c r="D916" i="9"/>
  <c r="C915" i="9"/>
  <c r="B915" i="9"/>
  <c r="A915" i="9"/>
  <c r="D915" i="9" s="1"/>
  <c r="D914" i="9"/>
  <c r="C913" i="9"/>
  <c r="B913" i="9"/>
  <c r="A913" i="9"/>
  <c r="D913" i="9" s="1"/>
  <c r="D912" i="9"/>
  <c r="C911" i="9"/>
  <c r="B911" i="9"/>
  <c r="A911" i="9"/>
  <c r="D911" i="9" s="1"/>
  <c r="D910" i="9"/>
  <c r="C909" i="9"/>
  <c r="B909" i="9"/>
  <c r="A909" i="9"/>
  <c r="D909" i="9" s="1"/>
  <c r="D908" i="9"/>
  <c r="C907" i="9"/>
  <c r="B907" i="9"/>
  <c r="A907" i="9"/>
  <c r="D907" i="9" s="1"/>
  <c r="D906" i="9"/>
  <c r="C905" i="9"/>
  <c r="B905" i="9"/>
  <c r="A905" i="9"/>
  <c r="D905" i="9" s="1"/>
  <c r="D904" i="9"/>
  <c r="C903" i="9"/>
  <c r="B903" i="9"/>
  <c r="A903" i="9"/>
  <c r="D903" i="9" s="1"/>
  <c r="D902" i="9"/>
  <c r="C901" i="9"/>
  <c r="B901" i="9"/>
  <c r="A901" i="9"/>
  <c r="D901" i="9" s="1"/>
  <c r="D900" i="9"/>
  <c r="C899" i="9"/>
  <c r="B899" i="9"/>
  <c r="A899" i="9"/>
  <c r="D899" i="9" s="1"/>
  <c r="D898" i="9"/>
  <c r="C897" i="9"/>
  <c r="B897" i="9"/>
  <c r="A897" i="9"/>
  <c r="D897" i="9" s="1"/>
  <c r="D896" i="9"/>
  <c r="C895" i="9"/>
  <c r="B895" i="9"/>
  <c r="A895" i="9"/>
  <c r="D895" i="9" s="1"/>
  <c r="D894" i="9"/>
  <c r="C893" i="9"/>
  <c r="B893" i="9"/>
  <c r="A893" i="9"/>
  <c r="D893" i="9" s="1"/>
  <c r="D892" i="9"/>
  <c r="C891" i="9"/>
  <c r="B891" i="9"/>
  <c r="A891" i="9"/>
  <c r="D891" i="9" s="1"/>
  <c r="D890" i="9"/>
  <c r="C889" i="9"/>
  <c r="B889" i="9"/>
  <c r="A889" i="9"/>
  <c r="D889" i="9" s="1"/>
  <c r="D888" i="9"/>
  <c r="C887" i="9"/>
  <c r="B887" i="9"/>
  <c r="A887" i="9"/>
  <c r="D887" i="9" s="1"/>
  <c r="D886" i="9"/>
  <c r="C885" i="9"/>
  <c r="B885" i="9"/>
  <c r="A885" i="9"/>
  <c r="D885" i="9" s="1"/>
  <c r="D884" i="9"/>
  <c r="C883" i="9"/>
  <c r="B883" i="9"/>
  <c r="A883" i="9"/>
  <c r="D883" i="9" s="1"/>
  <c r="D882" i="9"/>
  <c r="C881" i="9"/>
  <c r="B881" i="9"/>
  <c r="A881" i="9"/>
  <c r="D881" i="9" s="1"/>
  <c r="D880" i="9"/>
  <c r="C879" i="9"/>
  <c r="B879" i="9"/>
  <c r="A879" i="9"/>
  <c r="D879" i="9" s="1"/>
  <c r="D878" i="9"/>
  <c r="C877" i="9"/>
  <c r="B877" i="9"/>
  <c r="A877" i="9"/>
  <c r="D877" i="9" s="1"/>
  <c r="D876" i="9"/>
  <c r="C875" i="9"/>
  <c r="B875" i="9"/>
  <c r="A875" i="9"/>
  <c r="D874" i="9"/>
  <c r="C873" i="9"/>
  <c r="B873" i="9"/>
  <c r="A873" i="9"/>
  <c r="D873" i="9" s="1"/>
  <c r="D872" i="9"/>
  <c r="C871" i="9"/>
  <c r="B871" i="9"/>
  <c r="A871" i="9"/>
  <c r="D871" i="9" s="1"/>
  <c r="D870" i="9"/>
  <c r="C869" i="9"/>
  <c r="B869" i="9"/>
  <c r="A869" i="9"/>
  <c r="D869" i="9" s="1"/>
  <c r="D868" i="9"/>
  <c r="C867" i="9"/>
  <c r="B867" i="9"/>
  <c r="A867" i="9"/>
  <c r="D867" i="9" s="1"/>
  <c r="D866" i="9"/>
  <c r="C865" i="9"/>
  <c r="B865" i="9"/>
  <c r="A865" i="9"/>
  <c r="D865" i="9" s="1"/>
  <c r="D864" i="9"/>
  <c r="C863" i="9"/>
  <c r="B863" i="9"/>
  <c r="A863" i="9"/>
  <c r="D863" i="9" s="1"/>
  <c r="D862" i="9"/>
  <c r="C861" i="9"/>
  <c r="B861" i="9"/>
  <c r="A861" i="9"/>
  <c r="D861" i="9" s="1"/>
  <c r="D860" i="9"/>
  <c r="C859" i="9"/>
  <c r="B859" i="9"/>
  <c r="A859" i="9"/>
  <c r="D859" i="9" s="1"/>
  <c r="D858" i="9"/>
  <c r="C857" i="9"/>
  <c r="B857" i="9"/>
  <c r="A857" i="9"/>
  <c r="D857" i="9" s="1"/>
  <c r="D856" i="9"/>
  <c r="C855" i="9"/>
  <c r="B855" i="9"/>
  <c r="A855" i="9"/>
  <c r="D855" i="9" s="1"/>
  <c r="D854" i="9"/>
  <c r="C853" i="9"/>
  <c r="B853" i="9"/>
  <c r="A853" i="9"/>
  <c r="D853" i="9" s="1"/>
  <c r="D852" i="9"/>
  <c r="C851" i="9"/>
  <c r="B851" i="9"/>
  <c r="A851" i="9"/>
  <c r="D851" i="9" s="1"/>
  <c r="D850" i="9"/>
  <c r="C849" i="9"/>
  <c r="B849" i="9"/>
  <c r="A849" i="9"/>
  <c r="D849" i="9" s="1"/>
  <c r="D848" i="9"/>
  <c r="C847" i="9"/>
  <c r="B847" i="9"/>
  <c r="A847" i="9"/>
  <c r="D847" i="9" s="1"/>
  <c r="D846" i="9"/>
  <c r="C845" i="9"/>
  <c r="B845" i="9"/>
  <c r="A845" i="9"/>
  <c r="D845" i="9" s="1"/>
  <c r="D844" i="9"/>
  <c r="C843" i="9"/>
  <c r="B843" i="9"/>
  <c r="A843" i="9"/>
  <c r="D843" i="9" s="1"/>
  <c r="D842" i="9"/>
  <c r="C841" i="9"/>
  <c r="B841" i="9"/>
  <c r="A841" i="9"/>
  <c r="D841" i="9" s="1"/>
  <c r="D840" i="9"/>
  <c r="C839" i="9"/>
  <c r="B839" i="9"/>
  <c r="A839" i="9"/>
  <c r="D839" i="9" s="1"/>
  <c r="D838" i="9"/>
  <c r="C837" i="9"/>
  <c r="B837" i="9"/>
  <c r="A837" i="9"/>
  <c r="D837" i="9" s="1"/>
  <c r="D836" i="9"/>
  <c r="C835" i="9"/>
  <c r="B835" i="9"/>
  <c r="A835" i="9"/>
  <c r="D835" i="9" s="1"/>
  <c r="D834" i="9"/>
  <c r="C833" i="9"/>
  <c r="B833" i="9"/>
  <c r="A833" i="9"/>
  <c r="D833" i="9" s="1"/>
  <c r="D832" i="9"/>
  <c r="C831" i="9"/>
  <c r="B831" i="9"/>
  <c r="A831" i="9"/>
  <c r="D831" i="9" s="1"/>
  <c r="D830" i="9"/>
  <c r="C829" i="9"/>
  <c r="B829" i="9"/>
  <c r="A829" i="9"/>
  <c r="D829" i="9" s="1"/>
  <c r="D828" i="9"/>
  <c r="C827" i="9"/>
  <c r="B827" i="9"/>
  <c r="A827" i="9"/>
  <c r="D827" i="9" s="1"/>
  <c r="D826" i="9"/>
  <c r="C825" i="9"/>
  <c r="B825" i="9"/>
  <c r="A825" i="9"/>
  <c r="D825" i="9" s="1"/>
  <c r="D824" i="9"/>
  <c r="C823" i="9"/>
  <c r="B823" i="9"/>
  <c r="A823" i="9"/>
  <c r="D823" i="9" s="1"/>
  <c r="D822" i="9"/>
  <c r="C821" i="9"/>
  <c r="B821" i="9"/>
  <c r="A821" i="9"/>
  <c r="D821" i="9" s="1"/>
  <c r="D820" i="9"/>
  <c r="C819" i="9"/>
  <c r="B819" i="9"/>
  <c r="A819" i="9"/>
  <c r="D819" i="9" s="1"/>
  <c r="D818" i="9"/>
  <c r="C817" i="9"/>
  <c r="B817" i="9"/>
  <c r="A817" i="9"/>
  <c r="D817" i="9" s="1"/>
  <c r="D816" i="9"/>
  <c r="C815" i="9"/>
  <c r="B815" i="9"/>
  <c r="A815" i="9"/>
  <c r="D815" i="9" s="1"/>
  <c r="D814" i="9"/>
  <c r="C813" i="9"/>
  <c r="B813" i="9"/>
  <c r="A813" i="9"/>
  <c r="D813" i="9" s="1"/>
  <c r="D812" i="9"/>
  <c r="C811" i="9"/>
  <c r="B811" i="9"/>
  <c r="A811" i="9"/>
  <c r="D811" i="9" s="1"/>
  <c r="D810" i="9"/>
  <c r="C809" i="9"/>
  <c r="B809" i="9"/>
  <c r="A809" i="9"/>
  <c r="D809" i="9" s="1"/>
  <c r="D808" i="9"/>
  <c r="C807" i="9"/>
  <c r="B807" i="9"/>
  <c r="A807" i="9"/>
  <c r="D807" i="9" s="1"/>
  <c r="D806" i="9"/>
  <c r="C805" i="9"/>
  <c r="B805" i="9"/>
  <c r="A805" i="9"/>
  <c r="D805" i="9" s="1"/>
  <c r="D804" i="9"/>
  <c r="C803" i="9"/>
  <c r="B803" i="9"/>
  <c r="A803" i="9"/>
  <c r="D803" i="9" s="1"/>
  <c r="D802" i="9"/>
  <c r="C801" i="9"/>
  <c r="B801" i="9"/>
  <c r="A801" i="9"/>
  <c r="D801" i="9" s="1"/>
  <c r="D800" i="9"/>
  <c r="C799" i="9"/>
  <c r="B799" i="9"/>
  <c r="A799" i="9"/>
  <c r="D799" i="9" s="1"/>
  <c r="D798" i="9"/>
  <c r="C797" i="9"/>
  <c r="B797" i="9"/>
  <c r="A797" i="9"/>
  <c r="D797" i="9" s="1"/>
  <c r="D796" i="9"/>
  <c r="C795" i="9"/>
  <c r="B795" i="9"/>
  <c r="A795" i="9"/>
  <c r="D795" i="9" s="1"/>
  <c r="D794" i="9"/>
  <c r="C793" i="9"/>
  <c r="B793" i="9"/>
  <c r="A793" i="9"/>
  <c r="D793" i="9" s="1"/>
  <c r="D792" i="9"/>
  <c r="C791" i="9"/>
  <c r="B791" i="9"/>
  <c r="A791" i="9"/>
  <c r="D791" i="9" s="1"/>
  <c r="D790" i="9"/>
  <c r="C789" i="9"/>
  <c r="B789" i="9"/>
  <c r="A789" i="9"/>
  <c r="D789" i="9" s="1"/>
  <c r="D788" i="9"/>
  <c r="C787" i="9"/>
  <c r="B787" i="9"/>
  <c r="A787" i="9"/>
  <c r="D787" i="9" s="1"/>
  <c r="D786" i="9"/>
  <c r="C785" i="9"/>
  <c r="B785" i="9"/>
  <c r="A785" i="9"/>
  <c r="D785" i="9" s="1"/>
  <c r="D784" i="9"/>
  <c r="C783" i="9"/>
  <c r="B783" i="9"/>
  <c r="A783" i="9"/>
  <c r="D783" i="9" s="1"/>
  <c r="D782" i="9"/>
  <c r="C781" i="9"/>
  <c r="B781" i="9"/>
  <c r="A781" i="9"/>
  <c r="D781" i="9" s="1"/>
  <c r="D780" i="9"/>
  <c r="C779" i="9"/>
  <c r="B779" i="9"/>
  <c r="A779" i="9"/>
  <c r="D779" i="9" s="1"/>
  <c r="D778" i="9"/>
  <c r="C777" i="9"/>
  <c r="B777" i="9"/>
  <c r="A777" i="9"/>
  <c r="D777" i="9" s="1"/>
  <c r="D776" i="9"/>
  <c r="C775" i="9"/>
  <c r="B775" i="9"/>
  <c r="A775" i="9"/>
  <c r="D775" i="9" s="1"/>
  <c r="D774" i="9"/>
  <c r="C773" i="9"/>
  <c r="B773" i="9"/>
  <c r="A773" i="9"/>
  <c r="D773" i="9" s="1"/>
  <c r="D772" i="9"/>
  <c r="C771" i="9"/>
  <c r="B771" i="9"/>
  <c r="A771" i="9"/>
  <c r="D771" i="9" s="1"/>
  <c r="D770" i="9"/>
  <c r="C769" i="9"/>
  <c r="B769" i="9"/>
  <c r="A769" i="9"/>
  <c r="D769" i="9" s="1"/>
  <c r="D768" i="9"/>
  <c r="C767" i="9"/>
  <c r="B767" i="9"/>
  <c r="A767" i="9"/>
  <c r="D767" i="9" s="1"/>
  <c r="D766" i="9"/>
  <c r="C765" i="9"/>
  <c r="B765" i="9"/>
  <c r="A765" i="9"/>
  <c r="D765" i="9" s="1"/>
  <c r="D764" i="9"/>
  <c r="C763" i="9"/>
  <c r="B763" i="9"/>
  <c r="A763" i="9"/>
  <c r="D763" i="9" s="1"/>
  <c r="D762" i="9"/>
  <c r="C761" i="9"/>
  <c r="B761" i="9"/>
  <c r="A761" i="9"/>
  <c r="D761" i="9" s="1"/>
  <c r="D760" i="9"/>
  <c r="C759" i="9"/>
  <c r="B759" i="9"/>
  <c r="A759" i="9"/>
  <c r="D759" i="9" s="1"/>
  <c r="D758" i="9"/>
  <c r="C757" i="9"/>
  <c r="B757" i="9"/>
  <c r="A757" i="9"/>
  <c r="D757" i="9" s="1"/>
  <c r="D756" i="9"/>
  <c r="C755" i="9"/>
  <c r="B755" i="9"/>
  <c r="A755" i="9"/>
  <c r="D755" i="9" s="1"/>
  <c r="D754" i="9"/>
  <c r="C753" i="9"/>
  <c r="B753" i="9"/>
  <c r="A753" i="9"/>
  <c r="D753" i="9" s="1"/>
  <c r="D752" i="9"/>
  <c r="C751" i="9"/>
  <c r="B751" i="9"/>
  <c r="A751" i="9"/>
  <c r="D751" i="9" s="1"/>
  <c r="D750" i="9"/>
  <c r="C749" i="9"/>
  <c r="B749" i="9"/>
  <c r="A749" i="9"/>
  <c r="D749" i="9" s="1"/>
  <c r="D748" i="9"/>
  <c r="C747" i="9"/>
  <c r="B747" i="9"/>
  <c r="A747" i="9"/>
  <c r="D747" i="9" s="1"/>
  <c r="D746" i="9"/>
  <c r="C745" i="9"/>
  <c r="B745" i="9"/>
  <c r="A745" i="9"/>
  <c r="D745" i="9" s="1"/>
  <c r="D744" i="9"/>
  <c r="C743" i="9"/>
  <c r="B743" i="9"/>
  <c r="A743" i="9"/>
  <c r="D743" i="9" s="1"/>
  <c r="D742" i="9"/>
  <c r="C741" i="9"/>
  <c r="B741" i="9"/>
  <c r="A741" i="9"/>
  <c r="D741" i="9" s="1"/>
  <c r="D740" i="9"/>
  <c r="C739" i="9"/>
  <c r="B739" i="9"/>
  <c r="A739" i="9"/>
  <c r="D739" i="9" s="1"/>
  <c r="D738" i="9"/>
  <c r="C737" i="9"/>
  <c r="B737" i="9"/>
  <c r="A737" i="9"/>
  <c r="D737" i="9" s="1"/>
  <c r="D736" i="9"/>
  <c r="C735" i="9"/>
  <c r="B735" i="9"/>
  <c r="A735" i="9"/>
  <c r="D735" i="9" s="1"/>
  <c r="D734" i="9"/>
  <c r="C733" i="9"/>
  <c r="B733" i="9"/>
  <c r="A733" i="9"/>
  <c r="D733" i="9" s="1"/>
  <c r="D732" i="9"/>
  <c r="C731" i="9"/>
  <c r="B731" i="9"/>
  <c r="A731" i="9"/>
  <c r="D731" i="9" s="1"/>
  <c r="D730" i="9"/>
  <c r="C729" i="9"/>
  <c r="B729" i="9"/>
  <c r="A729" i="9"/>
  <c r="D729" i="9" s="1"/>
  <c r="D728" i="9"/>
  <c r="C727" i="9"/>
  <c r="B727" i="9"/>
  <c r="A727" i="9"/>
  <c r="D727" i="9" s="1"/>
  <c r="D726" i="9"/>
  <c r="C725" i="9"/>
  <c r="B725" i="9"/>
  <c r="A725" i="9"/>
  <c r="D725" i="9" s="1"/>
  <c r="D724" i="9"/>
  <c r="C723" i="9"/>
  <c r="B723" i="9"/>
  <c r="A723" i="9"/>
  <c r="D723" i="9" s="1"/>
  <c r="D722" i="9"/>
  <c r="C721" i="9"/>
  <c r="B721" i="9"/>
  <c r="A721" i="9"/>
  <c r="D721" i="9" s="1"/>
  <c r="D720" i="9"/>
  <c r="C719" i="9"/>
  <c r="B719" i="9"/>
  <c r="A719" i="9"/>
  <c r="D719" i="9" s="1"/>
  <c r="D718" i="9"/>
  <c r="C717" i="9"/>
  <c r="B717" i="9"/>
  <c r="A717" i="9"/>
  <c r="D717" i="9" s="1"/>
  <c r="D716" i="9"/>
  <c r="C715" i="9"/>
  <c r="B715" i="9"/>
  <c r="A715" i="9"/>
  <c r="D715" i="9" s="1"/>
  <c r="D714" i="9"/>
  <c r="C713" i="9"/>
  <c r="B713" i="9"/>
  <c r="A713" i="9"/>
  <c r="D713" i="9" s="1"/>
  <c r="D712" i="9"/>
  <c r="C711" i="9"/>
  <c r="B711" i="9"/>
  <c r="A711" i="9"/>
  <c r="D711" i="9" s="1"/>
  <c r="D710" i="9"/>
  <c r="C709" i="9"/>
  <c r="B709" i="9"/>
  <c r="A709" i="9"/>
  <c r="D709" i="9" s="1"/>
  <c r="D708" i="9"/>
  <c r="C707" i="9"/>
  <c r="B707" i="9"/>
  <c r="A707" i="9"/>
  <c r="D707" i="9" s="1"/>
  <c r="D706" i="9"/>
  <c r="C705" i="9"/>
  <c r="B705" i="9"/>
  <c r="A705" i="9"/>
  <c r="D705" i="9" s="1"/>
  <c r="D704" i="9"/>
  <c r="C703" i="9"/>
  <c r="B703" i="9"/>
  <c r="A703" i="9"/>
  <c r="D703" i="9" s="1"/>
  <c r="D702" i="9"/>
  <c r="C701" i="9"/>
  <c r="B701" i="9"/>
  <c r="A701" i="9"/>
  <c r="D701" i="9" s="1"/>
  <c r="D700" i="9"/>
  <c r="C699" i="9"/>
  <c r="B699" i="9"/>
  <c r="A699" i="9"/>
  <c r="D699" i="9" s="1"/>
  <c r="D698" i="9"/>
  <c r="C697" i="9"/>
  <c r="B697" i="9"/>
  <c r="A697" i="9"/>
  <c r="D697" i="9" s="1"/>
  <c r="D696" i="9"/>
  <c r="C695" i="9"/>
  <c r="B695" i="9"/>
  <c r="A695" i="9"/>
  <c r="D695" i="9" s="1"/>
  <c r="D694" i="9"/>
  <c r="C693" i="9"/>
  <c r="B693" i="9"/>
  <c r="A693" i="9"/>
  <c r="D693" i="9" s="1"/>
  <c r="D692" i="9"/>
  <c r="C691" i="9"/>
  <c r="B691" i="9"/>
  <c r="A691" i="9"/>
  <c r="D691" i="9" s="1"/>
  <c r="D690" i="9"/>
  <c r="C689" i="9"/>
  <c r="B689" i="9"/>
  <c r="A689" i="9"/>
  <c r="D689" i="9" s="1"/>
  <c r="D688" i="9"/>
  <c r="C687" i="9"/>
  <c r="B687" i="9"/>
  <c r="A687" i="9"/>
  <c r="D687" i="9" s="1"/>
  <c r="D686" i="9"/>
  <c r="C685" i="9"/>
  <c r="B685" i="9"/>
  <c r="A685" i="9"/>
  <c r="D685" i="9" s="1"/>
  <c r="D684" i="9"/>
  <c r="C683" i="9"/>
  <c r="B683" i="9"/>
  <c r="A683" i="9"/>
  <c r="D683" i="9" s="1"/>
  <c r="D682" i="9"/>
  <c r="C681" i="9"/>
  <c r="B681" i="9"/>
  <c r="A681" i="9"/>
  <c r="D681" i="9" s="1"/>
  <c r="D680" i="9"/>
  <c r="C679" i="9"/>
  <c r="B679" i="9"/>
  <c r="A679" i="9"/>
  <c r="D679" i="9" s="1"/>
  <c r="D678" i="9"/>
  <c r="C677" i="9"/>
  <c r="B677" i="9"/>
  <c r="A677" i="9"/>
  <c r="D677" i="9" s="1"/>
  <c r="D676" i="9"/>
  <c r="C675" i="9"/>
  <c r="B675" i="9"/>
  <c r="A675" i="9"/>
  <c r="D675" i="9" s="1"/>
  <c r="D674" i="9"/>
  <c r="C673" i="9"/>
  <c r="B673" i="9"/>
  <c r="A673" i="9"/>
  <c r="D673" i="9" s="1"/>
  <c r="D672" i="9"/>
  <c r="C671" i="9"/>
  <c r="B671" i="9"/>
  <c r="A671" i="9"/>
  <c r="D671" i="9" s="1"/>
  <c r="D670" i="9"/>
  <c r="C669" i="9"/>
  <c r="B669" i="9"/>
  <c r="A669" i="9"/>
  <c r="D669" i="9" s="1"/>
  <c r="D668" i="9"/>
  <c r="C667" i="9"/>
  <c r="B667" i="9"/>
  <c r="A667" i="9"/>
  <c r="D667" i="9" s="1"/>
  <c r="D666" i="9"/>
  <c r="C665" i="9"/>
  <c r="B665" i="9"/>
  <c r="A665" i="9"/>
  <c r="D665" i="9" s="1"/>
  <c r="D664" i="9"/>
  <c r="C663" i="9"/>
  <c r="B663" i="9"/>
  <c r="A663" i="9"/>
  <c r="D663" i="9" s="1"/>
  <c r="D662" i="9"/>
  <c r="C661" i="9"/>
  <c r="B661" i="9"/>
  <c r="A661" i="9"/>
  <c r="D661" i="9" s="1"/>
  <c r="D660" i="9"/>
  <c r="C659" i="9"/>
  <c r="B659" i="9"/>
  <c r="A659" i="9"/>
  <c r="D659" i="9" s="1"/>
  <c r="D658" i="9"/>
  <c r="C657" i="9"/>
  <c r="B657" i="9"/>
  <c r="A657" i="9"/>
  <c r="D657" i="9" s="1"/>
  <c r="D656" i="9"/>
  <c r="C655" i="9"/>
  <c r="B655" i="9"/>
  <c r="A655" i="9"/>
  <c r="D655" i="9" s="1"/>
  <c r="D654" i="9"/>
  <c r="C653" i="9"/>
  <c r="B653" i="9"/>
  <c r="A653" i="9"/>
  <c r="D653" i="9" s="1"/>
  <c r="D652" i="9"/>
  <c r="C651" i="9"/>
  <c r="B651" i="9"/>
  <c r="A651" i="9"/>
  <c r="D651" i="9" s="1"/>
  <c r="D650" i="9"/>
  <c r="C649" i="9"/>
  <c r="B649" i="9"/>
  <c r="A649" i="9"/>
  <c r="D649" i="9" s="1"/>
  <c r="D648" i="9"/>
  <c r="C647" i="9"/>
  <c r="B647" i="9"/>
  <c r="A647" i="9"/>
  <c r="D647" i="9" s="1"/>
  <c r="D646" i="9"/>
  <c r="C645" i="9"/>
  <c r="B645" i="9"/>
  <c r="A645" i="9"/>
  <c r="D645" i="9" s="1"/>
  <c r="D644" i="9"/>
  <c r="C643" i="9"/>
  <c r="B643" i="9"/>
  <c r="A643" i="9"/>
  <c r="D643" i="9" s="1"/>
  <c r="D642" i="9"/>
  <c r="C641" i="9"/>
  <c r="B641" i="9"/>
  <c r="A641" i="9"/>
  <c r="D641" i="9" s="1"/>
  <c r="D640" i="9"/>
  <c r="C639" i="9"/>
  <c r="B639" i="9"/>
  <c r="A639" i="9"/>
  <c r="D639" i="9" s="1"/>
  <c r="D638" i="9"/>
  <c r="C637" i="9"/>
  <c r="B637" i="9"/>
  <c r="A637" i="9"/>
  <c r="D637" i="9" s="1"/>
  <c r="D636" i="9"/>
  <c r="C635" i="9"/>
  <c r="B635" i="9"/>
  <c r="A635" i="9"/>
  <c r="D635" i="9" s="1"/>
  <c r="D634" i="9"/>
  <c r="C633" i="9"/>
  <c r="B633" i="9"/>
  <c r="A633" i="9"/>
  <c r="D633" i="9" s="1"/>
  <c r="D632" i="9"/>
  <c r="C631" i="9"/>
  <c r="B631" i="9"/>
  <c r="A631" i="9"/>
  <c r="D631" i="9" s="1"/>
  <c r="D630" i="9"/>
  <c r="C629" i="9"/>
  <c r="B629" i="9"/>
  <c r="A629" i="9"/>
  <c r="D629" i="9" s="1"/>
  <c r="D628" i="9"/>
  <c r="C627" i="9"/>
  <c r="B627" i="9"/>
  <c r="A627" i="9"/>
  <c r="D627" i="9" s="1"/>
  <c r="D626" i="9"/>
  <c r="C625" i="9"/>
  <c r="B625" i="9"/>
  <c r="A625" i="9"/>
  <c r="D625" i="9" s="1"/>
  <c r="D624" i="9"/>
  <c r="C623" i="9"/>
  <c r="B623" i="9"/>
  <c r="A623" i="9"/>
  <c r="D623" i="9" s="1"/>
  <c r="D622" i="9"/>
  <c r="C621" i="9"/>
  <c r="B621" i="9"/>
  <c r="A621" i="9"/>
  <c r="D621" i="9" s="1"/>
  <c r="D620" i="9"/>
  <c r="C619" i="9"/>
  <c r="B619" i="9"/>
  <c r="A619" i="9"/>
  <c r="D619" i="9" s="1"/>
  <c r="D618" i="9"/>
  <c r="C617" i="9"/>
  <c r="B617" i="9"/>
  <c r="A617" i="9"/>
  <c r="D617" i="9" s="1"/>
  <c r="D616" i="9"/>
  <c r="C615" i="9"/>
  <c r="B615" i="9"/>
  <c r="A615" i="9"/>
  <c r="D615" i="9" s="1"/>
  <c r="D614" i="9"/>
  <c r="C613" i="9"/>
  <c r="B613" i="9"/>
  <c r="A613" i="9"/>
  <c r="D613" i="9" s="1"/>
  <c r="D612" i="9"/>
  <c r="C611" i="9"/>
  <c r="B611" i="9"/>
  <c r="A611" i="9"/>
  <c r="D611" i="9" s="1"/>
  <c r="D610" i="9"/>
  <c r="C609" i="9"/>
  <c r="B609" i="9"/>
  <c r="A609" i="9"/>
  <c r="D609" i="9" s="1"/>
  <c r="D608" i="9"/>
  <c r="C607" i="9"/>
  <c r="B607" i="9"/>
  <c r="A607" i="9"/>
  <c r="D607" i="9" s="1"/>
  <c r="D606" i="9"/>
  <c r="C605" i="9"/>
  <c r="B605" i="9"/>
  <c r="A605" i="9"/>
  <c r="D605" i="9" s="1"/>
  <c r="D604" i="9"/>
  <c r="C603" i="9"/>
  <c r="B603" i="9"/>
  <c r="A603" i="9"/>
  <c r="D603" i="9" s="1"/>
  <c r="D602" i="9"/>
  <c r="C601" i="9"/>
  <c r="B601" i="9"/>
  <c r="A601" i="9"/>
  <c r="D601" i="9" s="1"/>
  <c r="D600" i="9"/>
  <c r="C599" i="9"/>
  <c r="B599" i="9"/>
  <c r="A599" i="9"/>
  <c r="D599" i="9" s="1"/>
  <c r="D598" i="9"/>
  <c r="C597" i="9"/>
  <c r="B597" i="9"/>
  <c r="A597" i="9"/>
  <c r="D597" i="9" s="1"/>
  <c r="D596" i="9"/>
  <c r="C595" i="9"/>
  <c r="B595" i="9"/>
  <c r="A595" i="9"/>
  <c r="D595" i="9" s="1"/>
  <c r="D594" i="9"/>
  <c r="C593" i="9"/>
  <c r="B593" i="9"/>
  <c r="A593" i="9"/>
  <c r="D593" i="9" s="1"/>
  <c r="D592" i="9"/>
  <c r="C591" i="9"/>
  <c r="B591" i="9"/>
  <c r="A591" i="9"/>
  <c r="D591" i="9" s="1"/>
  <c r="D590" i="9"/>
  <c r="C589" i="9"/>
  <c r="B589" i="9"/>
  <c r="A589" i="9"/>
  <c r="D589" i="9" s="1"/>
  <c r="D588" i="9"/>
  <c r="C587" i="9"/>
  <c r="B587" i="9"/>
  <c r="A587" i="9"/>
  <c r="D587" i="9" s="1"/>
  <c r="D586" i="9"/>
  <c r="C585" i="9"/>
  <c r="B585" i="9"/>
  <c r="A585" i="9"/>
  <c r="D585" i="9" s="1"/>
  <c r="D584" i="9"/>
  <c r="C583" i="9"/>
  <c r="B583" i="9"/>
  <c r="A583" i="9"/>
  <c r="D583" i="9" s="1"/>
  <c r="D582" i="9"/>
  <c r="D581" i="9"/>
  <c r="C581" i="9"/>
  <c r="B581" i="9"/>
  <c r="A581" i="9"/>
  <c r="D580" i="9"/>
  <c r="C579" i="9"/>
  <c r="B579" i="9"/>
  <c r="A579" i="9"/>
  <c r="D579" i="9" s="1"/>
  <c r="D578" i="9"/>
  <c r="C577" i="9"/>
  <c r="B577" i="9"/>
  <c r="A577" i="9"/>
  <c r="D577" i="9" s="1"/>
  <c r="D576" i="9"/>
  <c r="C575" i="9"/>
  <c r="B575" i="9"/>
  <c r="A575" i="9"/>
  <c r="D575" i="9" s="1"/>
  <c r="D574" i="9"/>
  <c r="C573" i="9"/>
  <c r="B573" i="9"/>
  <c r="A573" i="9"/>
  <c r="D573" i="9" s="1"/>
  <c r="D572" i="9"/>
  <c r="C571" i="9"/>
  <c r="B571" i="9"/>
  <c r="A571" i="9"/>
  <c r="D571" i="9" s="1"/>
  <c r="D570" i="9"/>
  <c r="C569" i="9"/>
  <c r="B569" i="9"/>
  <c r="A569" i="9"/>
  <c r="D569" i="9" s="1"/>
  <c r="D568" i="9"/>
  <c r="C567" i="9"/>
  <c r="B567" i="9"/>
  <c r="A567" i="9"/>
  <c r="D567" i="9" s="1"/>
  <c r="D566" i="9"/>
  <c r="C565" i="9"/>
  <c r="B565" i="9"/>
  <c r="A565" i="9"/>
  <c r="D565" i="9" s="1"/>
  <c r="D564" i="9"/>
  <c r="C563" i="9"/>
  <c r="B563" i="9"/>
  <c r="A563" i="9"/>
  <c r="D563" i="9" s="1"/>
  <c r="D562" i="9"/>
  <c r="C561" i="9"/>
  <c r="B561" i="9"/>
  <c r="A561" i="9"/>
  <c r="D561" i="9" s="1"/>
  <c r="D560" i="9"/>
  <c r="C559" i="9"/>
  <c r="B559" i="9"/>
  <c r="A559" i="9"/>
  <c r="D559" i="9" s="1"/>
  <c r="D558" i="9"/>
  <c r="C557" i="9"/>
  <c r="B557" i="9"/>
  <c r="A557" i="9"/>
  <c r="D557" i="9" s="1"/>
  <c r="D556" i="9"/>
  <c r="C555" i="9"/>
  <c r="B555" i="9"/>
  <c r="A555" i="9"/>
  <c r="D555" i="9" s="1"/>
  <c r="D554" i="9"/>
  <c r="C553" i="9"/>
  <c r="B553" i="9"/>
  <c r="A553" i="9"/>
  <c r="D553" i="9" s="1"/>
  <c r="D552" i="9"/>
  <c r="C551" i="9"/>
  <c r="B551" i="9"/>
  <c r="A551" i="9"/>
  <c r="D551" i="9" s="1"/>
  <c r="D550" i="9"/>
  <c r="C549" i="9"/>
  <c r="B549" i="9"/>
  <c r="A549" i="9"/>
  <c r="D549" i="9" s="1"/>
  <c r="D548" i="9"/>
  <c r="C547" i="9"/>
  <c r="B547" i="9"/>
  <c r="A547" i="9"/>
  <c r="D547" i="9" s="1"/>
  <c r="D546" i="9"/>
  <c r="C545" i="9"/>
  <c r="B545" i="9"/>
  <c r="A545" i="9"/>
  <c r="D545" i="9" s="1"/>
  <c r="D544" i="9"/>
  <c r="C543" i="9"/>
  <c r="B543" i="9"/>
  <c r="A543" i="9"/>
  <c r="D543" i="9" s="1"/>
  <c r="D542" i="9"/>
  <c r="C541" i="9"/>
  <c r="B541" i="9"/>
  <c r="A541" i="9"/>
  <c r="D541" i="9" s="1"/>
  <c r="D540" i="9"/>
  <c r="C539" i="9"/>
  <c r="B539" i="9"/>
  <c r="A539" i="9"/>
  <c r="D539" i="9" s="1"/>
  <c r="D538" i="9"/>
  <c r="C537" i="9"/>
  <c r="B537" i="9"/>
  <c r="A537" i="9"/>
  <c r="D537" i="9" s="1"/>
  <c r="D536" i="9"/>
  <c r="C535" i="9"/>
  <c r="B535" i="9"/>
  <c r="A535" i="9"/>
  <c r="D535" i="9" s="1"/>
  <c r="D534" i="9"/>
  <c r="C533" i="9"/>
  <c r="B533" i="9"/>
  <c r="A533" i="9"/>
  <c r="D533" i="9" s="1"/>
  <c r="D532" i="9"/>
  <c r="C531" i="9"/>
  <c r="B531" i="9"/>
  <c r="A531" i="9"/>
  <c r="D531" i="9" s="1"/>
  <c r="D530" i="9"/>
  <c r="C529" i="9"/>
  <c r="B529" i="9"/>
  <c r="A529" i="9"/>
  <c r="D529" i="9" s="1"/>
  <c r="D528" i="9"/>
  <c r="C527" i="9"/>
  <c r="B527" i="9"/>
  <c r="A527" i="9"/>
  <c r="D527" i="9" s="1"/>
  <c r="D526" i="9"/>
  <c r="C525" i="9"/>
  <c r="B525" i="9"/>
  <c r="A525" i="9"/>
  <c r="D525" i="9" s="1"/>
  <c r="D524" i="9"/>
  <c r="C523" i="9"/>
  <c r="B523" i="9"/>
  <c r="A523" i="9"/>
  <c r="D523" i="9" s="1"/>
  <c r="D522" i="9"/>
  <c r="C521" i="9"/>
  <c r="B521" i="9"/>
  <c r="A521" i="9"/>
  <c r="D521" i="9" s="1"/>
  <c r="D520" i="9"/>
  <c r="C519" i="9"/>
  <c r="B519" i="9"/>
  <c r="A519" i="9"/>
  <c r="D519" i="9" s="1"/>
  <c r="D518" i="9"/>
  <c r="C517" i="9"/>
  <c r="B517" i="9"/>
  <c r="A517" i="9"/>
  <c r="D517" i="9" s="1"/>
  <c r="D516" i="9"/>
  <c r="C515" i="9"/>
  <c r="B515" i="9"/>
  <c r="A515" i="9"/>
  <c r="D515" i="9" s="1"/>
  <c r="D514" i="9"/>
  <c r="C513" i="9"/>
  <c r="B513" i="9"/>
  <c r="A513" i="9"/>
  <c r="D513" i="9" s="1"/>
  <c r="D512" i="9"/>
  <c r="C511" i="9"/>
  <c r="B511" i="9"/>
  <c r="A511" i="9"/>
  <c r="D511" i="9" s="1"/>
  <c r="D510" i="9"/>
  <c r="C509" i="9"/>
  <c r="B509" i="9"/>
  <c r="A509" i="9"/>
  <c r="D509" i="9" s="1"/>
  <c r="D508" i="9"/>
  <c r="C507" i="9"/>
  <c r="B507" i="9"/>
  <c r="A507" i="9"/>
  <c r="D507" i="9" s="1"/>
  <c r="D506" i="9"/>
  <c r="C505" i="9"/>
  <c r="B505" i="9"/>
  <c r="A505" i="9"/>
  <c r="D505" i="9" s="1"/>
  <c r="D504" i="9"/>
  <c r="C503" i="9"/>
  <c r="B503" i="9"/>
  <c r="A503" i="9"/>
  <c r="D503" i="9" s="1"/>
  <c r="D502" i="9"/>
  <c r="C501" i="9"/>
  <c r="B501" i="9"/>
  <c r="A501" i="9"/>
  <c r="D501" i="9" s="1"/>
  <c r="D500" i="9"/>
  <c r="C499" i="9"/>
  <c r="B499" i="9"/>
  <c r="A499" i="9"/>
  <c r="D499" i="9" s="1"/>
  <c r="D498" i="9"/>
  <c r="C497" i="9"/>
  <c r="B497" i="9"/>
  <c r="A497" i="9"/>
  <c r="D497" i="9" s="1"/>
  <c r="D496" i="9"/>
  <c r="C495" i="9"/>
  <c r="B495" i="9"/>
  <c r="A495" i="9"/>
  <c r="D495" i="9" s="1"/>
  <c r="D494" i="9"/>
  <c r="C493" i="9"/>
  <c r="B493" i="9"/>
  <c r="A493" i="9"/>
  <c r="D493" i="9" s="1"/>
  <c r="D492" i="9"/>
  <c r="C491" i="9"/>
  <c r="B491" i="9"/>
  <c r="A491" i="9"/>
  <c r="D491" i="9" s="1"/>
  <c r="D490" i="9"/>
  <c r="C489" i="9"/>
  <c r="B489" i="9"/>
  <c r="A489" i="9"/>
  <c r="D489" i="9" s="1"/>
  <c r="D488" i="9"/>
  <c r="C487" i="9"/>
  <c r="B487" i="9"/>
  <c r="A487" i="9"/>
  <c r="D487" i="9" s="1"/>
  <c r="D486" i="9"/>
  <c r="C485" i="9"/>
  <c r="B485" i="9"/>
  <c r="A485" i="9"/>
  <c r="D485" i="9" s="1"/>
  <c r="D484" i="9"/>
  <c r="C483" i="9"/>
  <c r="B483" i="9"/>
  <c r="A483" i="9"/>
  <c r="D483" i="9" s="1"/>
  <c r="D482" i="9"/>
  <c r="C481" i="9"/>
  <c r="B481" i="9"/>
  <c r="A481" i="9"/>
  <c r="D481" i="9" s="1"/>
  <c r="D480" i="9"/>
  <c r="C479" i="9"/>
  <c r="B479" i="9"/>
  <c r="A479" i="9"/>
  <c r="D479" i="9" s="1"/>
  <c r="D478" i="9"/>
  <c r="C477" i="9"/>
  <c r="B477" i="9"/>
  <c r="A477" i="9"/>
  <c r="D477" i="9" s="1"/>
  <c r="D476" i="9"/>
  <c r="C475" i="9"/>
  <c r="B475" i="9"/>
  <c r="A475" i="9"/>
  <c r="D475" i="9" s="1"/>
  <c r="D474" i="9"/>
  <c r="C473" i="9"/>
  <c r="B473" i="9"/>
  <c r="A473" i="9"/>
  <c r="D473" i="9" s="1"/>
  <c r="D472" i="9"/>
  <c r="C471" i="9"/>
  <c r="B471" i="9"/>
  <c r="A471" i="9"/>
  <c r="D471" i="9" s="1"/>
  <c r="D470" i="9"/>
  <c r="C469" i="9"/>
  <c r="B469" i="9"/>
  <c r="A469" i="9"/>
  <c r="D469" i="9" s="1"/>
  <c r="D468" i="9"/>
  <c r="C467" i="9"/>
  <c r="B467" i="9"/>
  <c r="A467" i="9"/>
  <c r="D467" i="9" s="1"/>
  <c r="D466" i="9"/>
  <c r="C465" i="9"/>
  <c r="B465" i="9"/>
  <c r="A465" i="9"/>
  <c r="D465" i="9" s="1"/>
  <c r="D464" i="9"/>
  <c r="C463" i="9"/>
  <c r="B463" i="9"/>
  <c r="A463" i="9"/>
  <c r="D463" i="9" s="1"/>
  <c r="D462" i="9"/>
  <c r="C461" i="9"/>
  <c r="B461" i="9"/>
  <c r="A461" i="9"/>
  <c r="D461" i="9" s="1"/>
  <c r="D460" i="9"/>
  <c r="C459" i="9"/>
  <c r="B459" i="9"/>
  <c r="A459" i="9"/>
  <c r="D459" i="9" s="1"/>
  <c r="D458" i="9"/>
  <c r="C457" i="9"/>
  <c r="B457" i="9"/>
  <c r="A457" i="9"/>
  <c r="D457" i="9" s="1"/>
  <c r="D456" i="9"/>
  <c r="C455" i="9"/>
  <c r="B455" i="9"/>
  <c r="A455" i="9"/>
  <c r="D455" i="9" s="1"/>
  <c r="D454" i="9"/>
  <c r="C453" i="9"/>
  <c r="B453" i="9"/>
  <c r="A453" i="9"/>
  <c r="D453" i="9" s="1"/>
  <c r="D452" i="9"/>
  <c r="C451" i="9"/>
  <c r="B451" i="9"/>
  <c r="A451" i="9"/>
  <c r="D451" i="9" s="1"/>
  <c r="D450" i="9"/>
  <c r="C449" i="9"/>
  <c r="B449" i="9"/>
  <c r="A449" i="9"/>
  <c r="D449" i="9" s="1"/>
  <c r="D448" i="9"/>
  <c r="C447" i="9"/>
  <c r="B447" i="9"/>
  <c r="A447" i="9"/>
  <c r="D447" i="9" s="1"/>
  <c r="D446" i="9"/>
  <c r="C445" i="9"/>
  <c r="B445" i="9"/>
  <c r="A445" i="9"/>
  <c r="D445" i="9" s="1"/>
  <c r="D444" i="9"/>
  <c r="C443" i="9"/>
  <c r="B443" i="9"/>
  <c r="A443" i="9"/>
  <c r="D443" i="9" s="1"/>
  <c r="D442" i="9"/>
  <c r="C441" i="9"/>
  <c r="B441" i="9"/>
  <c r="A441" i="9"/>
  <c r="D441" i="9" s="1"/>
  <c r="D440" i="9"/>
  <c r="C439" i="9"/>
  <c r="B439" i="9"/>
  <c r="A439" i="9"/>
  <c r="D439" i="9" s="1"/>
  <c r="D438" i="9"/>
  <c r="C437" i="9"/>
  <c r="B437" i="9"/>
  <c r="A437" i="9"/>
  <c r="D437" i="9" s="1"/>
  <c r="D436" i="9"/>
  <c r="C435" i="9"/>
  <c r="B435" i="9"/>
  <c r="A435" i="9"/>
  <c r="D435" i="9" s="1"/>
  <c r="D434" i="9"/>
  <c r="C433" i="9"/>
  <c r="B433" i="9"/>
  <c r="A433" i="9"/>
  <c r="D433" i="9" s="1"/>
  <c r="D432" i="9"/>
  <c r="C431" i="9"/>
  <c r="B431" i="9"/>
  <c r="A431" i="9"/>
  <c r="D431" i="9" s="1"/>
  <c r="D430" i="9"/>
  <c r="C429" i="9"/>
  <c r="B429" i="9"/>
  <c r="A429" i="9"/>
  <c r="D429" i="9" s="1"/>
  <c r="D428" i="9"/>
  <c r="C427" i="9"/>
  <c r="B427" i="9"/>
  <c r="A427" i="9"/>
  <c r="D427" i="9" s="1"/>
  <c r="D426" i="9"/>
  <c r="C425" i="9"/>
  <c r="B425" i="9"/>
  <c r="A425" i="9"/>
  <c r="D425" i="9" s="1"/>
  <c r="D424" i="9"/>
  <c r="C423" i="9"/>
  <c r="B423" i="9"/>
  <c r="A423" i="9"/>
  <c r="D423" i="9" s="1"/>
  <c r="D422" i="9"/>
  <c r="C421" i="9"/>
  <c r="B421" i="9"/>
  <c r="A421" i="9"/>
  <c r="D421" i="9" s="1"/>
  <c r="D420" i="9"/>
  <c r="C419" i="9"/>
  <c r="B419" i="9"/>
  <c r="A419" i="9"/>
  <c r="D419" i="9" s="1"/>
  <c r="D418" i="9"/>
  <c r="C417" i="9"/>
  <c r="B417" i="9"/>
  <c r="A417" i="9"/>
  <c r="D417" i="9" s="1"/>
  <c r="D416" i="9"/>
  <c r="C415" i="9"/>
  <c r="B415" i="9"/>
  <c r="A415" i="9"/>
  <c r="D415" i="9" s="1"/>
  <c r="D414" i="9"/>
  <c r="C413" i="9"/>
  <c r="B413" i="9"/>
  <c r="A413" i="9"/>
  <c r="D413" i="9" s="1"/>
  <c r="D412" i="9"/>
  <c r="C411" i="9"/>
  <c r="B411" i="9"/>
  <c r="A411" i="9"/>
  <c r="D411" i="9" s="1"/>
  <c r="D410" i="9"/>
  <c r="C409" i="9"/>
  <c r="B409" i="9"/>
  <c r="A409" i="9"/>
  <c r="D409" i="9" s="1"/>
  <c r="D408" i="9"/>
  <c r="C407" i="9"/>
  <c r="B407" i="9"/>
  <c r="A407" i="9"/>
  <c r="D407" i="9" s="1"/>
  <c r="D406" i="9"/>
  <c r="C405" i="9"/>
  <c r="B405" i="9"/>
  <c r="A405" i="9"/>
  <c r="D405" i="9" s="1"/>
  <c r="D404" i="9"/>
  <c r="C403" i="9"/>
  <c r="B403" i="9"/>
  <c r="A403" i="9"/>
  <c r="D403" i="9" s="1"/>
  <c r="D402" i="9"/>
  <c r="C401" i="9"/>
  <c r="B401" i="9"/>
  <c r="A401" i="9"/>
  <c r="D401" i="9" s="1"/>
  <c r="D400" i="9"/>
  <c r="C399" i="9"/>
  <c r="B399" i="9"/>
  <c r="A399" i="9"/>
  <c r="D399" i="9" s="1"/>
  <c r="D398" i="9"/>
  <c r="C397" i="9"/>
  <c r="B397" i="9"/>
  <c r="A397" i="9"/>
  <c r="D397" i="9" s="1"/>
  <c r="D396" i="9"/>
  <c r="C395" i="9"/>
  <c r="B395" i="9"/>
  <c r="A395" i="9"/>
  <c r="D395" i="9" s="1"/>
  <c r="D394" i="9"/>
  <c r="C393" i="9"/>
  <c r="B393" i="9"/>
  <c r="A393" i="9"/>
  <c r="D393" i="9" s="1"/>
  <c r="D392" i="9"/>
  <c r="C391" i="9"/>
  <c r="B391" i="9"/>
  <c r="A391" i="9"/>
  <c r="D391" i="9" s="1"/>
  <c r="D390" i="9"/>
  <c r="C389" i="9"/>
  <c r="B389" i="9"/>
  <c r="A389" i="9"/>
  <c r="D389" i="9" s="1"/>
  <c r="D388" i="9"/>
  <c r="C387" i="9"/>
  <c r="B387" i="9"/>
  <c r="A387" i="9"/>
  <c r="D387" i="9" s="1"/>
  <c r="D386" i="9"/>
  <c r="C385" i="9"/>
  <c r="B385" i="9"/>
  <c r="A385" i="9"/>
  <c r="D385" i="9" s="1"/>
  <c r="D384" i="9"/>
  <c r="C383" i="9"/>
  <c r="B383" i="9"/>
  <c r="A383" i="9"/>
  <c r="D383" i="9" s="1"/>
  <c r="D382" i="9"/>
  <c r="C381" i="9"/>
  <c r="B381" i="9"/>
  <c r="A381" i="9"/>
  <c r="D381" i="9" s="1"/>
  <c r="D380" i="9"/>
  <c r="C379" i="9"/>
  <c r="B379" i="9"/>
  <c r="A379" i="9"/>
  <c r="D379" i="9" s="1"/>
  <c r="D378" i="9"/>
  <c r="C377" i="9"/>
  <c r="B377" i="9"/>
  <c r="A377" i="9"/>
  <c r="D377" i="9" s="1"/>
  <c r="D376" i="9"/>
  <c r="C375" i="9"/>
  <c r="B375" i="9"/>
  <c r="A375" i="9"/>
  <c r="D375" i="9" s="1"/>
  <c r="D374" i="9"/>
  <c r="C373" i="9"/>
  <c r="B373" i="9"/>
  <c r="A373" i="9"/>
  <c r="D373" i="9" s="1"/>
  <c r="D372" i="9"/>
  <c r="C371" i="9"/>
  <c r="B371" i="9"/>
  <c r="A371" i="9"/>
  <c r="D371" i="9" s="1"/>
  <c r="D370" i="9"/>
  <c r="C369" i="9"/>
  <c r="B369" i="9"/>
  <c r="A369" i="9"/>
  <c r="D369" i="9" s="1"/>
  <c r="D368" i="9"/>
  <c r="C367" i="9"/>
  <c r="B367" i="9"/>
  <c r="A367" i="9"/>
  <c r="D367" i="9" s="1"/>
  <c r="D366" i="9"/>
  <c r="C365" i="9"/>
  <c r="B365" i="9"/>
  <c r="A365" i="9"/>
  <c r="D365" i="9" s="1"/>
  <c r="D364" i="9"/>
  <c r="C363" i="9"/>
  <c r="B363" i="9"/>
  <c r="A363" i="9"/>
  <c r="D363" i="9" s="1"/>
  <c r="D362" i="9"/>
  <c r="C361" i="9"/>
  <c r="B361" i="9"/>
  <c r="A361" i="9"/>
  <c r="D361" i="9" s="1"/>
  <c r="D360" i="9"/>
  <c r="C359" i="9"/>
  <c r="B359" i="9"/>
  <c r="A359" i="9"/>
  <c r="D359" i="9" s="1"/>
  <c r="D358" i="9"/>
  <c r="C357" i="9"/>
  <c r="B357" i="9"/>
  <c r="A357" i="9"/>
  <c r="D357" i="9" s="1"/>
  <c r="D356" i="9"/>
  <c r="C355" i="9"/>
  <c r="B355" i="9"/>
  <c r="A355" i="9"/>
  <c r="D355" i="9" s="1"/>
  <c r="D354" i="9"/>
  <c r="C353" i="9"/>
  <c r="B353" i="9"/>
  <c r="A353" i="9"/>
  <c r="D353" i="9" s="1"/>
  <c r="D352" i="9"/>
  <c r="C351" i="9"/>
  <c r="B351" i="9"/>
  <c r="A351" i="9"/>
  <c r="D351" i="9" s="1"/>
  <c r="D350" i="9"/>
  <c r="C349" i="9"/>
  <c r="B349" i="9"/>
  <c r="A349" i="9"/>
  <c r="D349" i="9" s="1"/>
  <c r="D348" i="9"/>
  <c r="C347" i="9"/>
  <c r="B347" i="9"/>
  <c r="A347" i="9"/>
  <c r="D347" i="9" s="1"/>
  <c r="D346" i="9"/>
  <c r="C345" i="9"/>
  <c r="B345" i="9"/>
  <c r="A345" i="9"/>
  <c r="D345" i="9" s="1"/>
  <c r="D344" i="9"/>
  <c r="C343" i="9"/>
  <c r="B343" i="9"/>
  <c r="A343" i="9"/>
  <c r="D343" i="9" s="1"/>
  <c r="D342" i="9"/>
  <c r="C341" i="9"/>
  <c r="B341" i="9"/>
  <c r="A341" i="9"/>
  <c r="D341" i="9" s="1"/>
  <c r="D340" i="9"/>
  <c r="C339" i="9"/>
  <c r="B339" i="9"/>
  <c r="A339" i="9"/>
  <c r="D339" i="9" s="1"/>
  <c r="D338" i="9"/>
  <c r="C337" i="9"/>
  <c r="B337" i="9"/>
  <c r="A337" i="9"/>
  <c r="D337" i="9" s="1"/>
  <c r="D336" i="9"/>
  <c r="C335" i="9"/>
  <c r="B335" i="9"/>
  <c r="A335" i="9"/>
  <c r="D335" i="9" s="1"/>
  <c r="D334" i="9"/>
  <c r="C333" i="9"/>
  <c r="B333" i="9"/>
  <c r="A333" i="9"/>
  <c r="D333" i="9" s="1"/>
  <c r="D332" i="9"/>
  <c r="C331" i="9"/>
  <c r="B331" i="9"/>
  <c r="A331" i="9"/>
  <c r="D331" i="9" s="1"/>
  <c r="D330" i="9"/>
  <c r="C329" i="9"/>
  <c r="B329" i="9"/>
  <c r="A329" i="9"/>
  <c r="D329" i="9" s="1"/>
  <c r="D328" i="9"/>
  <c r="C327" i="9"/>
  <c r="B327" i="9"/>
  <c r="A327" i="9"/>
  <c r="D327" i="9" s="1"/>
  <c r="D326" i="9"/>
  <c r="C325" i="9"/>
  <c r="B325" i="9"/>
  <c r="A325" i="9"/>
  <c r="D325" i="9" s="1"/>
  <c r="D324" i="9"/>
  <c r="C323" i="9"/>
  <c r="B323" i="9"/>
  <c r="A323" i="9"/>
  <c r="D323" i="9" s="1"/>
  <c r="D322" i="9"/>
  <c r="C321" i="9"/>
  <c r="B321" i="9"/>
  <c r="A321" i="9"/>
  <c r="D321" i="9" s="1"/>
  <c r="D320" i="9"/>
  <c r="C319" i="9"/>
  <c r="B319" i="9"/>
  <c r="A319" i="9"/>
  <c r="D319" i="9" s="1"/>
  <c r="D318" i="9"/>
  <c r="C317" i="9"/>
  <c r="B317" i="9"/>
  <c r="A317" i="9"/>
  <c r="D317" i="9" s="1"/>
  <c r="D316" i="9"/>
  <c r="C315" i="9"/>
  <c r="B315" i="9"/>
  <c r="A315" i="9"/>
  <c r="D315" i="9" s="1"/>
  <c r="D314" i="9"/>
  <c r="C313" i="9"/>
  <c r="B313" i="9"/>
  <c r="A313" i="9"/>
  <c r="D313" i="9" s="1"/>
  <c r="D312" i="9"/>
  <c r="C311" i="9"/>
  <c r="B311" i="9"/>
  <c r="A311" i="9"/>
  <c r="D311" i="9" s="1"/>
  <c r="D310" i="9"/>
  <c r="C309" i="9"/>
  <c r="B309" i="9"/>
  <c r="A309" i="9"/>
  <c r="D309" i="9" s="1"/>
  <c r="D308" i="9"/>
  <c r="C307" i="9"/>
  <c r="B307" i="9"/>
  <c r="A307" i="9"/>
  <c r="D307" i="9" s="1"/>
  <c r="D306" i="9"/>
  <c r="C305" i="9"/>
  <c r="B305" i="9"/>
  <c r="A305" i="9"/>
  <c r="D305" i="9" s="1"/>
  <c r="D304" i="9"/>
  <c r="C303" i="9"/>
  <c r="B303" i="9"/>
  <c r="A303" i="9"/>
  <c r="D303" i="9" s="1"/>
  <c r="D302" i="9"/>
  <c r="C301" i="9"/>
  <c r="B301" i="9"/>
  <c r="A301" i="9"/>
  <c r="D301" i="9" s="1"/>
  <c r="D300" i="9"/>
  <c r="C299" i="9"/>
  <c r="B299" i="9"/>
  <c r="A299" i="9"/>
  <c r="D299" i="9" s="1"/>
  <c r="D298" i="9"/>
  <c r="C297" i="9"/>
  <c r="B297" i="9"/>
  <c r="A297" i="9"/>
  <c r="D297" i="9" s="1"/>
  <c r="D296" i="9"/>
  <c r="C295" i="9"/>
  <c r="B295" i="9"/>
  <c r="A295" i="9"/>
  <c r="D295" i="9" s="1"/>
  <c r="D294" i="9"/>
  <c r="C293" i="9"/>
  <c r="B293" i="9"/>
  <c r="A293" i="9"/>
  <c r="D293" i="9" s="1"/>
  <c r="D292" i="9"/>
  <c r="C291" i="9"/>
  <c r="B291" i="9"/>
  <c r="A291" i="9"/>
  <c r="D291" i="9" s="1"/>
  <c r="D290" i="9"/>
  <c r="C289" i="9"/>
  <c r="D289" i="9" s="1"/>
  <c r="B289" i="9"/>
  <c r="A289" i="9"/>
  <c r="D288" i="9"/>
  <c r="C287" i="9"/>
  <c r="B287" i="9"/>
  <c r="A287" i="9"/>
  <c r="D287" i="9" s="1"/>
  <c r="D286" i="9"/>
  <c r="C285" i="9"/>
  <c r="B285" i="9"/>
  <c r="A285" i="9"/>
  <c r="D285" i="9" s="1"/>
  <c r="D284" i="9"/>
  <c r="C283" i="9"/>
  <c r="B283" i="9"/>
  <c r="A283" i="9"/>
  <c r="D283" i="9" s="1"/>
  <c r="D282" i="9"/>
  <c r="C281" i="9"/>
  <c r="B281" i="9"/>
  <c r="A281" i="9"/>
  <c r="D281" i="9" s="1"/>
  <c r="D280" i="9"/>
  <c r="C279" i="9"/>
  <c r="B279" i="9"/>
  <c r="A279" i="9"/>
  <c r="D279" i="9" s="1"/>
  <c r="D278" i="9"/>
  <c r="C277" i="9"/>
  <c r="B277" i="9"/>
  <c r="A277" i="9"/>
  <c r="D277" i="9" s="1"/>
  <c r="D276" i="9"/>
  <c r="C275" i="9"/>
  <c r="B275" i="9"/>
  <c r="A275" i="9"/>
  <c r="D275" i="9" s="1"/>
  <c r="D274" i="9"/>
  <c r="C273" i="9"/>
  <c r="B273" i="9"/>
  <c r="A273" i="9"/>
  <c r="D273" i="9" s="1"/>
  <c r="D272" i="9"/>
  <c r="C271" i="9"/>
  <c r="B271" i="9"/>
  <c r="A271" i="9"/>
  <c r="D271" i="9" s="1"/>
  <c r="D270" i="9"/>
  <c r="C269" i="9"/>
  <c r="B269" i="9"/>
  <c r="A269" i="9"/>
  <c r="D269" i="9" s="1"/>
  <c r="D268" i="9"/>
  <c r="C267" i="9"/>
  <c r="B267" i="9"/>
  <c r="A267" i="9"/>
  <c r="D267" i="9" s="1"/>
  <c r="D266" i="9"/>
  <c r="C265" i="9"/>
  <c r="B265" i="9"/>
  <c r="A265" i="9"/>
  <c r="D265" i="9" s="1"/>
  <c r="D264" i="9"/>
  <c r="C263" i="9"/>
  <c r="B263" i="9"/>
  <c r="A263" i="9"/>
  <c r="D263" i="9" s="1"/>
  <c r="D262" i="9"/>
  <c r="C261" i="9"/>
  <c r="B261" i="9"/>
  <c r="A261" i="9"/>
  <c r="D261" i="9" s="1"/>
  <c r="D260" i="9"/>
  <c r="C259" i="9"/>
  <c r="B259" i="9"/>
  <c r="A259" i="9"/>
  <c r="D259" i="9" s="1"/>
  <c r="D258" i="9"/>
  <c r="C257" i="9"/>
  <c r="B257" i="9"/>
  <c r="A257" i="9"/>
  <c r="D257" i="9" s="1"/>
  <c r="D256" i="9"/>
  <c r="C255" i="9"/>
  <c r="B255" i="9"/>
  <c r="A255" i="9"/>
  <c r="D255" i="9" s="1"/>
  <c r="D254" i="9"/>
  <c r="C253" i="9"/>
  <c r="B253" i="9"/>
  <c r="A253" i="9"/>
  <c r="D253" i="9" s="1"/>
  <c r="D252" i="9"/>
  <c r="C251" i="9"/>
  <c r="B251" i="9"/>
  <c r="A251" i="9"/>
  <c r="D251" i="9" s="1"/>
  <c r="D250" i="9"/>
  <c r="C249" i="9"/>
  <c r="B249" i="9"/>
  <c r="A249" i="9"/>
  <c r="D249" i="9" s="1"/>
  <c r="D248" i="9"/>
  <c r="C247" i="9"/>
  <c r="B247" i="9"/>
  <c r="A247" i="9"/>
  <c r="D247" i="9" s="1"/>
  <c r="D246" i="9"/>
  <c r="C245" i="9"/>
  <c r="B245" i="9"/>
  <c r="A245" i="9"/>
  <c r="D245" i="9" s="1"/>
  <c r="D244" i="9"/>
  <c r="C243" i="9"/>
  <c r="B243" i="9"/>
  <c r="A243" i="9"/>
  <c r="D243" i="9" s="1"/>
  <c r="D242" i="9"/>
  <c r="C241" i="9"/>
  <c r="B241" i="9"/>
  <c r="A241" i="9"/>
  <c r="D241" i="9" s="1"/>
  <c r="D240" i="9"/>
  <c r="C239" i="9"/>
  <c r="B239" i="9"/>
  <c r="A239" i="9"/>
  <c r="D239" i="9" s="1"/>
  <c r="D238" i="9"/>
  <c r="C237" i="9"/>
  <c r="B237" i="9"/>
  <c r="A237" i="9"/>
  <c r="D237" i="9" s="1"/>
  <c r="D236" i="9"/>
  <c r="C235" i="9"/>
  <c r="B235" i="9"/>
  <c r="A235" i="9"/>
  <c r="D235" i="9" s="1"/>
  <c r="D234" i="9"/>
  <c r="C233" i="9"/>
  <c r="B233" i="9"/>
  <c r="A233" i="9"/>
  <c r="D233" i="9" s="1"/>
  <c r="D232" i="9"/>
  <c r="C231" i="9"/>
  <c r="B231" i="9"/>
  <c r="A231" i="9"/>
  <c r="D231" i="9" s="1"/>
  <c r="D230" i="9"/>
  <c r="C229" i="9"/>
  <c r="B229" i="9"/>
  <c r="A229" i="9"/>
  <c r="D229" i="9" s="1"/>
  <c r="D228" i="9"/>
  <c r="C227" i="9"/>
  <c r="B227" i="9"/>
  <c r="A227" i="9"/>
  <c r="D227" i="9" s="1"/>
  <c r="D226" i="9"/>
  <c r="C225" i="9"/>
  <c r="B225" i="9"/>
  <c r="A225" i="9"/>
  <c r="D225" i="9" s="1"/>
  <c r="D224" i="9"/>
  <c r="C223" i="9"/>
  <c r="B223" i="9"/>
  <c r="A223" i="9"/>
  <c r="D223" i="9" s="1"/>
  <c r="D222" i="9"/>
  <c r="C221" i="9"/>
  <c r="B221" i="9"/>
  <c r="A221" i="9"/>
  <c r="D221" i="9" s="1"/>
  <c r="D220" i="9"/>
  <c r="C219" i="9"/>
  <c r="B219" i="9"/>
  <c r="A219" i="9"/>
  <c r="D219" i="9" s="1"/>
  <c r="D218" i="9"/>
  <c r="C217" i="9"/>
  <c r="B217" i="9"/>
  <c r="A217" i="9"/>
  <c r="D217" i="9" s="1"/>
  <c r="D216" i="9"/>
  <c r="C215" i="9"/>
  <c r="B215" i="9"/>
  <c r="A215" i="9"/>
  <c r="D215" i="9" s="1"/>
  <c r="D214" i="9"/>
  <c r="C213" i="9"/>
  <c r="B213" i="9"/>
  <c r="A213" i="9"/>
  <c r="D213" i="9" s="1"/>
  <c r="D212" i="9"/>
  <c r="C211" i="9"/>
  <c r="B211" i="9"/>
  <c r="A211" i="9"/>
  <c r="D211" i="9" s="1"/>
  <c r="D210" i="9"/>
  <c r="C209" i="9"/>
  <c r="B209" i="9"/>
  <c r="A209" i="9"/>
  <c r="D209" i="9" s="1"/>
  <c r="D208" i="9"/>
  <c r="C207" i="9"/>
  <c r="B207" i="9"/>
  <c r="A207" i="9"/>
  <c r="D207" i="9" s="1"/>
  <c r="D206" i="9"/>
  <c r="C205" i="9"/>
  <c r="B205" i="9"/>
  <c r="A205" i="9"/>
  <c r="D205" i="9" s="1"/>
  <c r="D204" i="9"/>
  <c r="C203" i="9"/>
  <c r="B203" i="9"/>
  <c r="A203" i="9"/>
  <c r="D203" i="9" s="1"/>
  <c r="D202" i="9"/>
  <c r="C201" i="9"/>
  <c r="B201" i="9"/>
  <c r="A201" i="9"/>
  <c r="D201" i="9" s="1"/>
  <c r="D200" i="9"/>
  <c r="C199" i="9"/>
  <c r="B199" i="9"/>
  <c r="A199" i="9"/>
  <c r="D199" i="9" s="1"/>
  <c r="D198" i="9"/>
  <c r="C197" i="9"/>
  <c r="B197" i="9"/>
  <c r="A197" i="9"/>
  <c r="D197" i="9" s="1"/>
  <c r="D196" i="9"/>
  <c r="C195" i="9"/>
  <c r="B195" i="9"/>
  <c r="A195" i="9"/>
  <c r="D195" i="9" s="1"/>
  <c r="D194" i="9"/>
  <c r="C193" i="9"/>
  <c r="B193" i="9"/>
  <c r="A193" i="9"/>
  <c r="D193" i="9" s="1"/>
  <c r="D192" i="9"/>
  <c r="C191" i="9"/>
  <c r="B191" i="9"/>
  <c r="A191" i="9"/>
  <c r="D191" i="9" s="1"/>
  <c r="D190" i="9"/>
  <c r="C189" i="9"/>
  <c r="B189" i="9"/>
  <c r="A189" i="9"/>
  <c r="D189" i="9" s="1"/>
  <c r="D188" i="9"/>
  <c r="C187" i="9"/>
  <c r="B187" i="9"/>
  <c r="A187" i="9"/>
  <c r="D187" i="9" s="1"/>
  <c r="D186" i="9"/>
  <c r="C185" i="9"/>
  <c r="B185" i="9"/>
  <c r="A185" i="9"/>
  <c r="D185" i="9" s="1"/>
  <c r="D184" i="9"/>
  <c r="C183" i="9"/>
  <c r="B183" i="9"/>
  <c r="A183" i="9"/>
  <c r="D183" i="9" s="1"/>
  <c r="D182" i="9"/>
  <c r="C181" i="9"/>
  <c r="B181" i="9"/>
  <c r="A181" i="9"/>
  <c r="D181" i="9" s="1"/>
  <c r="D180" i="9"/>
  <c r="C179" i="9"/>
  <c r="B179" i="9"/>
  <c r="A179" i="9"/>
  <c r="D179" i="9" s="1"/>
  <c r="D178" i="9"/>
  <c r="C177" i="9"/>
  <c r="B177" i="9"/>
  <c r="A177" i="9"/>
  <c r="D177" i="9" s="1"/>
  <c r="D176" i="9"/>
  <c r="C175" i="9"/>
  <c r="B175" i="9"/>
  <c r="A175" i="9"/>
  <c r="D175" i="9" s="1"/>
  <c r="D174" i="9"/>
  <c r="C173" i="9"/>
  <c r="B173" i="9"/>
  <c r="A173" i="9"/>
  <c r="D173" i="9" s="1"/>
  <c r="D172" i="9"/>
  <c r="C171" i="9"/>
  <c r="B171" i="9"/>
  <c r="A171" i="9"/>
  <c r="D171" i="9" s="1"/>
  <c r="D170" i="9"/>
  <c r="D169" i="9"/>
  <c r="C169" i="9"/>
  <c r="B169" i="9"/>
  <c r="A169" i="9"/>
  <c r="D168" i="9"/>
  <c r="C167" i="9"/>
  <c r="B167" i="9"/>
  <c r="A167" i="9"/>
  <c r="D167" i="9" s="1"/>
  <c r="D166" i="9"/>
  <c r="C165" i="9"/>
  <c r="B165" i="9"/>
  <c r="A165" i="9"/>
  <c r="D165" i="9" s="1"/>
  <c r="D164" i="9"/>
  <c r="C163" i="9"/>
  <c r="B163" i="9"/>
  <c r="A163" i="9"/>
  <c r="D163" i="9" s="1"/>
  <c r="D162" i="9"/>
  <c r="C161" i="9"/>
  <c r="B161" i="9"/>
  <c r="A161" i="9"/>
  <c r="D161" i="9" s="1"/>
  <c r="D160" i="9"/>
  <c r="C159" i="9"/>
  <c r="B159" i="9"/>
  <c r="A159" i="9"/>
  <c r="D159" i="9" s="1"/>
  <c r="D158" i="9"/>
  <c r="C157" i="9"/>
  <c r="B157" i="9"/>
  <c r="A157" i="9"/>
  <c r="D157" i="9" s="1"/>
  <c r="D156" i="9"/>
  <c r="C155" i="9"/>
  <c r="B155" i="9"/>
  <c r="A155" i="9"/>
  <c r="D155" i="9" s="1"/>
  <c r="D154" i="9"/>
  <c r="C153" i="9"/>
  <c r="B153" i="9"/>
  <c r="A153" i="9"/>
  <c r="D153" i="9" s="1"/>
  <c r="D152" i="9"/>
  <c r="C151" i="9"/>
  <c r="B151" i="9"/>
  <c r="A151" i="9"/>
  <c r="D151" i="9" s="1"/>
  <c r="D150" i="9"/>
  <c r="C149" i="9"/>
  <c r="B149" i="9"/>
  <c r="A149" i="9"/>
  <c r="D149" i="9" s="1"/>
  <c r="D148" i="9"/>
  <c r="C147" i="9"/>
  <c r="B147" i="9"/>
  <c r="A147" i="9"/>
  <c r="D147" i="9" s="1"/>
  <c r="D146" i="9"/>
  <c r="C145" i="9"/>
  <c r="B145" i="9"/>
  <c r="A145" i="9"/>
  <c r="D145" i="9" s="1"/>
  <c r="D144" i="9"/>
  <c r="C143" i="9"/>
  <c r="B143" i="9"/>
  <c r="A143" i="9"/>
  <c r="D143" i="9" s="1"/>
  <c r="D142" i="9"/>
  <c r="C141" i="9"/>
  <c r="B141" i="9"/>
  <c r="A141" i="9"/>
  <c r="D141" i="9" s="1"/>
  <c r="D140" i="9"/>
  <c r="C139" i="9"/>
  <c r="B139" i="9"/>
  <c r="A139" i="9"/>
  <c r="D139" i="9" s="1"/>
  <c r="D138" i="9"/>
  <c r="C137" i="9"/>
  <c r="B137" i="9"/>
  <c r="A137" i="9"/>
  <c r="D137" i="9" s="1"/>
  <c r="D136" i="9"/>
  <c r="C135" i="9"/>
  <c r="B135" i="9"/>
  <c r="A135" i="9"/>
  <c r="D135" i="9" s="1"/>
  <c r="D134" i="9"/>
  <c r="C133" i="9"/>
  <c r="B133" i="9"/>
  <c r="A133" i="9"/>
  <c r="D133" i="9" s="1"/>
  <c r="D132" i="9"/>
  <c r="C131" i="9"/>
  <c r="B131" i="9"/>
  <c r="A131" i="9"/>
  <c r="D131" i="9" s="1"/>
  <c r="D130" i="9"/>
  <c r="C129" i="9"/>
  <c r="B129" i="9"/>
  <c r="A129" i="9"/>
  <c r="D129" i="9" s="1"/>
  <c r="D128" i="9"/>
  <c r="C127" i="9"/>
  <c r="B127" i="9"/>
  <c r="A127" i="9"/>
  <c r="D127" i="9" s="1"/>
  <c r="D126" i="9"/>
  <c r="C125" i="9"/>
  <c r="B125" i="9"/>
  <c r="A125" i="9"/>
  <c r="D125" i="9" s="1"/>
  <c r="D124" i="9"/>
  <c r="C123" i="9"/>
  <c r="B123" i="9"/>
  <c r="A123" i="9"/>
  <c r="D123" i="9" s="1"/>
  <c r="D122" i="9"/>
  <c r="C121" i="9"/>
  <c r="B121" i="9"/>
  <c r="A121" i="9"/>
  <c r="D121" i="9" s="1"/>
  <c r="D120" i="9"/>
  <c r="C119" i="9"/>
  <c r="B119" i="9"/>
  <c r="A119" i="9"/>
  <c r="D119" i="9" s="1"/>
  <c r="D118" i="9"/>
  <c r="C117" i="9"/>
  <c r="B117" i="9"/>
  <c r="A117" i="9"/>
  <c r="D117" i="9" s="1"/>
  <c r="D116" i="9"/>
  <c r="C115" i="9"/>
  <c r="B115" i="9"/>
  <c r="A115" i="9"/>
  <c r="D115" i="9" s="1"/>
  <c r="D114" i="9"/>
  <c r="C113" i="9"/>
  <c r="B113" i="9"/>
  <c r="A113" i="9"/>
  <c r="D113" i="9" s="1"/>
  <c r="D112" i="9"/>
  <c r="C111" i="9"/>
  <c r="B111" i="9"/>
  <c r="A111" i="9"/>
  <c r="D111" i="9" s="1"/>
  <c r="D110" i="9"/>
  <c r="C109" i="9"/>
  <c r="B109" i="9"/>
  <c r="A109" i="9"/>
  <c r="D109" i="9" s="1"/>
  <c r="D108" i="9"/>
  <c r="C107" i="9"/>
  <c r="B107" i="9"/>
  <c r="A107" i="9"/>
  <c r="D107" i="9" s="1"/>
  <c r="D106" i="9"/>
  <c r="C105" i="9"/>
  <c r="B105" i="9"/>
  <c r="A105" i="9"/>
  <c r="D105" i="9" s="1"/>
  <c r="D104" i="9"/>
  <c r="C103" i="9"/>
  <c r="B103" i="9"/>
  <c r="A103" i="9"/>
  <c r="D103" i="9" s="1"/>
  <c r="D102" i="9"/>
  <c r="C101" i="9"/>
  <c r="B101" i="9"/>
  <c r="A101" i="9"/>
  <c r="D101" i="9" s="1"/>
  <c r="D100" i="9"/>
  <c r="C99" i="9"/>
  <c r="B99" i="9"/>
  <c r="A99" i="9"/>
  <c r="D99" i="9" s="1"/>
  <c r="D98" i="9"/>
  <c r="C97" i="9"/>
  <c r="B97" i="9"/>
  <c r="A97" i="9"/>
  <c r="D97" i="9" s="1"/>
  <c r="D96" i="9"/>
  <c r="C95" i="9"/>
  <c r="B95" i="9"/>
  <c r="A95" i="9"/>
  <c r="D95" i="9" s="1"/>
  <c r="D94" i="9"/>
  <c r="C93" i="9"/>
  <c r="B93" i="9"/>
  <c r="A93" i="9"/>
  <c r="D93" i="9" s="1"/>
  <c r="D92" i="9"/>
  <c r="C91" i="9"/>
  <c r="B91" i="9"/>
  <c r="A91" i="9"/>
  <c r="D91" i="9" s="1"/>
  <c r="D90" i="9"/>
  <c r="C89" i="9"/>
  <c r="B89" i="9"/>
  <c r="A89" i="9"/>
  <c r="D89" i="9" s="1"/>
  <c r="D88" i="9"/>
  <c r="C87" i="9"/>
  <c r="B87" i="9"/>
  <c r="A87" i="9"/>
  <c r="D87" i="9" s="1"/>
  <c r="D86" i="9"/>
  <c r="C85" i="9"/>
  <c r="B85" i="9"/>
  <c r="A85" i="9"/>
  <c r="D85" i="9" s="1"/>
  <c r="D84" i="9"/>
  <c r="C83" i="9"/>
  <c r="B83" i="9"/>
  <c r="A83" i="9"/>
  <c r="D83" i="9" s="1"/>
  <c r="D82" i="9"/>
  <c r="C81" i="9"/>
  <c r="B81" i="9"/>
  <c r="A81" i="9"/>
  <c r="D81" i="9" s="1"/>
  <c r="D80" i="9"/>
  <c r="C79" i="9"/>
  <c r="B79" i="9"/>
  <c r="A79" i="9"/>
  <c r="D79" i="9" s="1"/>
  <c r="D78" i="9"/>
  <c r="C77" i="9"/>
  <c r="B77" i="9"/>
  <c r="A77" i="9"/>
  <c r="D77" i="9" s="1"/>
  <c r="D76" i="9"/>
  <c r="C75" i="9"/>
  <c r="B75" i="9"/>
  <c r="A75" i="9"/>
  <c r="D75" i="9" s="1"/>
  <c r="D74" i="9"/>
  <c r="C73" i="9"/>
  <c r="B73" i="9"/>
  <c r="A73" i="9"/>
  <c r="D73" i="9" s="1"/>
  <c r="D72" i="9"/>
  <c r="C71" i="9"/>
  <c r="B71" i="9"/>
  <c r="A71" i="9"/>
  <c r="D71" i="9" s="1"/>
  <c r="D70" i="9"/>
  <c r="C69" i="9"/>
  <c r="B69" i="9"/>
  <c r="A69" i="9"/>
  <c r="D69" i="9" s="1"/>
  <c r="D68" i="9"/>
  <c r="C67" i="9"/>
  <c r="B67" i="9"/>
  <c r="A67" i="9"/>
  <c r="D67" i="9" s="1"/>
  <c r="D66" i="9"/>
  <c r="C65" i="9"/>
  <c r="B65" i="9"/>
  <c r="A65" i="9"/>
  <c r="D65" i="9" s="1"/>
  <c r="D64" i="9"/>
  <c r="C63" i="9"/>
  <c r="B63" i="9"/>
  <c r="A63" i="9"/>
  <c r="D63" i="9" s="1"/>
  <c r="D62" i="9"/>
  <c r="C61" i="9"/>
  <c r="B61" i="9"/>
  <c r="A61" i="9"/>
  <c r="D61" i="9" s="1"/>
  <c r="D60" i="9"/>
  <c r="C59" i="9"/>
  <c r="B59" i="9"/>
  <c r="A59" i="9"/>
  <c r="D59" i="9" s="1"/>
  <c r="D58" i="9"/>
  <c r="C57" i="9"/>
  <c r="B57" i="9"/>
  <c r="A57" i="9"/>
  <c r="D57" i="9" s="1"/>
  <c r="D56" i="9"/>
  <c r="C55" i="9"/>
  <c r="B55" i="9"/>
  <c r="A55" i="9"/>
  <c r="D55" i="9" s="1"/>
  <c r="D54" i="9"/>
  <c r="C53" i="9"/>
  <c r="B53" i="9"/>
  <c r="A53" i="9"/>
  <c r="D53" i="9" s="1"/>
  <c r="D52" i="9"/>
  <c r="C51" i="9"/>
  <c r="B51" i="9"/>
  <c r="A51" i="9"/>
  <c r="D51" i="9" s="1"/>
  <c r="D50" i="9"/>
  <c r="C49" i="9"/>
  <c r="B49" i="9"/>
  <c r="A49" i="9"/>
  <c r="D49" i="9" s="1"/>
  <c r="D48" i="9"/>
  <c r="C47" i="9"/>
  <c r="B47" i="9"/>
  <c r="A47" i="9"/>
  <c r="D47" i="9" s="1"/>
  <c r="D46" i="9"/>
  <c r="C45" i="9"/>
  <c r="B45" i="9"/>
  <c r="A45" i="9"/>
  <c r="D45" i="9" s="1"/>
  <c r="D44" i="9"/>
  <c r="C43" i="9"/>
  <c r="B43" i="9"/>
  <c r="A43" i="9"/>
  <c r="D43" i="9" s="1"/>
  <c r="D42" i="9"/>
  <c r="C41" i="9"/>
  <c r="B41" i="9"/>
  <c r="A41" i="9"/>
  <c r="D41" i="9" s="1"/>
  <c r="D40" i="9"/>
  <c r="C39" i="9"/>
  <c r="B39" i="9"/>
  <c r="A39" i="9"/>
  <c r="D39" i="9" s="1"/>
  <c r="D38" i="9"/>
  <c r="C37" i="9"/>
  <c r="B37" i="9"/>
  <c r="A37" i="9"/>
  <c r="D37" i="9" s="1"/>
  <c r="D36" i="9"/>
  <c r="C35" i="9"/>
  <c r="B35" i="9"/>
  <c r="A35" i="9"/>
  <c r="D35" i="9" s="1"/>
  <c r="D34" i="9"/>
  <c r="C33" i="9"/>
  <c r="B33" i="9"/>
  <c r="A33" i="9"/>
  <c r="D33" i="9" s="1"/>
  <c r="D32" i="9"/>
  <c r="C31" i="9"/>
  <c r="B31" i="9"/>
  <c r="A31" i="9"/>
  <c r="D31" i="9" s="1"/>
  <c r="D30" i="9"/>
  <c r="C29" i="9"/>
  <c r="B29" i="9"/>
  <c r="A29" i="9"/>
  <c r="D29" i="9" s="1"/>
  <c r="D28" i="9"/>
  <c r="C27" i="9"/>
  <c r="B27" i="9"/>
  <c r="A27" i="9"/>
  <c r="D27" i="9" s="1"/>
  <c r="D26" i="9"/>
  <c r="C25" i="9"/>
  <c r="B25" i="9"/>
  <c r="A25" i="9"/>
  <c r="D25" i="9" s="1"/>
  <c r="D24" i="9"/>
  <c r="C23" i="9"/>
  <c r="B23" i="9"/>
  <c r="A23" i="9"/>
  <c r="D23" i="9" s="1"/>
  <c r="D22" i="9"/>
  <c r="C21" i="9"/>
  <c r="B21" i="9"/>
  <c r="A21" i="9"/>
  <c r="D21" i="9" s="1"/>
  <c r="D20" i="9"/>
  <c r="C19" i="9"/>
  <c r="B19" i="9"/>
  <c r="A19" i="9"/>
  <c r="D19" i="9" s="1"/>
  <c r="D18" i="9"/>
  <c r="C17" i="9"/>
  <c r="B17" i="9"/>
  <c r="A17" i="9"/>
  <c r="D17" i="9" s="1"/>
  <c r="D16" i="9"/>
  <c r="C15" i="9"/>
  <c r="B15" i="9"/>
  <c r="A15" i="9"/>
  <c r="D15" i="9" s="1"/>
  <c r="D14" i="9"/>
  <c r="C13" i="9"/>
  <c r="B13" i="9"/>
  <c r="A13" i="9"/>
  <c r="D13" i="9" s="1"/>
  <c r="D12" i="9"/>
  <c r="C11" i="9"/>
  <c r="B11" i="9"/>
  <c r="A11" i="9"/>
  <c r="D11" i="9" s="1"/>
  <c r="C9" i="9"/>
  <c r="B9" i="9"/>
  <c r="A9" i="9"/>
  <c r="D9" i="9" s="1"/>
  <c r="C7" i="9"/>
  <c r="B7" i="9"/>
  <c r="A7" i="9"/>
  <c r="D7" i="9" s="1"/>
  <c r="C5" i="9"/>
  <c r="B5" i="9"/>
  <c r="A5" i="9"/>
  <c r="D5" i="9" s="1"/>
  <c r="C3" i="9"/>
  <c r="B3" i="9"/>
  <c r="A3" i="9"/>
  <c r="D500" i="8"/>
  <c r="D499" i="8"/>
  <c r="D498" i="8"/>
  <c r="D497" i="8"/>
  <c r="D496" i="8"/>
  <c r="D495" i="8"/>
  <c r="D494" i="8"/>
  <c r="D493" i="8"/>
  <c r="D492" i="8"/>
  <c r="D491" i="8"/>
  <c r="D490" i="8"/>
  <c r="D489" i="8"/>
  <c r="D488" i="8"/>
  <c r="D487" i="8"/>
  <c r="D486" i="8"/>
  <c r="D485" i="8"/>
  <c r="D484" i="8"/>
  <c r="D483" i="8"/>
  <c r="D482" i="8"/>
  <c r="D481" i="8"/>
  <c r="D480" i="8"/>
  <c r="D479" i="8"/>
  <c r="D478" i="8"/>
  <c r="D477" i="8"/>
  <c r="D476" i="8"/>
  <c r="D475" i="8"/>
  <c r="D474" i="8"/>
  <c r="D473" i="8"/>
  <c r="D472" i="8"/>
  <c r="D471" i="8"/>
  <c r="D470" i="8"/>
  <c r="D469" i="8"/>
  <c r="D468" i="8"/>
  <c r="D467" i="8"/>
  <c r="D466" i="8"/>
  <c r="D465" i="8"/>
  <c r="D464" i="8"/>
  <c r="D463" i="8"/>
  <c r="D462" i="8"/>
  <c r="D461" i="8"/>
  <c r="D460" i="8"/>
  <c r="D459" i="8"/>
  <c r="D458" i="8"/>
  <c r="D457" i="8"/>
  <c r="D456" i="8"/>
  <c r="D455" i="8"/>
  <c r="D454" i="8"/>
  <c r="D453" i="8"/>
  <c r="D452" i="8"/>
  <c r="D451" i="8"/>
  <c r="D450" i="8"/>
  <c r="D449" i="8"/>
  <c r="D448" i="8"/>
  <c r="D447" i="8"/>
  <c r="D446" i="8"/>
  <c r="D445" i="8"/>
  <c r="D444" i="8"/>
  <c r="D443" i="8"/>
  <c r="D442" i="8"/>
  <c r="D441" i="8"/>
  <c r="D440" i="8"/>
  <c r="D439" i="8"/>
  <c r="D438" i="8"/>
  <c r="D437" i="8"/>
  <c r="D436" i="8"/>
  <c r="D435" i="8"/>
  <c r="D434" i="8"/>
  <c r="D433" i="8"/>
  <c r="D432" i="8"/>
  <c r="D431" i="8"/>
  <c r="D430" i="8"/>
  <c r="D429" i="8"/>
  <c r="D428" i="8"/>
  <c r="D427" i="8"/>
  <c r="D426" i="8"/>
  <c r="D425" i="8"/>
  <c r="D424" i="8"/>
  <c r="D423" i="8"/>
  <c r="D422" i="8"/>
  <c r="D421" i="8"/>
  <c r="D420" i="8"/>
  <c r="D419" i="8"/>
  <c r="D418" i="8"/>
  <c r="D417" i="8"/>
  <c r="D416" i="8"/>
  <c r="D415" i="8"/>
  <c r="D414" i="8"/>
  <c r="D413" i="8"/>
  <c r="D412" i="8"/>
  <c r="D411" i="8"/>
  <c r="D410" i="8"/>
  <c r="D409" i="8"/>
  <c r="D408" i="8"/>
  <c r="D407" i="8"/>
  <c r="D406" i="8"/>
  <c r="D405" i="8"/>
  <c r="D404" i="8"/>
  <c r="D403" i="8"/>
  <c r="D402" i="8"/>
  <c r="D401" i="8"/>
  <c r="D400" i="8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G1000" i="7"/>
  <c r="G999" i="7"/>
  <c r="G998" i="7"/>
  <c r="G997" i="7"/>
  <c r="G996" i="7"/>
  <c r="G995" i="7"/>
  <c r="G994" i="7"/>
  <c r="G993" i="7"/>
  <c r="G992" i="7"/>
  <c r="G991" i="7"/>
  <c r="G990" i="7"/>
  <c r="G989" i="7"/>
  <c r="G988" i="7"/>
  <c r="G987" i="7"/>
  <c r="G986" i="7"/>
  <c r="G985" i="7"/>
  <c r="G984" i="7"/>
  <c r="G983" i="7"/>
  <c r="G982" i="7"/>
  <c r="G981" i="7"/>
  <c r="G980" i="7"/>
  <c r="G979" i="7"/>
  <c r="G978" i="7"/>
  <c r="G977" i="7"/>
  <c r="G976" i="7"/>
  <c r="G975" i="7"/>
  <c r="G974" i="7"/>
  <c r="G973" i="7"/>
  <c r="G972" i="7"/>
  <c r="G971" i="7"/>
  <c r="G970" i="7"/>
  <c r="G969" i="7"/>
  <c r="G968" i="7"/>
  <c r="G967" i="7"/>
  <c r="G966" i="7"/>
  <c r="G965" i="7"/>
  <c r="G964" i="7"/>
  <c r="G963" i="7"/>
  <c r="G962" i="7"/>
  <c r="G961" i="7"/>
  <c r="G960" i="7"/>
  <c r="G959" i="7"/>
  <c r="G958" i="7"/>
  <c r="G957" i="7"/>
  <c r="G956" i="7"/>
  <c r="G955" i="7"/>
  <c r="G954" i="7"/>
  <c r="G953" i="7"/>
  <c r="G952" i="7"/>
  <c r="G951" i="7"/>
  <c r="G950" i="7"/>
  <c r="G949" i="7"/>
  <c r="G948" i="7"/>
  <c r="G947" i="7"/>
  <c r="G946" i="7"/>
  <c r="G945" i="7"/>
  <c r="G944" i="7"/>
  <c r="G943" i="7"/>
  <c r="G942" i="7"/>
  <c r="G941" i="7"/>
  <c r="G940" i="7"/>
  <c r="G939" i="7"/>
  <c r="G938" i="7"/>
  <c r="G937" i="7"/>
  <c r="G936" i="7"/>
  <c r="G935" i="7"/>
  <c r="G934" i="7"/>
  <c r="G933" i="7"/>
  <c r="G932" i="7"/>
  <c r="G931" i="7"/>
  <c r="G930" i="7"/>
  <c r="G929" i="7"/>
  <c r="G928" i="7"/>
  <c r="G927" i="7"/>
  <c r="G926" i="7"/>
  <c r="G925" i="7"/>
  <c r="G924" i="7"/>
  <c r="G923" i="7"/>
  <c r="G922" i="7"/>
  <c r="G921" i="7"/>
  <c r="G920" i="7"/>
  <c r="G919" i="7"/>
  <c r="G918" i="7"/>
  <c r="G917" i="7"/>
  <c r="G916" i="7"/>
  <c r="G915" i="7"/>
  <c r="G914" i="7"/>
  <c r="G913" i="7"/>
  <c r="G912" i="7"/>
  <c r="G911" i="7"/>
  <c r="G910" i="7"/>
  <c r="G909" i="7"/>
  <c r="G908" i="7"/>
  <c r="G907" i="7"/>
  <c r="G906" i="7"/>
  <c r="G905" i="7"/>
  <c r="G904" i="7"/>
  <c r="G903" i="7"/>
  <c r="G902" i="7"/>
  <c r="G901" i="7"/>
  <c r="G900" i="7"/>
  <c r="G899" i="7"/>
  <c r="G898" i="7"/>
  <c r="G897" i="7"/>
  <c r="G896" i="7"/>
  <c r="G895" i="7"/>
  <c r="G894" i="7"/>
  <c r="G893" i="7"/>
  <c r="G892" i="7"/>
  <c r="G891" i="7"/>
  <c r="G890" i="7"/>
  <c r="G889" i="7"/>
  <c r="G888" i="7"/>
  <c r="G887" i="7"/>
  <c r="G886" i="7"/>
  <c r="G885" i="7"/>
  <c r="G884" i="7"/>
  <c r="G883" i="7"/>
  <c r="G882" i="7"/>
  <c r="G881" i="7"/>
  <c r="G880" i="7"/>
  <c r="G879" i="7"/>
  <c r="G878" i="7"/>
  <c r="G877" i="7"/>
  <c r="G876" i="7"/>
  <c r="G875" i="7"/>
  <c r="G874" i="7"/>
  <c r="G873" i="7"/>
  <c r="G872" i="7"/>
  <c r="G871" i="7"/>
  <c r="G870" i="7"/>
  <c r="G869" i="7"/>
  <c r="G868" i="7"/>
  <c r="G867" i="7"/>
  <c r="G866" i="7"/>
  <c r="G865" i="7"/>
  <c r="G864" i="7"/>
  <c r="G863" i="7"/>
  <c r="G862" i="7"/>
  <c r="G861" i="7"/>
  <c r="G860" i="7"/>
  <c r="G859" i="7"/>
  <c r="G858" i="7"/>
  <c r="G857" i="7"/>
  <c r="G856" i="7"/>
  <c r="G855" i="7"/>
  <c r="G854" i="7"/>
  <c r="G853" i="7"/>
  <c r="G852" i="7"/>
  <c r="G851" i="7"/>
  <c r="G850" i="7"/>
  <c r="G849" i="7"/>
  <c r="G848" i="7"/>
  <c r="G847" i="7"/>
  <c r="G846" i="7"/>
  <c r="G845" i="7"/>
  <c r="G844" i="7"/>
  <c r="G843" i="7"/>
  <c r="G842" i="7"/>
  <c r="G841" i="7"/>
  <c r="G840" i="7"/>
  <c r="G839" i="7"/>
  <c r="G838" i="7"/>
  <c r="G837" i="7"/>
  <c r="G836" i="7"/>
  <c r="G835" i="7"/>
  <c r="G834" i="7"/>
  <c r="G833" i="7"/>
  <c r="G832" i="7"/>
  <c r="G831" i="7"/>
  <c r="G830" i="7"/>
  <c r="G829" i="7"/>
  <c r="G828" i="7"/>
  <c r="G827" i="7"/>
  <c r="G826" i="7"/>
  <c r="G825" i="7"/>
  <c r="G824" i="7"/>
  <c r="G823" i="7"/>
  <c r="G822" i="7"/>
  <c r="G821" i="7"/>
  <c r="G820" i="7"/>
  <c r="G819" i="7"/>
  <c r="G818" i="7"/>
  <c r="G817" i="7"/>
  <c r="G816" i="7"/>
  <c r="G815" i="7"/>
  <c r="G814" i="7"/>
  <c r="G813" i="7"/>
  <c r="G812" i="7"/>
  <c r="G811" i="7"/>
  <c r="G810" i="7"/>
  <c r="G809" i="7"/>
  <c r="G808" i="7"/>
  <c r="G807" i="7"/>
  <c r="G806" i="7"/>
  <c r="G805" i="7"/>
  <c r="G804" i="7"/>
  <c r="G803" i="7"/>
  <c r="G802" i="7"/>
  <c r="G801" i="7"/>
  <c r="G800" i="7"/>
  <c r="G799" i="7"/>
  <c r="G798" i="7"/>
  <c r="G797" i="7"/>
  <c r="G796" i="7"/>
  <c r="G795" i="7"/>
  <c r="G794" i="7"/>
  <c r="G793" i="7"/>
  <c r="G792" i="7"/>
  <c r="G791" i="7"/>
  <c r="G790" i="7"/>
  <c r="G789" i="7"/>
  <c r="G788" i="7"/>
  <c r="G787" i="7"/>
  <c r="G786" i="7"/>
  <c r="G785" i="7"/>
  <c r="G784" i="7"/>
  <c r="G783" i="7"/>
  <c r="G782" i="7"/>
  <c r="G781" i="7"/>
  <c r="G780" i="7"/>
  <c r="G779" i="7"/>
  <c r="G778" i="7"/>
  <c r="G777" i="7"/>
  <c r="G776" i="7"/>
  <c r="G775" i="7"/>
  <c r="G774" i="7"/>
  <c r="G773" i="7"/>
  <c r="G772" i="7"/>
  <c r="G771" i="7"/>
  <c r="G770" i="7"/>
  <c r="G769" i="7"/>
  <c r="G768" i="7"/>
  <c r="G767" i="7"/>
  <c r="G766" i="7"/>
  <c r="G765" i="7"/>
  <c r="G764" i="7"/>
  <c r="G763" i="7"/>
  <c r="G762" i="7"/>
  <c r="G761" i="7"/>
  <c r="G760" i="7"/>
  <c r="G759" i="7"/>
  <c r="G758" i="7"/>
  <c r="G757" i="7"/>
  <c r="G756" i="7"/>
  <c r="G755" i="7"/>
  <c r="G754" i="7"/>
  <c r="G753" i="7"/>
  <c r="G752" i="7"/>
  <c r="G751" i="7"/>
  <c r="G750" i="7"/>
  <c r="G749" i="7"/>
  <c r="G748" i="7"/>
  <c r="G747" i="7"/>
  <c r="G746" i="7"/>
  <c r="G745" i="7"/>
  <c r="G744" i="7"/>
  <c r="G743" i="7"/>
  <c r="G742" i="7"/>
  <c r="G741" i="7"/>
  <c r="G740" i="7"/>
  <c r="G739" i="7"/>
  <c r="G738" i="7"/>
  <c r="G737" i="7"/>
  <c r="G736" i="7"/>
  <c r="G735" i="7"/>
  <c r="G734" i="7"/>
  <c r="G733" i="7"/>
  <c r="G732" i="7"/>
  <c r="G731" i="7"/>
  <c r="G730" i="7"/>
  <c r="G729" i="7"/>
  <c r="G728" i="7"/>
  <c r="G727" i="7"/>
  <c r="G726" i="7"/>
  <c r="G725" i="7"/>
  <c r="G724" i="7"/>
  <c r="G723" i="7"/>
  <c r="G722" i="7"/>
  <c r="G721" i="7"/>
  <c r="G720" i="7"/>
  <c r="G719" i="7"/>
  <c r="G718" i="7"/>
  <c r="G717" i="7"/>
  <c r="G716" i="7"/>
  <c r="G715" i="7"/>
  <c r="G714" i="7"/>
  <c r="G713" i="7"/>
  <c r="G712" i="7"/>
  <c r="G711" i="7"/>
  <c r="G710" i="7"/>
  <c r="G709" i="7"/>
  <c r="G708" i="7"/>
  <c r="G707" i="7"/>
  <c r="G706" i="7"/>
  <c r="G705" i="7"/>
  <c r="G704" i="7"/>
  <c r="G703" i="7"/>
  <c r="G702" i="7"/>
  <c r="G701" i="7"/>
  <c r="G700" i="7"/>
  <c r="G699" i="7"/>
  <c r="G698" i="7"/>
  <c r="G697" i="7"/>
  <c r="G696" i="7"/>
  <c r="G695" i="7"/>
  <c r="G694" i="7"/>
  <c r="G693" i="7"/>
  <c r="G692" i="7"/>
  <c r="G691" i="7"/>
  <c r="G690" i="7"/>
  <c r="G689" i="7"/>
  <c r="G688" i="7"/>
  <c r="G687" i="7"/>
  <c r="G686" i="7"/>
  <c r="G685" i="7"/>
  <c r="G684" i="7"/>
  <c r="G683" i="7"/>
  <c r="G682" i="7"/>
  <c r="G681" i="7"/>
  <c r="G680" i="7"/>
  <c r="G679" i="7"/>
  <c r="G678" i="7"/>
  <c r="G677" i="7"/>
  <c r="G676" i="7"/>
  <c r="G675" i="7"/>
  <c r="G674" i="7"/>
  <c r="G673" i="7"/>
  <c r="G672" i="7"/>
  <c r="G671" i="7"/>
  <c r="G670" i="7"/>
  <c r="G669" i="7"/>
  <c r="G668" i="7"/>
  <c r="G667" i="7"/>
  <c r="G666" i="7"/>
  <c r="G665" i="7"/>
  <c r="G664" i="7"/>
  <c r="G663" i="7"/>
  <c r="G662" i="7"/>
  <c r="G661" i="7"/>
  <c r="G660" i="7"/>
  <c r="G659" i="7"/>
  <c r="G658" i="7"/>
  <c r="G657" i="7"/>
  <c r="G656" i="7"/>
  <c r="G655" i="7"/>
  <c r="G654" i="7"/>
  <c r="G653" i="7"/>
  <c r="G652" i="7"/>
  <c r="G651" i="7"/>
  <c r="G650" i="7"/>
  <c r="G649" i="7"/>
  <c r="G648" i="7"/>
  <c r="G647" i="7"/>
  <c r="G646" i="7"/>
  <c r="G645" i="7"/>
  <c r="G644" i="7"/>
  <c r="G643" i="7"/>
  <c r="G642" i="7"/>
  <c r="G641" i="7"/>
  <c r="G640" i="7"/>
  <c r="G639" i="7"/>
  <c r="G638" i="7"/>
  <c r="G637" i="7"/>
  <c r="G636" i="7"/>
  <c r="G635" i="7"/>
  <c r="G634" i="7"/>
  <c r="G633" i="7"/>
  <c r="G632" i="7"/>
  <c r="G631" i="7"/>
  <c r="G630" i="7"/>
  <c r="G629" i="7"/>
  <c r="G628" i="7"/>
  <c r="G627" i="7"/>
  <c r="G626" i="7"/>
  <c r="G625" i="7"/>
  <c r="G624" i="7"/>
  <c r="G623" i="7"/>
  <c r="G622" i="7"/>
  <c r="G621" i="7"/>
  <c r="G620" i="7"/>
  <c r="G619" i="7"/>
  <c r="G618" i="7"/>
  <c r="G617" i="7"/>
  <c r="G616" i="7"/>
  <c r="G615" i="7"/>
  <c r="G614" i="7"/>
  <c r="G613" i="7"/>
  <c r="G612" i="7"/>
  <c r="G611" i="7"/>
  <c r="G610" i="7"/>
  <c r="G609" i="7"/>
  <c r="G608" i="7"/>
  <c r="G607" i="7"/>
  <c r="G606" i="7"/>
  <c r="G605" i="7"/>
  <c r="G604" i="7"/>
  <c r="G603" i="7"/>
  <c r="G602" i="7"/>
  <c r="G601" i="7"/>
  <c r="G600" i="7"/>
  <c r="G599" i="7"/>
  <c r="G598" i="7"/>
  <c r="G597" i="7"/>
  <c r="G596" i="7"/>
  <c r="G595" i="7"/>
  <c r="G594" i="7"/>
  <c r="G593" i="7"/>
  <c r="G592" i="7"/>
  <c r="G591" i="7"/>
  <c r="G590" i="7"/>
  <c r="G589" i="7"/>
  <c r="G588" i="7"/>
  <c r="G587" i="7"/>
  <c r="G586" i="7"/>
  <c r="G585" i="7"/>
  <c r="G584" i="7"/>
  <c r="G583" i="7"/>
  <c r="G582" i="7"/>
  <c r="G581" i="7"/>
  <c r="G580" i="7"/>
  <c r="G579" i="7"/>
  <c r="G578" i="7"/>
  <c r="G577" i="7"/>
  <c r="G576" i="7"/>
  <c r="G575" i="7"/>
  <c r="G574" i="7"/>
  <c r="G573" i="7"/>
  <c r="G572" i="7"/>
  <c r="G571" i="7"/>
  <c r="G570" i="7"/>
  <c r="G569" i="7"/>
  <c r="G568" i="7"/>
  <c r="G567" i="7"/>
  <c r="G566" i="7"/>
  <c r="G565" i="7"/>
  <c r="G564" i="7"/>
  <c r="G563" i="7"/>
  <c r="G562" i="7"/>
  <c r="G561" i="7"/>
  <c r="G560" i="7"/>
  <c r="G559" i="7"/>
  <c r="G558" i="7"/>
  <c r="G557" i="7"/>
  <c r="G556" i="7"/>
  <c r="G555" i="7"/>
  <c r="G554" i="7"/>
  <c r="G553" i="7"/>
  <c r="G552" i="7"/>
  <c r="G551" i="7"/>
  <c r="G550" i="7"/>
  <c r="G549" i="7"/>
  <c r="G548" i="7"/>
  <c r="G547" i="7"/>
  <c r="G546" i="7"/>
  <c r="G545" i="7"/>
  <c r="G544" i="7"/>
  <c r="G543" i="7"/>
  <c r="G542" i="7"/>
  <c r="G541" i="7"/>
  <c r="G540" i="7"/>
  <c r="G539" i="7"/>
  <c r="G538" i="7"/>
  <c r="G537" i="7"/>
  <c r="G536" i="7"/>
  <c r="G535" i="7"/>
  <c r="G534" i="7"/>
  <c r="G533" i="7"/>
  <c r="G532" i="7"/>
  <c r="G531" i="7"/>
  <c r="G530" i="7"/>
  <c r="G529" i="7"/>
  <c r="G528" i="7"/>
  <c r="G527" i="7"/>
  <c r="G526" i="7"/>
  <c r="G525" i="7"/>
  <c r="G524" i="7"/>
  <c r="G523" i="7"/>
  <c r="G522" i="7"/>
  <c r="G521" i="7"/>
  <c r="G520" i="7"/>
  <c r="G519" i="7"/>
  <c r="G518" i="7"/>
  <c r="G517" i="7"/>
  <c r="G516" i="7"/>
  <c r="G515" i="7"/>
  <c r="G514" i="7"/>
  <c r="G513" i="7"/>
  <c r="G512" i="7"/>
  <c r="G511" i="7"/>
  <c r="G510" i="7"/>
  <c r="G509" i="7"/>
  <c r="G508" i="7"/>
  <c r="G507" i="7"/>
  <c r="G506" i="7"/>
  <c r="G505" i="7"/>
  <c r="G504" i="7"/>
  <c r="G503" i="7"/>
  <c r="G502" i="7"/>
  <c r="G501" i="7"/>
  <c r="G500" i="7"/>
  <c r="G499" i="7"/>
  <c r="G498" i="7"/>
  <c r="G497" i="7"/>
  <c r="G496" i="7"/>
  <c r="G495" i="7"/>
  <c r="G494" i="7"/>
  <c r="G493" i="7"/>
  <c r="G492" i="7"/>
  <c r="G491" i="7"/>
  <c r="G490" i="7"/>
  <c r="G489" i="7"/>
  <c r="G488" i="7"/>
  <c r="G487" i="7"/>
  <c r="G486" i="7"/>
  <c r="G485" i="7"/>
  <c r="G484" i="7"/>
  <c r="G483" i="7"/>
  <c r="G482" i="7"/>
  <c r="G481" i="7"/>
  <c r="G480" i="7"/>
  <c r="G479" i="7"/>
  <c r="G478" i="7"/>
  <c r="G477" i="7"/>
  <c r="G476" i="7"/>
  <c r="G475" i="7"/>
  <c r="G474" i="7"/>
  <c r="G473" i="7"/>
  <c r="G472" i="7"/>
  <c r="G471" i="7"/>
  <c r="G470" i="7"/>
  <c r="G469" i="7"/>
  <c r="G468" i="7"/>
  <c r="G467" i="7"/>
  <c r="G466" i="7"/>
  <c r="G465" i="7"/>
  <c r="G464" i="7"/>
  <c r="G463" i="7"/>
  <c r="G462" i="7"/>
  <c r="G461" i="7"/>
  <c r="G460" i="7"/>
  <c r="G459" i="7"/>
  <c r="G458" i="7"/>
  <c r="G457" i="7"/>
  <c r="G456" i="7"/>
  <c r="G455" i="7"/>
  <c r="G454" i="7"/>
  <c r="G453" i="7"/>
  <c r="G452" i="7"/>
  <c r="G451" i="7"/>
  <c r="G450" i="7"/>
  <c r="G449" i="7"/>
  <c r="G448" i="7"/>
  <c r="G447" i="7"/>
  <c r="G446" i="7"/>
  <c r="G445" i="7"/>
  <c r="G444" i="7"/>
  <c r="G443" i="7"/>
  <c r="G442" i="7"/>
  <c r="G441" i="7"/>
  <c r="G440" i="7"/>
  <c r="G439" i="7"/>
  <c r="G438" i="7"/>
  <c r="G437" i="7"/>
  <c r="G436" i="7"/>
  <c r="G435" i="7"/>
  <c r="G434" i="7"/>
  <c r="G433" i="7"/>
  <c r="G432" i="7"/>
  <c r="G431" i="7"/>
  <c r="G430" i="7"/>
  <c r="G429" i="7"/>
  <c r="G428" i="7"/>
  <c r="G427" i="7"/>
  <c r="G426" i="7"/>
  <c r="G425" i="7"/>
  <c r="G424" i="7"/>
  <c r="G423" i="7"/>
  <c r="G422" i="7"/>
  <c r="G421" i="7"/>
  <c r="G420" i="7"/>
  <c r="G419" i="7"/>
  <c r="G418" i="7"/>
  <c r="G417" i="7"/>
  <c r="G416" i="7"/>
  <c r="G415" i="7"/>
  <c r="G414" i="7"/>
  <c r="G413" i="7"/>
  <c r="G412" i="7"/>
  <c r="G411" i="7"/>
  <c r="G410" i="7"/>
  <c r="G409" i="7"/>
  <c r="G408" i="7"/>
  <c r="G407" i="7"/>
  <c r="G406" i="7"/>
  <c r="G405" i="7"/>
  <c r="G404" i="7"/>
  <c r="G403" i="7"/>
  <c r="G402" i="7"/>
  <c r="G401" i="7"/>
  <c r="G400" i="7"/>
  <c r="G399" i="7"/>
  <c r="G398" i="7"/>
  <c r="G397" i="7"/>
  <c r="G396" i="7"/>
  <c r="G395" i="7"/>
  <c r="G394" i="7"/>
  <c r="G393" i="7"/>
  <c r="G392" i="7"/>
  <c r="G391" i="7"/>
  <c r="G390" i="7"/>
  <c r="G389" i="7"/>
  <c r="G388" i="7"/>
  <c r="G387" i="7"/>
  <c r="G386" i="7"/>
  <c r="G385" i="7"/>
  <c r="G384" i="7"/>
  <c r="G383" i="7"/>
  <c r="G382" i="7"/>
  <c r="G381" i="7"/>
  <c r="G380" i="7"/>
  <c r="G379" i="7"/>
  <c r="G378" i="7"/>
  <c r="G377" i="7"/>
  <c r="G376" i="7"/>
  <c r="G375" i="7"/>
  <c r="G374" i="7"/>
  <c r="G373" i="7"/>
  <c r="G372" i="7"/>
  <c r="G371" i="7"/>
  <c r="G370" i="7"/>
  <c r="G369" i="7"/>
  <c r="G368" i="7"/>
  <c r="G367" i="7"/>
  <c r="G366" i="7"/>
  <c r="G365" i="7"/>
  <c r="G364" i="7"/>
  <c r="G363" i="7"/>
  <c r="G362" i="7"/>
  <c r="G361" i="7"/>
  <c r="G360" i="7"/>
  <c r="G359" i="7"/>
  <c r="G358" i="7"/>
  <c r="G357" i="7"/>
  <c r="G356" i="7"/>
  <c r="G355" i="7"/>
  <c r="G354" i="7"/>
  <c r="G353" i="7"/>
  <c r="G352" i="7"/>
  <c r="G351" i="7"/>
  <c r="G350" i="7"/>
  <c r="G349" i="7"/>
  <c r="G348" i="7"/>
  <c r="G347" i="7"/>
  <c r="G346" i="7"/>
  <c r="G345" i="7"/>
  <c r="G344" i="7"/>
  <c r="G343" i="7"/>
  <c r="G342" i="7"/>
  <c r="G341" i="7"/>
  <c r="G340" i="7"/>
  <c r="G339" i="7"/>
  <c r="G338" i="7"/>
  <c r="G337" i="7"/>
  <c r="G336" i="7"/>
  <c r="G335" i="7"/>
  <c r="G334" i="7"/>
  <c r="G333" i="7"/>
  <c r="G332" i="7"/>
  <c r="G331" i="7"/>
  <c r="G330" i="7"/>
  <c r="G329" i="7"/>
  <c r="G328" i="7"/>
  <c r="G327" i="7"/>
  <c r="G326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H1000" i="4"/>
  <c r="G1000" i="4"/>
  <c r="H999" i="4"/>
  <c r="G999" i="4"/>
  <c r="H998" i="4"/>
  <c r="G998" i="4"/>
  <c r="H997" i="4"/>
  <c r="G997" i="4"/>
  <c r="H996" i="4"/>
  <c r="G996" i="4"/>
  <c r="H995" i="4"/>
  <c r="G995" i="4"/>
  <c r="H994" i="4"/>
  <c r="G994" i="4"/>
  <c r="H993" i="4"/>
  <c r="G993" i="4"/>
  <c r="H992" i="4"/>
  <c r="G992" i="4"/>
  <c r="H991" i="4"/>
  <c r="G991" i="4"/>
  <c r="H990" i="4"/>
  <c r="G990" i="4"/>
  <c r="H989" i="4"/>
  <c r="G989" i="4"/>
  <c r="H988" i="4"/>
  <c r="G988" i="4"/>
  <c r="H987" i="4"/>
  <c r="G987" i="4"/>
  <c r="H986" i="4"/>
  <c r="G986" i="4"/>
  <c r="H985" i="4"/>
  <c r="G985" i="4"/>
  <c r="H984" i="4"/>
  <c r="G984" i="4"/>
  <c r="H983" i="4"/>
  <c r="G983" i="4"/>
  <c r="H982" i="4"/>
  <c r="G982" i="4"/>
  <c r="H981" i="4"/>
  <c r="G981" i="4"/>
  <c r="H980" i="4"/>
  <c r="G980" i="4"/>
  <c r="H979" i="4"/>
  <c r="G979" i="4"/>
  <c r="H978" i="4"/>
  <c r="G978" i="4"/>
  <c r="H977" i="4"/>
  <c r="G977" i="4"/>
  <c r="H976" i="4"/>
  <c r="G976" i="4"/>
  <c r="H975" i="4"/>
  <c r="G975" i="4"/>
  <c r="H974" i="4"/>
  <c r="G974" i="4"/>
  <c r="H973" i="4"/>
  <c r="G973" i="4"/>
  <c r="H972" i="4"/>
  <c r="G972" i="4"/>
  <c r="F972" i="4"/>
  <c r="H971" i="4"/>
  <c r="G971" i="4"/>
  <c r="H970" i="4"/>
  <c r="G970" i="4"/>
  <c r="H969" i="4"/>
  <c r="G969" i="4"/>
  <c r="H968" i="4"/>
  <c r="G968" i="4"/>
  <c r="H967" i="4"/>
  <c r="G967" i="4"/>
  <c r="H966" i="4"/>
  <c r="G966" i="4"/>
  <c r="H965" i="4"/>
  <c r="G965" i="4"/>
  <c r="H964" i="4"/>
  <c r="G964" i="4"/>
  <c r="H963" i="4"/>
  <c r="G963" i="4"/>
  <c r="H962" i="4"/>
  <c r="G962" i="4"/>
  <c r="H961" i="4"/>
  <c r="G961" i="4"/>
  <c r="H960" i="4"/>
  <c r="G960" i="4"/>
  <c r="H959" i="4"/>
  <c r="G959" i="4"/>
  <c r="H958" i="4"/>
  <c r="G958" i="4"/>
  <c r="H957" i="4"/>
  <c r="G957" i="4"/>
  <c r="H956" i="4"/>
  <c r="G956" i="4"/>
  <c r="H955" i="4"/>
  <c r="G955" i="4"/>
  <c r="H954" i="4"/>
  <c r="G954" i="4"/>
  <c r="H953" i="4"/>
  <c r="G953" i="4"/>
  <c r="H952" i="4"/>
  <c r="G952" i="4"/>
  <c r="H951" i="4"/>
  <c r="G951" i="4"/>
  <c r="H950" i="4"/>
  <c r="G950" i="4"/>
  <c r="H949" i="4"/>
  <c r="G949" i="4"/>
  <c r="H948" i="4"/>
  <c r="G948" i="4"/>
  <c r="H947" i="4"/>
  <c r="G947" i="4"/>
  <c r="H946" i="4"/>
  <c r="G946" i="4"/>
  <c r="H945" i="4"/>
  <c r="G945" i="4"/>
  <c r="H944" i="4"/>
  <c r="G944" i="4"/>
  <c r="H943" i="4"/>
  <c r="G943" i="4"/>
  <c r="H942" i="4"/>
  <c r="G942" i="4"/>
  <c r="H941" i="4"/>
  <c r="G941" i="4"/>
  <c r="H940" i="4"/>
  <c r="G940" i="4"/>
  <c r="H939" i="4"/>
  <c r="G939" i="4"/>
  <c r="H938" i="4"/>
  <c r="G938" i="4"/>
  <c r="H937" i="4"/>
  <c r="G937" i="4"/>
  <c r="H936" i="4"/>
  <c r="G936" i="4"/>
  <c r="H935" i="4"/>
  <c r="G935" i="4"/>
  <c r="H934" i="4"/>
  <c r="G934" i="4"/>
  <c r="H933" i="4"/>
  <c r="G933" i="4"/>
  <c r="H932" i="4"/>
  <c r="G932" i="4"/>
  <c r="H931" i="4"/>
  <c r="G931" i="4"/>
  <c r="H930" i="4"/>
  <c r="G930" i="4"/>
  <c r="H929" i="4"/>
  <c r="G929" i="4"/>
  <c r="H928" i="4"/>
  <c r="G928" i="4"/>
  <c r="H927" i="4"/>
  <c r="G927" i="4"/>
  <c r="H926" i="4"/>
  <c r="G926" i="4"/>
  <c r="H925" i="4"/>
  <c r="G925" i="4"/>
  <c r="H924" i="4"/>
  <c r="G924" i="4"/>
  <c r="H923" i="4"/>
  <c r="G923" i="4"/>
  <c r="H922" i="4"/>
  <c r="G922" i="4"/>
  <c r="H921" i="4"/>
  <c r="G921" i="4"/>
  <c r="H920" i="4"/>
  <c r="G920" i="4"/>
  <c r="H919" i="4"/>
  <c r="G919" i="4"/>
  <c r="H918" i="4"/>
  <c r="G918" i="4"/>
  <c r="H917" i="4"/>
  <c r="G917" i="4"/>
  <c r="H916" i="4"/>
  <c r="G916" i="4"/>
  <c r="H915" i="4"/>
  <c r="G915" i="4"/>
  <c r="H914" i="4"/>
  <c r="G914" i="4"/>
  <c r="H913" i="4"/>
  <c r="G913" i="4"/>
  <c r="H912" i="4"/>
  <c r="G912" i="4"/>
  <c r="H911" i="4"/>
  <c r="G911" i="4"/>
  <c r="H910" i="4"/>
  <c r="G910" i="4"/>
  <c r="H909" i="4"/>
  <c r="G909" i="4"/>
  <c r="H908" i="4"/>
  <c r="G908" i="4"/>
  <c r="H907" i="4"/>
  <c r="G907" i="4"/>
  <c r="H906" i="4"/>
  <c r="G906" i="4"/>
  <c r="H905" i="4"/>
  <c r="G905" i="4"/>
  <c r="H904" i="4"/>
  <c r="G904" i="4"/>
  <c r="H903" i="4"/>
  <c r="G903" i="4"/>
  <c r="H902" i="4"/>
  <c r="G902" i="4"/>
  <c r="H901" i="4"/>
  <c r="G901" i="4"/>
  <c r="H900" i="4"/>
  <c r="G900" i="4"/>
  <c r="H899" i="4"/>
  <c r="G899" i="4"/>
  <c r="H898" i="4"/>
  <c r="G898" i="4"/>
  <c r="H897" i="4"/>
  <c r="G897" i="4"/>
  <c r="H896" i="4"/>
  <c r="G896" i="4"/>
  <c r="H895" i="4"/>
  <c r="G895" i="4"/>
  <c r="H894" i="4"/>
  <c r="G894" i="4"/>
  <c r="H893" i="4"/>
  <c r="G893" i="4"/>
  <c r="H892" i="4"/>
  <c r="G892" i="4"/>
  <c r="H891" i="4"/>
  <c r="G891" i="4"/>
  <c r="H890" i="4"/>
  <c r="G890" i="4"/>
  <c r="H889" i="4"/>
  <c r="G889" i="4"/>
  <c r="H888" i="4"/>
  <c r="G888" i="4"/>
  <c r="H887" i="4"/>
  <c r="G887" i="4"/>
  <c r="H886" i="4"/>
  <c r="G886" i="4"/>
  <c r="H885" i="4"/>
  <c r="G885" i="4"/>
  <c r="H884" i="4"/>
  <c r="G884" i="4"/>
  <c r="H883" i="4"/>
  <c r="G883" i="4"/>
  <c r="H882" i="4"/>
  <c r="G882" i="4"/>
  <c r="H881" i="4"/>
  <c r="G881" i="4"/>
  <c r="H880" i="4"/>
  <c r="G880" i="4"/>
  <c r="H879" i="4"/>
  <c r="G879" i="4"/>
  <c r="H878" i="4"/>
  <c r="G878" i="4"/>
  <c r="H877" i="4"/>
  <c r="G877" i="4"/>
  <c r="H876" i="4"/>
  <c r="G876" i="4"/>
  <c r="H875" i="4"/>
  <c r="G875" i="4"/>
  <c r="H874" i="4"/>
  <c r="G874" i="4"/>
  <c r="H873" i="4"/>
  <c r="G873" i="4"/>
  <c r="H872" i="4"/>
  <c r="G872" i="4"/>
  <c r="H871" i="4"/>
  <c r="G871" i="4"/>
  <c r="H870" i="4"/>
  <c r="G870" i="4"/>
  <c r="H869" i="4"/>
  <c r="G869" i="4"/>
  <c r="H868" i="4"/>
  <c r="G868" i="4"/>
  <c r="H867" i="4"/>
  <c r="G867" i="4"/>
  <c r="H866" i="4"/>
  <c r="G866" i="4"/>
  <c r="H865" i="4"/>
  <c r="G865" i="4"/>
  <c r="H864" i="4"/>
  <c r="G864" i="4"/>
  <c r="H863" i="4"/>
  <c r="G863" i="4"/>
  <c r="H862" i="4"/>
  <c r="G862" i="4"/>
  <c r="H861" i="4"/>
  <c r="G861" i="4"/>
  <c r="H860" i="4"/>
  <c r="G860" i="4"/>
  <c r="H859" i="4"/>
  <c r="G859" i="4"/>
  <c r="H858" i="4"/>
  <c r="G858" i="4"/>
  <c r="H857" i="4"/>
  <c r="G857" i="4"/>
  <c r="H856" i="4"/>
  <c r="G856" i="4"/>
  <c r="H855" i="4"/>
  <c r="G855" i="4"/>
  <c r="H854" i="4"/>
  <c r="G854" i="4"/>
  <c r="H853" i="4"/>
  <c r="G853" i="4"/>
  <c r="H852" i="4"/>
  <c r="G852" i="4"/>
  <c r="H851" i="4"/>
  <c r="G851" i="4"/>
  <c r="H850" i="4"/>
  <c r="G850" i="4"/>
  <c r="H849" i="4"/>
  <c r="G849" i="4"/>
  <c r="H848" i="4"/>
  <c r="G848" i="4"/>
  <c r="H847" i="4"/>
  <c r="G847" i="4"/>
  <c r="H846" i="4"/>
  <c r="G846" i="4"/>
  <c r="H845" i="4"/>
  <c r="G845" i="4"/>
  <c r="H844" i="4"/>
  <c r="G844" i="4"/>
  <c r="H843" i="4"/>
  <c r="G843" i="4"/>
  <c r="H842" i="4"/>
  <c r="G842" i="4"/>
  <c r="H841" i="4"/>
  <c r="G841" i="4"/>
  <c r="H840" i="4"/>
  <c r="G840" i="4"/>
  <c r="H839" i="4"/>
  <c r="G839" i="4"/>
  <c r="H838" i="4"/>
  <c r="G838" i="4"/>
  <c r="H837" i="4"/>
  <c r="G837" i="4"/>
  <c r="H836" i="4"/>
  <c r="G836" i="4"/>
  <c r="H835" i="4"/>
  <c r="G835" i="4"/>
  <c r="H834" i="4"/>
  <c r="G834" i="4"/>
  <c r="H833" i="4"/>
  <c r="G833" i="4"/>
  <c r="H832" i="4"/>
  <c r="G832" i="4"/>
  <c r="H831" i="4"/>
  <c r="G831" i="4"/>
  <c r="H830" i="4"/>
  <c r="G830" i="4"/>
  <c r="H829" i="4"/>
  <c r="G829" i="4"/>
  <c r="H828" i="4"/>
  <c r="G828" i="4"/>
  <c r="H827" i="4"/>
  <c r="G827" i="4"/>
  <c r="H826" i="4"/>
  <c r="G826" i="4"/>
  <c r="H825" i="4"/>
  <c r="G825" i="4"/>
  <c r="H824" i="4"/>
  <c r="G824" i="4"/>
  <c r="H823" i="4"/>
  <c r="G823" i="4"/>
  <c r="H822" i="4"/>
  <c r="G822" i="4"/>
  <c r="H821" i="4"/>
  <c r="G821" i="4"/>
  <c r="H820" i="4"/>
  <c r="G820" i="4"/>
  <c r="H819" i="4"/>
  <c r="G819" i="4"/>
  <c r="H818" i="4"/>
  <c r="G818" i="4"/>
  <c r="H817" i="4"/>
  <c r="G817" i="4"/>
  <c r="H816" i="4"/>
  <c r="G816" i="4"/>
  <c r="H815" i="4"/>
  <c r="G815" i="4"/>
  <c r="H814" i="4"/>
  <c r="G814" i="4"/>
  <c r="H813" i="4"/>
  <c r="G813" i="4"/>
  <c r="H812" i="4"/>
  <c r="G812" i="4"/>
  <c r="H811" i="4"/>
  <c r="G811" i="4"/>
  <c r="H810" i="4"/>
  <c r="G810" i="4"/>
  <c r="H809" i="4"/>
  <c r="G809" i="4"/>
  <c r="H808" i="4"/>
  <c r="G808" i="4"/>
  <c r="H807" i="4"/>
  <c r="G807" i="4"/>
  <c r="H806" i="4"/>
  <c r="G806" i="4"/>
  <c r="H805" i="4"/>
  <c r="G805" i="4"/>
  <c r="H804" i="4"/>
  <c r="G804" i="4"/>
  <c r="H803" i="4"/>
  <c r="G803" i="4"/>
  <c r="H802" i="4"/>
  <c r="G802" i="4"/>
  <c r="H801" i="4"/>
  <c r="G801" i="4"/>
  <c r="H800" i="4"/>
  <c r="G800" i="4"/>
  <c r="H799" i="4"/>
  <c r="G799" i="4"/>
  <c r="H798" i="4"/>
  <c r="G798" i="4"/>
  <c r="H797" i="4"/>
  <c r="G797" i="4"/>
  <c r="H796" i="4"/>
  <c r="G796" i="4"/>
  <c r="H795" i="4"/>
  <c r="G795" i="4"/>
  <c r="H794" i="4"/>
  <c r="G794" i="4"/>
  <c r="H793" i="4"/>
  <c r="G793" i="4"/>
  <c r="H792" i="4"/>
  <c r="G792" i="4"/>
  <c r="H791" i="4"/>
  <c r="G791" i="4"/>
  <c r="H790" i="4"/>
  <c r="G790" i="4"/>
  <c r="H789" i="4"/>
  <c r="G789" i="4"/>
  <c r="H788" i="4"/>
  <c r="G788" i="4"/>
  <c r="H787" i="4"/>
  <c r="G787" i="4"/>
  <c r="H786" i="4"/>
  <c r="G786" i="4"/>
  <c r="H785" i="4"/>
  <c r="G785" i="4"/>
  <c r="H784" i="4"/>
  <c r="G784" i="4"/>
  <c r="H783" i="4"/>
  <c r="G783" i="4"/>
  <c r="H782" i="4"/>
  <c r="G782" i="4"/>
  <c r="H781" i="4"/>
  <c r="G781" i="4"/>
  <c r="H780" i="4"/>
  <c r="G780" i="4"/>
  <c r="H779" i="4"/>
  <c r="G779" i="4"/>
  <c r="H778" i="4"/>
  <c r="G778" i="4"/>
  <c r="H777" i="4"/>
  <c r="G777" i="4"/>
  <c r="H776" i="4"/>
  <c r="G776" i="4"/>
  <c r="H775" i="4"/>
  <c r="G775" i="4"/>
  <c r="H774" i="4"/>
  <c r="G774" i="4"/>
  <c r="H773" i="4"/>
  <c r="G773" i="4"/>
  <c r="H772" i="4"/>
  <c r="G772" i="4"/>
  <c r="H771" i="4"/>
  <c r="G771" i="4"/>
  <c r="H770" i="4"/>
  <c r="G770" i="4"/>
  <c r="H769" i="4"/>
  <c r="G769" i="4"/>
  <c r="H768" i="4"/>
  <c r="G768" i="4"/>
  <c r="H767" i="4"/>
  <c r="G767" i="4"/>
  <c r="H766" i="4"/>
  <c r="G766" i="4"/>
  <c r="H765" i="4"/>
  <c r="G765" i="4"/>
  <c r="H764" i="4"/>
  <c r="G764" i="4"/>
  <c r="H763" i="4"/>
  <c r="G763" i="4"/>
  <c r="H762" i="4"/>
  <c r="G762" i="4"/>
  <c r="H761" i="4"/>
  <c r="G761" i="4"/>
  <c r="H760" i="4"/>
  <c r="G760" i="4"/>
  <c r="H759" i="4"/>
  <c r="G759" i="4"/>
  <c r="H758" i="4"/>
  <c r="G758" i="4"/>
  <c r="H757" i="4"/>
  <c r="G757" i="4"/>
  <c r="H756" i="4"/>
  <c r="G756" i="4"/>
  <c r="H755" i="4"/>
  <c r="G755" i="4"/>
  <c r="H754" i="4"/>
  <c r="G754" i="4"/>
  <c r="H753" i="4"/>
  <c r="G753" i="4"/>
  <c r="H752" i="4"/>
  <c r="G752" i="4"/>
  <c r="H751" i="4"/>
  <c r="G751" i="4"/>
  <c r="H750" i="4"/>
  <c r="G750" i="4"/>
  <c r="H749" i="4"/>
  <c r="G749" i="4"/>
  <c r="H748" i="4"/>
  <c r="G748" i="4"/>
  <c r="H747" i="4"/>
  <c r="G747" i="4"/>
  <c r="H746" i="4"/>
  <c r="G746" i="4"/>
  <c r="H745" i="4"/>
  <c r="G745" i="4"/>
  <c r="H744" i="4"/>
  <c r="G744" i="4"/>
  <c r="H743" i="4"/>
  <c r="G743" i="4"/>
  <c r="H742" i="4"/>
  <c r="G742" i="4"/>
  <c r="H741" i="4"/>
  <c r="G741" i="4"/>
  <c r="H740" i="4"/>
  <c r="G740" i="4"/>
  <c r="H739" i="4"/>
  <c r="G739" i="4"/>
  <c r="H738" i="4"/>
  <c r="G738" i="4"/>
  <c r="H737" i="4"/>
  <c r="G737" i="4"/>
  <c r="H736" i="4"/>
  <c r="G736" i="4"/>
  <c r="H735" i="4"/>
  <c r="G735" i="4"/>
  <c r="H734" i="4"/>
  <c r="G734" i="4"/>
  <c r="H733" i="4"/>
  <c r="G733" i="4"/>
  <c r="H732" i="4"/>
  <c r="G732" i="4"/>
  <c r="H731" i="4"/>
  <c r="G731" i="4"/>
  <c r="H730" i="4"/>
  <c r="G730" i="4"/>
  <c r="H729" i="4"/>
  <c r="G729" i="4"/>
  <c r="H728" i="4"/>
  <c r="G728" i="4"/>
  <c r="H727" i="4"/>
  <c r="G727" i="4"/>
  <c r="H726" i="4"/>
  <c r="G726" i="4"/>
  <c r="H725" i="4"/>
  <c r="G725" i="4"/>
  <c r="H724" i="4"/>
  <c r="G724" i="4"/>
  <c r="H723" i="4"/>
  <c r="G723" i="4"/>
  <c r="H722" i="4"/>
  <c r="G722" i="4"/>
  <c r="H721" i="4"/>
  <c r="G721" i="4"/>
  <c r="H720" i="4"/>
  <c r="G720" i="4"/>
  <c r="H719" i="4"/>
  <c r="G719" i="4"/>
  <c r="H718" i="4"/>
  <c r="G718" i="4"/>
  <c r="H717" i="4"/>
  <c r="G717" i="4"/>
  <c r="H716" i="4"/>
  <c r="G716" i="4"/>
  <c r="H715" i="4"/>
  <c r="G715" i="4"/>
  <c r="H714" i="4"/>
  <c r="G714" i="4"/>
  <c r="H713" i="4"/>
  <c r="G713" i="4"/>
  <c r="H712" i="4"/>
  <c r="G712" i="4"/>
  <c r="H711" i="4"/>
  <c r="G711" i="4"/>
  <c r="H710" i="4"/>
  <c r="G710" i="4"/>
  <c r="H709" i="4"/>
  <c r="G709" i="4"/>
  <c r="H708" i="4"/>
  <c r="G708" i="4"/>
  <c r="H707" i="4"/>
  <c r="G707" i="4"/>
  <c r="H706" i="4"/>
  <c r="G706" i="4"/>
  <c r="H705" i="4"/>
  <c r="G705" i="4"/>
  <c r="H704" i="4"/>
  <c r="G704" i="4"/>
  <c r="H703" i="4"/>
  <c r="G703" i="4"/>
  <c r="H702" i="4"/>
  <c r="G702" i="4"/>
  <c r="H701" i="4"/>
  <c r="G701" i="4"/>
  <c r="H700" i="4"/>
  <c r="G700" i="4"/>
  <c r="H699" i="4"/>
  <c r="G699" i="4"/>
  <c r="H698" i="4"/>
  <c r="G698" i="4"/>
  <c r="H697" i="4"/>
  <c r="G697" i="4"/>
  <c r="H696" i="4"/>
  <c r="G696" i="4"/>
  <c r="H695" i="4"/>
  <c r="G695" i="4"/>
  <c r="H694" i="4"/>
  <c r="G694" i="4"/>
  <c r="H693" i="4"/>
  <c r="G693" i="4"/>
  <c r="H692" i="4"/>
  <c r="G692" i="4"/>
  <c r="H691" i="4"/>
  <c r="G691" i="4"/>
  <c r="H690" i="4"/>
  <c r="G690" i="4"/>
  <c r="H689" i="4"/>
  <c r="G689" i="4"/>
  <c r="H688" i="4"/>
  <c r="G688" i="4"/>
  <c r="H687" i="4"/>
  <c r="G687" i="4"/>
  <c r="H686" i="4"/>
  <c r="G686" i="4"/>
  <c r="H685" i="4"/>
  <c r="G685" i="4"/>
  <c r="H684" i="4"/>
  <c r="G684" i="4"/>
  <c r="H683" i="4"/>
  <c r="G683" i="4"/>
  <c r="H682" i="4"/>
  <c r="G682" i="4"/>
  <c r="H681" i="4"/>
  <c r="G681" i="4"/>
  <c r="H680" i="4"/>
  <c r="G680" i="4"/>
  <c r="H679" i="4"/>
  <c r="G679" i="4"/>
  <c r="H678" i="4"/>
  <c r="G678" i="4"/>
  <c r="H677" i="4"/>
  <c r="G677" i="4"/>
  <c r="H676" i="4"/>
  <c r="G676" i="4"/>
  <c r="H675" i="4"/>
  <c r="G675" i="4"/>
  <c r="H674" i="4"/>
  <c r="G674" i="4"/>
  <c r="H673" i="4"/>
  <c r="G673" i="4"/>
  <c r="H672" i="4"/>
  <c r="G672" i="4"/>
  <c r="H671" i="4"/>
  <c r="G671" i="4"/>
  <c r="H670" i="4"/>
  <c r="G670" i="4"/>
  <c r="H669" i="4"/>
  <c r="G669" i="4"/>
  <c r="H668" i="4"/>
  <c r="G668" i="4"/>
  <c r="H667" i="4"/>
  <c r="G667" i="4"/>
  <c r="H666" i="4"/>
  <c r="G666" i="4"/>
  <c r="H665" i="4"/>
  <c r="G665" i="4"/>
  <c r="H664" i="4"/>
  <c r="G664" i="4"/>
  <c r="H663" i="4"/>
  <c r="G663" i="4"/>
  <c r="H662" i="4"/>
  <c r="G662" i="4"/>
  <c r="H661" i="4"/>
  <c r="G661" i="4"/>
  <c r="H660" i="4"/>
  <c r="G660" i="4"/>
  <c r="H659" i="4"/>
  <c r="G659" i="4"/>
  <c r="H658" i="4"/>
  <c r="G658" i="4"/>
  <c r="H657" i="4"/>
  <c r="G657" i="4"/>
  <c r="H656" i="4"/>
  <c r="G656" i="4"/>
  <c r="H655" i="4"/>
  <c r="G655" i="4"/>
  <c r="H654" i="4"/>
  <c r="G654" i="4"/>
  <c r="H653" i="4"/>
  <c r="G653" i="4"/>
  <c r="H652" i="4"/>
  <c r="G652" i="4"/>
  <c r="H651" i="4"/>
  <c r="G651" i="4"/>
  <c r="H650" i="4"/>
  <c r="G650" i="4"/>
  <c r="H649" i="4"/>
  <c r="G649" i="4"/>
  <c r="H648" i="4"/>
  <c r="G648" i="4"/>
  <c r="H647" i="4"/>
  <c r="G647" i="4"/>
  <c r="H646" i="4"/>
  <c r="G646" i="4"/>
  <c r="H645" i="4"/>
  <c r="G645" i="4"/>
  <c r="H644" i="4"/>
  <c r="G644" i="4"/>
  <c r="H643" i="4"/>
  <c r="G643" i="4"/>
  <c r="H642" i="4"/>
  <c r="G642" i="4"/>
  <c r="H641" i="4"/>
  <c r="G641" i="4"/>
  <c r="H640" i="4"/>
  <c r="G640" i="4"/>
  <c r="H639" i="4"/>
  <c r="G639" i="4"/>
  <c r="H638" i="4"/>
  <c r="G638" i="4"/>
  <c r="H637" i="4"/>
  <c r="G637" i="4"/>
  <c r="H636" i="4"/>
  <c r="G636" i="4"/>
  <c r="H635" i="4"/>
  <c r="G635" i="4"/>
  <c r="H634" i="4"/>
  <c r="G634" i="4"/>
  <c r="H633" i="4"/>
  <c r="G633" i="4"/>
  <c r="H632" i="4"/>
  <c r="G632" i="4"/>
  <c r="H631" i="4"/>
  <c r="G631" i="4"/>
  <c r="H630" i="4"/>
  <c r="G630" i="4"/>
  <c r="H629" i="4"/>
  <c r="G629" i="4"/>
  <c r="H628" i="4"/>
  <c r="G628" i="4"/>
  <c r="H627" i="4"/>
  <c r="G627" i="4"/>
  <c r="H626" i="4"/>
  <c r="G626" i="4"/>
  <c r="H625" i="4"/>
  <c r="G625" i="4"/>
  <c r="H624" i="4"/>
  <c r="G624" i="4"/>
  <c r="H623" i="4"/>
  <c r="G623" i="4"/>
  <c r="H622" i="4"/>
  <c r="G622" i="4"/>
  <c r="H621" i="4"/>
  <c r="G621" i="4"/>
  <c r="H620" i="4"/>
  <c r="G620" i="4"/>
  <c r="H619" i="4"/>
  <c r="G619" i="4"/>
  <c r="H618" i="4"/>
  <c r="G618" i="4"/>
  <c r="H617" i="4"/>
  <c r="G617" i="4"/>
  <c r="H616" i="4"/>
  <c r="G616" i="4"/>
  <c r="H615" i="4"/>
  <c r="G615" i="4"/>
  <c r="H614" i="4"/>
  <c r="G614" i="4"/>
  <c r="H613" i="4"/>
  <c r="G613" i="4"/>
  <c r="H612" i="4"/>
  <c r="G612" i="4"/>
  <c r="H611" i="4"/>
  <c r="G611" i="4"/>
  <c r="H610" i="4"/>
  <c r="G610" i="4"/>
  <c r="H609" i="4"/>
  <c r="G609" i="4"/>
  <c r="H608" i="4"/>
  <c r="G608" i="4"/>
  <c r="H607" i="4"/>
  <c r="G607" i="4"/>
  <c r="H606" i="4"/>
  <c r="G606" i="4"/>
  <c r="H605" i="4"/>
  <c r="G605" i="4"/>
  <c r="H604" i="4"/>
  <c r="G604" i="4"/>
  <c r="H603" i="4"/>
  <c r="G603" i="4"/>
  <c r="H602" i="4"/>
  <c r="G602" i="4"/>
  <c r="H601" i="4"/>
  <c r="G601" i="4"/>
  <c r="H600" i="4"/>
  <c r="G600" i="4"/>
  <c r="H599" i="4"/>
  <c r="G599" i="4"/>
  <c r="H598" i="4"/>
  <c r="G598" i="4"/>
  <c r="H597" i="4"/>
  <c r="G597" i="4"/>
  <c r="H596" i="4"/>
  <c r="G596" i="4"/>
  <c r="H595" i="4"/>
  <c r="G595" i="4"/>
  <c r="H594" i="4"/>
  <c r="G594" i="4"/>
  <c r="H593" i="4"/>
  <c r="G593" i="4"/>
  <c r="H592" i="4"/>
  <c r="G592" i="4"/>
  <c r="H591" i="4"/>
  <c r="G591" i="4"/>
  <c r="H590" i="4"/>
  <c r="G590" i="4"/>
  <c r="H589" i="4"/>
  <c r="G589" i="4"/>
  <c r="H588" i="4"/>
  <c r="G588" i="4"/>
  <c r="H587" i="4"/>
  <c r="G587" i="4"/>
  <c r="H586" i="4"/>
  <c r="G586" i="4"/>
  <c r="H585" i="4"/>
  <c r="G585" i="4"/>
  <c r="H584" i="4"/>
  <c r="G584" i="4"/>
  <c r="H583" i="4"/>
  <c r="G583" i="4"/>
  <c r="H582" i="4"/>
  <c r="G582" i="4"/>
  <c r="H581" i="4"/>
  <c r="G581" i="4"/>
  <c r="H580" i="4"/>
  <c r="G580" i="4"/>
  <c r="H579" i="4"/>
  <c r="G579" i="4"/>
  <c r="H578" i="4"/>
  <c r="G578" i="4"/>
  <c r="H577" i="4"/>
  <c r="G577" i="4"/>
  <c r="H576" i="4"/>
  <c r="G576" i="4"/>
  <c r="H575" i="4"/>
  <c r="G575" i="4"/>
  <c r="H574" i="4"/>
  <c r="G574" i="4"/>
  <c r="H573" i="4"/>
  <c r="G573" i="4"/>
  <c r="H572" i="4"/>
  <c r="G572" i="4"/>
  <c r="H571" i="4"/>
  <c r="G571" i="4"/>
  <c r="H570" i="4"/>
  <c r="G570" i="4"/>
  <c r="H569" i="4"/>
  <c r="G569" i="4"/>
  <c r="H568" i="4"/>
  <c r="G568" i="4"/>
  <c r="H567" i="4"/>
  <c r="G567" i="4"/>
  <c r="H566" i="4"/>
  <c r="G566" i="4"/>
  <c r="H565" i="4"/>
  <c r="G565" i="4"/>
  <c r="H564" i="4"/>
  <c r="G564" i="4"/>
  <c r="H563" i="4"/>
  <c r="G563" i="4"/>
  <c r="H562" i="4"/>
  <c r="G562" i="4"/>
  <c r="H561" i="4"/>
  <c r="G561" i="4"/>
  <c r="H560" i="4"/>
  <c r="G560" i="4"/>
  <c r="H559" i="4"/>
  <c r="G559" i="4"/>
  <c r="H558" i="4"/>
  <c r="G558" i="4"/>
  <c r="H557" i="4"/>
  <c r="G557" i="4"/>
  <c r="H556" i="4"/>
  <c r="G556" i="4"/>
  <c r="H555" i="4"/>
  <c r="G555" i="4"/>
  <c r="H554" i="4"/>
  <c r="G554" i="4"/>
  <c r="H553" i="4"/>
  <c r="G553" i="4"/>
  <c r="H552" i="4"/>
  <c r="G552" i="4"/>
  <c r="H551" i="4"/>
  <c r="G551" i="4"/>
  <c r="H550" i="4"/>
  <c r="G550" i="4"/>
  <c r="H549" i="4"/>
  <c r="G549" i="4"/>
  <c r="H548" i="4"/>
  <c r="G548" i="4"/>
  <c r="H547" i="4"/>
  <c r="G547" i="4"/>
  <c r="H546" i="4"/>
  <c r="G546" i="4"/>
  <c r="H545" i="4"/>
  <c r="G545" i="4"/>
  <c r="H544" i="4"/>
  <c r="G544" i="4"/>
  <c r="H543" i="4"/>
  <c r="G543" i="4"/>
  <c r="H542" i="4"/>
  <c r="G542" i="4"/>
  <c r="H541" i="4"/>
  <c r="G541" i="4"/>
  <c r="H540" i="4"/>
  <c r="G540" i="4"/>
  <c r="H539" i="4"/>
  <c r="G539" i="4"/>
  <c r="H538" i="4"/>
  <c r="G538" i="4"/>
  <c r="H537" i="4"/>
  <c r="G537" i="4"/>
  <c r="H536" i="4"/>
  <c r="G536" i="4"/>
  <c r="H535" i="4"/>
  <c r="G535" i="4"/>
  <c r="H534" i="4"/>
  <c r="G534" i="4"/>
  <c r="H533" i="4"/>
  <c r="G533" i="4"/>
  <c r="H532" i="4"/>
  <c r="G532" i="4"/>
  <c r="H531" i="4"/>
  <c r="G531" i="4"/>
  <c r="H530" i="4"/>
  <c r="G530" i="4"/>
  <c r="H529" i="4"/>
  <c r="G529" i="4"/>
  <c r="H528" i="4"/>
  <c r="G528" i="4"/>
  <c r="H527" i="4"/>
  <c r="G527" i="4"/>
  <c r="H526" i="4"/>
  <c r="G526" i="4"/>
  <c r="H525" i="4"/>
  <c r="G525" i="4"/>
  <c r="H524" i="4"/>
  <c r="G524" i="4"/>
  <c r="H523" i="4"/>
  <c r="G523" i="4"/>
  <c r="H522" i="4"/>
  <c r="G522" i="4"/>
  <c r="H521" i="4"/>
  <c r="G521" i="4"/>
  <c r="H520" i="4"/>
  <c r="G520" i="4"/>
  <c r="H519" i="4"/>
  <c r="G519" i="4"/>
  <c r="H518" i="4"/>
  <c r="G518" i="4"/>
  <c r="H517" i="4"/>
  <c r="G517" i="4"/>
  <c r="H516" i="4"/>
  <c r="G516" i="4"/>
  <c r="H515" i="4"/>
  <c r="G515" i="4"/>
  <c r="H514" i="4"/>
  <c r="G514" i="4"/>
  <c r="H513" i="4"/>
  <c r="G513" i="4"/>
  <c r="H512" i="4"/>
  <c r="G512" i="4"/>
  <c r="H511" i="4"/>
  <c r="G511" i="4"/>
  <c r="H510" i="4"/>
  <c r="G510" i="4"/>
  <c r="H509" i="4"/>
  <c r="G509" i="4"/>
  <c r="H508" i="4"/>
  <c r="G508" i="4"/>
  <c r="H507" i="4"/>
  <c r="G507" i="4"/>
  <c r="H506" i="4"/>
  <c r="G506" i="4"/>
  <c r="H505" i="4"/>
  <c r="G505" i="4"/>
  <c r="H504" i="4"/>
  <c r="G504" i="4"/>
  <c r="H503" i="4"/>
  <c r="G503" i="4"/>
  <c r="H502" i="4"/>
  <c r="G502" i="4"/>
  <c r="H501" i="4"/>
  <c r="G501" i="4"/>
  <c r="H500" i="4"/>
  <c r="G500" i="4"/>
  <c r="H499" i="4"/>
  <c r="G499" i="4"/>
  <c r="H498" i="4"/>
  <c r="G498" i="4"/>
  <c r="H497" i="4"/>
  <c r="G497" i="4"/>
  <c r="H496" i="4"/>
  <c r="G496" i="4"/>
  <c r="H495" i="4"/>
  <c r="G495" i="4"/>
  <c r="H494" i="4"/>
  <c r="G494" i="4"/>
  <c r="H493" i="4"/>
  <c r="G493" i="4"/>
  <c r="H492" i="4"/>
  <c r="G492" i="4"/>
  <c r="H491" i="4"/>
  <c r="G491" i="4"/>
  <c r="H490" i="4"/>
  <c r="G490" i="4"/>
  <c r="H489" i="4"/>
  <c r="G489" i="4"/>
  <c r="H488" i="4"/>
  <c r="G488" i="4"/>
  <c r="H487" i="4"/>
  <c r="G487" i="4"/>
  <c r="H486" i="4"/>
  <c r="G486" i="4"/>
  <c r="H485" i="4"/>
  <c r="G485" i="4"/>
  <c r="H484" i="4"/>
  <c r="G484" i="4"/>
  <c r="H483" i="4"/>
  <c r="G483" i="4"/>
  <c r="H482" i="4"/>
  <c r="G482" i="4"/>
  <c r="H481" i="4"/>
  <c r="G481" i="4"/>
  <c r="H480" i="4"/>
  <c r="G480" i="4"/>
  <c r="H479" i="4"/>
  <c r="G479" i="4"/>
  <c r="H478" i="4"/>
  <c r="G478" i="4"/>
  <c r="H477" i="4"/>
  <c r="G477" i="4"/>
  <c r="H476" i="4"/>
  <c r="G476" i="4"/>
  <c r="H475" i="4"/>
  <c r="G475" i="4"/>
  <c r="H474" i="4"/>
  <c r="G474" i="4"/>
  <c r="H473" i="4"/>
  <c r="G473" i="4"/>
  <c r="H472" i="4"/>
  <c r="G472" i="4"/>
  <c r="H471" i="4"/>
  <c r="G471" i="4"/>
  <c r="H470" i="4"/>
  <c r="G470" i="4"/>
  <c r="H469" i="4"/>
  <c r="G469" i="4"/>
  <c r="H468" i="4"/>
  <c r="G468" i="4"/>
  <c r="H467" i="4"/>
  <c r="G467" i="4"/>
  <c r="H466" i="4"/>
  <c r="G466" i="4"/>
  <c r="H465" i="4"/>
  <c r="G465" i="4"/>
  <c r="H464" i="4"/>
  <c r="G464" i="4"/>
  <c r="H463" i="4"/>
  <c r="G463" i="4"/>
  <c r="H462" i="4"/>
  <c r="G462" i="4"/>
  <c r="H461" i="4"/>
  <c r="G461" i="4"/>
  <c r="H460" i="4"/>
  <c r="G460" i="4"/>
  <c r="H459" i="4"/>
  <c r="G459" i="4"/>
  <c r="H458" i="4"/>
  <c r="G458" i="4"/>
  <c r="H457" i="4"/>
  <c r="G457" i="4"/>
  <c r="H456" i="4"/>
  <c r="G456" i="4"/>
  <c r="H455" i="4"/>
  <c r="G455" i="4"/>
  <c r="H454" i="4"/>
  <c r="G454" i="4"/>
  <c r="H453" i="4"/>
  <c r="G453" i="4"/>
  <c r="H452" i="4"/>
  <c r="G452" i="4"/>
  <c r="H451" i="4"/>
  <c r="G451" i="4"/>
  <c r="H450" i="4"/>
  <c r="G450" i="4"/>
  <c r="H449" i="4"/>
  <c r="G449" i="4"/>
  <c r="H448" i="4"/>
  <c r="G448" i="4"/>
  <c r="H447" i="4"/>
  <c r="G447" i="4"/>
  <c r="H446" i="4"/>
  <c r="G446" i="4"/>
  <c r="H445" i="4"/>
  <c r="G445" i="4"/>
  <c r="H444" i="4"/>
  <c r="G444" i="4"/>
  <c r="H443" i="4"/>
  <c r="G443" i="4"/>
  <c r="H442" i="4"/>
  <c r="G442" i="4"/>
  <c r="H441" i="4"/>
  <c r="G441" i="4"/>
  <c r="H440" i="4"/>
  <c r="G440" i="4"/>
  <c r="H439" i="4"/>
  <c r="G439" i="4"/>
  <c r="H438" i="4"/>
  <c r="G438" i="4"/>
  <c r="H437" i="4"/>
  <c r="G437" i="4"/>
  <c r="H436" i="4"/>
  <c r="G436" i="4"/>
  <c r="H435" i="4"/>
  <c r="G435" i="4"/>
  <c r="H434" i="4"/>
  <c r="G434" i="4"/>
  <c r="H433" i="4"/>
  <c r="G433" i="4"/>
  <c r="H432" i="4"/>
  <c r="G432" i="4"/>
  <c r="H431" i="4"/>
  <c r="G431" i="4"/>
  <c r="H430" i="4"/>
  <c r="G430" i="4"/>
  <c r="H429" i="4"/>
  <c r="G429" i="4"/>
  <c r="H428" i="4"/>
  <c r="G428" i="4"/>
  <c r="H427" i="4"/>
  <c r="G427" i="4"/>
  <c r="H426" i="4"/>
  <c r="G426" i="4"/>
  <c r="H425" i="4"/>
  <c r="G425" i="4"/>
  <c r="H424" i="4"/>
  <c r="G424" i="4"/>
  <c r="H423" i="4"/>
  <c r="G423" i="4"/>
  <c r="H422" i="4"/>
  <c r="G422" i="4"/>
  <c r="H421" i="4"/>
  <c r="G421" i="4"/>
  <c r="H420" i="4"/>
  <c r="G420" i="4"/>
  <c r="H419" i="4"/>
  <c r="G419" i="4"/>
  <c r="H418" i="4"/>
  <c r="G418" i="4"/>
  <c r="H417" i="4"/>
  <c r="G417" i="4"/>
  <c r="H416" i="4"/>
  <c r="G416" i="4"/>
  <c r="H415" i="4"/>
  <c r="G415" i="4"/>
  <c r="H414" i="4"/>
  <c r="G414" i="4"/>
  <c r="H413" i="4"/>
  <c r="G413" i="4"/>
  <c r="H412" i="4"/>
  <c r="G412" i="4"/>
  <c r="H411" i="4"/>
  <c r="G411" i="4"/>
  <c r="H410" i="4"/>
  <c r="G410" i="4"/>
  <c r="H409" i="4"/>
  <c r="G409" i="4"/>
  <c r="H408" i="4"/>
  <c r="G408" i="4"/>
  <c r="H407" i="4"/>
  <c r="G407" i="4"/>
  <c r="H406" i="4"/>
  <c r="G406" i="4"/>
  <c r="H405" i="4"/>
  <c r="G405" i="4"/>
  <c r="H404" i="4"/>
  <c r="G404" i="4"/>
  <c r="H403" i="4"/>
  <c r="G403" i="4"/>
  <c r="H402" i="4"/>
  <c r="G402" i="4"/>
  <c r="H401" i="4"/>
  <c r="G401" i="4"/>
  <c r="H400" i="4"/>
  <c r="G400" i="4"/>
  <c r="H399" i="4"/>
  <c r="G399" i="4"/>
  <c r="H398" i="4"/>
  <c r="G398" i="4"/>
  <c r="H397" i="4"/>
  <c r="G397" i="4"/>
  <c r="H396" i="4"/>
  <c r="G396" i="4"/>
  <c r="H395" i="4"/>
  <c r="G395" i="4"/>
  <c r="H394" i="4"/>
  <c r="G394" i="4"/>
  <c r="H393" i="4"/>
  <c r="G393" i="4"/>
  <c r="H392" i="4"/>
  <c r="G392" i="4"/>
  <c r="H391" i="4"/>
  <c r="G391" i="4"/>
  <c r="H390" i="4"/>
  <c r="G390" i="4"/>
  <c r="H389" i="4"/>
  <c r="G389" i="4"/>
  <c r="H388" i="4"/>
  <c r="G388" i="4"/>
  <c r="H387" i="4"/>
  <c r="G387" i="4"/>
  <c r="H386" i="4"/>
  <c r="G386" i="4"/>
  <c r="H385" i="4"/>
  <c r="G385" i="4"/>
  <c r="H384" i="4"/>
  <c r="G384" i="4"/>
  <c r="H383" i="4"/>
  <c r="G383" i="4"/>
  <c r="H382" i="4"/>
  <c r="G382" i="4"/>
  <c r="H381" i="4"/>
  <c r="G381" i="4"/>
  <c r="H380" i="4"/>
  <c r="G380" i="4"/>
  <c r="H379" i="4"/>
  <c r="G379" i="4"/>
  <c r="H378" i="4"/>
  <c r="G378" i="4"/>
  <c r="H377" i="4"/>
  <c r="G377" i="4"/>
  <c r="H376" i="4"/>
  <c r="G376" i="4"/>
  <c r="H375" i="4"/>
  <c r="G375" i="4"/>
  <c r="H374" i="4"/>
  <c r="G374" i="4"/>
  <c r="H373" i="4"/>
  <c r="G373" i="4"/>
  <c r="H372" i="4"/>
  <c r="G372" i="4"/>
  <c r="H371" i="4"/>
  <c r="G371" i="4"/>
  <c r="H370" i="4"/>
  <c r="G370" i="4"/>
  <c r="H369" i="4"/>
  <c r="G369" i="4"/>
  <c r="H368" i="4"/>
  <c r="G368" i="4"/>
  <c r="H367" i="4"/>
  <c r="G367" i="4"/>
  <c r="H366" i="4"/>
  <c r="G366" i="4"/>
  <c r="H365" i="4"/>
  <c r="G365" i="4"/>
  <c r="H364" i="4"/>
  <c r="G364" i="4"/>
  <c r="H363" i="4"/>
  <c r="G363" i="4"/>
  <c r="H362" i="4"/>
  <c r="G362" i="4"/>
  <c r="H361" i="4"/>
  <c r="G361" i="4"/>
  <c r="H360" i="4"/>
  <c r="G360" i="4"/>
  <c r="H359" i="4"/>
  <c r="G359" i="4"/>
  <c r="H358" i="4"/>
  <c r="G358" i="4"/>
  <c r="H357" i="4"/>
  <c r="G357" i="4"/>
  <c r="H356" i="4"/>
  <c r="G356" i="4"/>
  <c r="H355" i="4"/>
  <c r="G355" i="4"/>
  <c r="H354" i="4"/>
  <c r="G354" i="4"/>
  <c r="H353" i="4"/>
  <c r="G353" i="4"/>
  <c r="H352" i="4"/>
  <c r="G352" i="4"/>
  <c r="H351" i="4"/>
  <c r="G351" i="4"/>
  <c r="H350" i="4"/>
  <c r="G350" i="4"/>
  <c r="H349" i="4"/>
  <c r="G349" i="4"/>
  <c r="H348" i="4"/>
  <c r="G348" i="4"/>
  <c r="H347" i="4"/>
  <c r="G347" i="4"/>
  <c r="H346" i="4"/>
  <c r="G346" i="4"/>
  <c r="H345" i="4"/>
  <c r="G345" i="4"/>
  <c r="H344" i="4"/>
  <c r="G344" i="4"/>
  <c r="H343" i="4"/>
  <c r="G343" i="4"/>
  <c r="H342" i="4"/>
  <c r="G342" i="4"/>
  <c r="H341" i="4"/>
  <c r="G341" i="4"/>
  <c r="H340" i="4"/>
  <c r="G340" i="4"/>
  <c r="H339" i="4"/>
  <c r="G339" i="4"/>
  <c r="H338" i="4"/>
  <c r="G338" i="4"/>
  <c r="H337" i="4"/>
  <c r="G337" i="4"/>
  <c r="H336" i="4"/>
  <c r="G336" i="4"/>
  <c r="H335" i="4"/>
  <c r="G335" i="4"/>
  <c r="H334" i="4"/>
  <c r="G334" i="4"/>
  <c r="H333" i="4"/>
  <c r="G333" i="4"/>
  <c r="H332" i="4"/>
  <c r="G332" i="4"/>
  <c r="H331" i="4"/>
  <c r="G331" i="4"/>
  <c r="H330" i="4"/>
  <c r="G330" i="4"/>
  <c r="H329" i="4"/>
  <c r="G329" i="4"/>
  <c r="H328" i="4"/>
  <c r="G328" i="4"/>
  <c r="H327" i="4"/>
  <c r="G327" i="4"/>
  <c r="H326" i="4"/>
  <c r="G326" i="4"/>
  <c r="H325" i="4"/>
  <c r="G325" i="4"/>
  <c r="H324" i="4"/>
  <c r="G324" i="4"/>
  <c r="H323" i="4"/>
  <c r="G323" i="4"/>
  <c r="H322" i="4"/>
  <c r="G322" i="4"/>
  <c r="H321" i="4"/>
  <c r="G321" i="4"/>
  <c r="H320" i="4"/>
  <c r="G320" i="4"/>
  <c r="H319" i="4"/>
  <c r="G319" i="4"/>
  <c r="H318" i="4"/>
  <c r="G318" i="4"/>
  <c r="H317" i="4"/>
  <c r="G317" i="4"/>
  <c r="H316" i="4"/>
  <c r="G316" i="4"/>
  <c r="H315" i="4"/>
  <c r="G315" i="4"/>
  <c r="H314" i="4"/>
  <c r="G314" i="4"/>
  <c r="H313" i="4"/>
  <c r="G313" i="4"/>
  <c r="H312" i="4"/>
  <c r="G312" i="4"/>
  <c r="H311" i="4"/>
  <c r="G311" i="4"/>
  <c r="H310" i="4"/>
  <c r="G310" i="4"/>
  <c r="H309" i="4"/>
  <c r="G309" i="4"/>
  <c r="H308" i="4"/>
  <c r="G308" i="4"/>
  <c r="H307" i="4"/>
  <c r="G307" i="4"/>
  <c r="H306" i="4"/>
  <c r="G306" i="4"/>
  <c r="H305" i="4"/>
  <c r="G305" i="4"/>
  <c r="H304" i="4"/>
  <c r="G304" i="4"/>
  <c r="H303" i="4"/>
  <c r="G303" i="4"/>
  <c r="H302" i="4"/>
  <c r="G302" i="4"/>
  <c r="H301" i="4"/>
  <c r="G301" i="4"/>
  <c r="H300" i="4"/>
  <c r="G300" i="4"/>
  <c r="H299" i="4"/>
  <c r="G299" i="4"/>
  <c r="H298" i="4"/>
  <c r="G298" i="4"/>
  <c r="H297" i="4"/>
  <c r="G297" i="4"/>
  <c r="H296" i="4"/>
  <c r="G296" i="4"/>
  <c r="H295" i="4"/>
  <c r="G295" i="4"/>
  <c r="H294" i="4"/>
  <c r="G294" i="4"/>
  <c r="H293" i="4"/>
  <c r="G293" i="4"/>
  <c r="H292" i="4"/>
  <c r="G292" i="4"/>
  <c r="H291" i="4"/>
  <c r="G291" i="4"/>
  <c r="H290" i="4"/>
  <c r="G290" i="4"/>
  <c r="H289" i="4"/>
  <c r="G289" i="4"/>
  <c r="H288" i="4"/>
  <c r="G288" i="4"/>
  <c r="H287" i="4"/>
  <c r="G287" i="4"/>
  <c r="H286" i="4"/>
  <c r="G286" i="4"/>
  <c r="H285" i="4"/>
  <c r="G285" i="4"/>
  <c r="H284" i="4"/>
  <c r="G284" i="4"/>
  <c r="H283" i="4"/>
  <c r="G283" i="4"/>
  <c r="H282" i="4"/>
  <c r="G282" i="4"/>
  <c r="H281" i="4"/>
  <c r="G281" i="4"/>
  <c r="H280" i="4"/>
  <c r="G280" i="4"/>
  <c r="H279" i="4"/>
  <c r="G279" i="4"/>
  <c r="H278" i="4"/>
  <c r="G278" i="4"/>
  <c r="H277" i="4"/>
  <c r="G277" i="4"/>
  <c r="H276" i="4"/>
  <c r="G276" i="4"/>
  <c r="H275" i="4"/>
  <c r="G275" i="4"/>
  <c r="H274" i="4"/>
  <c r="G274" i="4"/>
  <c r="H273" i="4"/>
  <c r="G273" i="4"/>
  <c r="H272" i="4"/>
  <c r="G272" i="4"/>
  <c r="H271" i="4"/>
  <c r="G271" i="4"/>
  <c r="H270" i="4"/>
  <c r="G270" i="4"/>
  <c r="H269" i="4"/>
  <c r="G269" i="4"/>
  <c r="H268" i="4"/>
  <c r="G268" i="4"/>
  <c r="H267" i="4"/>
  <c r="G267" i="4"/>
  <c r="H266" i="4"/>
  <c r="G266" i="4"/>
  <c r="H265" i="4"/>
  <c r="G265" i="4"/>
  <c r="H264" i="4"/>
  <c r="G264" i="4"/>
  <c r="H263" i="4"/>
  <c r="G263" i="4"/>
  <c r="H262" i="4"/>
  <c r="G262" i="4"/>
  <c r="H261" i="4"/>
  <c r="G261" i="4"/>
  <c r="H260" i="4"/>
  <c r="G260" i="4"/>
  <c r="H259" i="4"/>
  <c r="G259" i="4"/>
  <c r="H258" i="4"/>
  <c r="G258" i="4"/>
  <c r="H257" i="4"/>
  <c r="G257" i="4"/>
  <c r="H256" i="4"/>
  <c r="G256" i="4"/>
  <c r="H255" i="4"/>
  <c r="G255" i="4"/>
  <c r="H254" i="4"/>
  <c r="G254" i="4"/>
  <c r="H253" i="4"/>
  <c r="G253" i="4"/>
  <c r="H252" i="4"/>
  <c r="G252" i="4"/>
  <c r="H251" i="4"/>
  <c r="G251" i="4"/>
  <c r="H250" i="4"/>
  <c r="G250" i="4"/>
  <c r="H249" i="4"/>
  <c r="G249" i="4"/>
  <c r="H248" i="4"/>
  <c r="G248" i="4"/>
  <c r="H247" i="4"/>
  <c r="G247" i="4"/>
  <c r="H246" i="4"/>
  <c r="G246" i="4"/>
  <c r="H245" i="4"/>
  <c r="G245" i="4"/>
  <c r="H244" i="4"/>
  <c r="G244" i="4"/>
  <c r="H243" i="4"/>
  <c r="G243" i="4"/>
  <c r="H242" i="4"/>
  <c r="G242" i="4"/>
  <c r="H241" i="4"/>
  <c r="G241" i="4"/>
  <c r="H240" i="4"/>
  <c r="G240" i="4"/>
  <c r="H239" i="4"/>
  <c r="G239" i="4"/>
  <c r="H238" i="4"/>
  <c r="G238" i="4"/>
  <c r="H237" i="4"/>
  <c r="G237" i="4"/>
  <c r="H236" i="4"/>
  <c r="G236" i="4"/>
  <c r="H235" i="4"/>
  <c r="G235" i="4"/>
  <c r="H234" i="4"/>
  <c r="G234" i="4"/>
  <c r="H233" i="4"/>
  <c r="G233" i="4"/>
  <c r="H232" i="4"/>
  <c r="G232" i="4"/>
  <c r="H231" i="4"/>
  <c r="G231" i="4"/>
  <c r="H230" i="4"/>
  <c r="G230" i="4"/>
  <c r="H229" i="4"/>
  <c r="G229" i="4"/>
  <c r="H228" i="4"/>
  <c r="G228" i="4"/>
  <c r="H227" i="4"/>
  <c r="G227" i="4"/>
  <c r="H226" i="4"/>
  <c r="G226" i="4"/>
  <c r="H225" i="4"/>
  <c r="G225" i="4"/>
  <c r="H224" i="4"/>
  <c r="G224" i="4"/>
  <c r="H223" i="4"/>
  <c r="G223" i="4"/>
  <c r="H222" i="4"/>
  <c r="G222" i="4"/>
  <c r="H221" i="4"/>
  <c r="G221" i="4"/>
  <c r="H220" i="4"/>
  <c r="G220" i="4"/>
  <c r="H219" i="4"/>
  <c r="G219" i="4"/>
  <c r="H218" i="4"/>
  <c r="G218" i="4"/>
  <c r="H217" i="4"/>
  <c r="G217" i="4"/>
  <c r="H216" i="4"/>
  <c r="G216" i="4"/>
  <c r="H215" i="4"/>
  <c r="G215" i="4"/>
  <c r="H214" i="4"/>
  <c r="G214" i="4"/>
  <c r="H213" i="4"/>
  <c r="G213" i="4"/>
  <c r="H212" i="4"/>
  <c r="G212" i="4"/>
  <c r="H211" i="4"/>
  <c r="G211" i="4"/>
  <c r="H210" i="4"/>
  <c r="G210" i="4"/>
  <c r="H209" i="4"/>
  <c r="G209" i="4"/>
  <c r="H208" i="4"/>
  <c r="G208" i="4"/>
  <c r="H207" i="4"/>
  <c r="G207" i="4"/>
  <c r="H206" i="4"/>
  <c r="G206" i="4"/>
  <c r="H205" i="4"/>
  <c r="G205" i="4"/>
  <c r="H204" i="4"/>
  <c r="G204" i="4"/>
  <c r="H203" i="4"/>
  <c r="G203" i="4"/>
  <c r="H202" i="4"/>
  <c r="G202" i="4"/>
  <c r="H201" i="4"/>
  <c r="G201" i="4"/>
  <c r="H200" i="4"/>
  <c r="G200" i="4"/>
  <c r="H199" i="4"/>
  <c r="G199" i="4"/>
  <c r="H198" i="4"/>
  <c r="G198" i="4"/>
  <c r="H197" i="4"/>
  <c r="G197" i="4"/>
  <c r="H196" i="4"/>
  <c r="G196" i="4"/>
  <c r="H195" i="4"/>
  <c r="G195" i="4"/>
  <c r="H194" i="4"/>
  <c r="G194" i="4"/>
  <c r="H193" i="4"/>
  <c r="G193" i="4"/>
  <c r="H192" i="4"/>
  <c r="G192" i="4"/>
  <c r="H191" i="4"/>
  <c r="G191" i="4"/>
  <c r="H190" i="4"/>
  <c r="G190" i="4"/>
  <c r="H189" i="4"/>
  <c r="G189" i="4"/>
  <c r="H188" i="4"/>
  <c r="G188" i="4"/>
  <c r="H187" i="4"/>
  <c r="G187" i="4"/>
  <c r="H186" i="4"/>
  <c r="G186" i="4"/>
  <c r="H185" i="4"/>
  <c r="G185" i="4"/>
  <c r="H184" i="4"/>
  <c r="G184" i="4"/>
  <c r="H183" i="4"/>
  <c r="G183" i="4"/>
  <c r="H182" i="4"/>
  <c r="G182" i="4"/>
  <c r="H181" i="4"/>
  <c r="G181" i="4"/>
  <c r="H180" i="4"/>
  <c r="G180" i="4"/>
  <c r="H179" i="4"/>
  <c r="G179" i="4"/>
  <c r="H178" i="4"/>
  <c r="G178" i="4"/>
  <c r="H177" i="4"/>
  <c r="G177" i="4"/>
  <c r="H176" i="4"/>
  <c r="G176" i="4"/>
  <c r="H175" i="4"/>
  <c r="G175" i="4"/>
  <c r="H174" i="4"/>
  <c r="G174" i="4"/>
  <c r="H173" i="4"/>
  <c r="G173" i="4"/>
  <c r="H172" i="4"/>
  <c r="G172" i="4"/>
  <c r="H171" i="4"/>
  <c r="G171" i="4"/>
  <c r="H170" i="4"/>
  <c r="G170" i="4"/>
  <c r="H169" i="4"/>
  <c r="G169" i="4"/>
  <c r="H168" i="4"/>
  <c r="G168" i="4"/>
  <c r="H167" i="4"/>
  <c r="G167" i="4"/>
  <c r="H166" i="4"/>
  <c r="G166" i="4"/>
  <c r="H165" i="4"/>
  <c r="G165" i="4"/>
  <c r="H164" i="4"/>
  <c r="G164" i="4"/>
  <c r="H163" i="4"/>
  <c r="G163" i="4"/>
  <c r="H162" i="4"/>
  <c r="G162" i="4"/>
  <c r="H161" i="4"/>
  <c r="G161" i="4"/>
  <c r="H160" i="4"/>
  <c r="G160" i="4"/>
  <c r="H159" i="4"/>
  <c r="G159" i="4"/>
  <c r="H158" i="4"/>
  <c r="G158" i="4"/>
  <c r="H157" i="4"/>
  <c r="G157" i="4"/>
  <c r="H156" i="4"/>
  <c r="G156" i="4"/>
  <c r="H155" i="4"/>
  <c r="G155" i="4"/>
  <c r="H154" i="4"/>
  <c r="G154" i="4"/>
  <c r="H153" i="4"/>
  <c r="G153" i="4"/>
  <c r="H152" i="4"/>
  <c r="G152" i="4"/>
  <c r="H151" i="4"/>
  <c r="G151" i="4"/>
  <c r="H150" i="4"/>
  <c r="G150" i="4"/>
  <c r="H149" i="4"/>
  <c r="G149" i="4"/>
  <c r="H148" i="4"/>
  <c r="G148" i="4"/>
  <c r="H147" i="4"/>
  <c r="G147" i="4"/>
  <c r="H146" i="4"/>
  <c r="G146" i="4"/>
  <c r="H145" i="4"/>
  <c r="G145" i="4"/>
  <c r="H144" i="4"/>
  <c r="G144" i="4"/>
  <c r="H143" i="4"/>
  <c r="G143" i="4"/>
  <c r="H142" i="4"/>
  <c r="G142" i="4"/>
  <c r="H141" i="4"/>
  <c r="G141" i="4"/>
  <c r="H140" i="4"/>
  <c r="G140" i="4"/>
  <c r="H139" i="4"/>
  <c r="G139" i="4"/>
  <c r="H138" i="4"/>
  <c r="G138" i="4"/>
  <c r="H137" i="4"/>
  <c r="G137" i="4"/>
  <c r="H136" i="4"/>
  <c r="G136" i="4"/>
  <c r="H135" i="4"/>
  <c r="G135" i="4"/>
  <c r="H134" i="4"/>
  <c r="G134" i="4"/>
  <c r="H133" i="4"/>
  <c r="G133" i="4"/>
  <c r="H132" i="4"/>
  <c r="G132" i="4"/>
  <c r="H131" i="4"/>
  <c r="G131" i="4"/>
  <c r="H130" i="4"/>
  <c r="G130" i="4"/>
  <c r="H129" i="4"/>
  <c r="G129" i="4"/>
  <c r="H128" i="4"/>
  <c r="G128" i="4"/>
  <c r="H127" i="4"/>
  <c r="G127" i="4"/>
  <c r="H126" i="4"/>
  <c r="G126" i="4"/>
  <c r="H125" i="4"/>
  <c r="G125" i="4"/>
  <c r="H124" i="4"/>
  <c r="G124" i="4"/>
  <c r="H123" i="4"/>
  <c r="G123" i="4"/>
  <c r="H122" i="4"/>
  <c r="G122" i="4"/>
  <c r="H121" i="4"/>
  <c r="G121" i="4"/>
  <c r="H120" i="4"/>
  <c r="G120" i="4"/>
  <c r="H119" i="4"/>
  <c r="G119" i="4"/>
  <c r="H118" i="4"/>
  <c r="G118" i="4"/>
  <c r="H117" i="4"/>
  <c r="G117" i="4"/>
  <c r="H116" i="4"/>
  <c r="G116" i="4"/>
  <c r="H115" i="4"/>
  <c r="G115" i="4"/>
  <c r="H114" i="4"/>
  <c r="G114" i="4"/>
  <c r="H113" i="4"/>
  <c r="G113" i="4"/>
  <c r="H112" i="4"/>
  <c r="G112" i="4"/>
  <c r="H111" i="4"/>
  <c r="G111" i="4"/>
  <c r="H110" i="4"/>
  <c r="G110" i="4"/>
  <c r="H109" i="4"/>
  <c r="G109" i="4"/>
  <c r="H108" i="4"/>
  <c r="G108" i="4"/>
  <c r="H107" i="4"/>
  <c r="G107" i="4"/>
  <c r="H106" i="4"/>
  <c r="G106" i="4"/>
  <c r="H105" i="4"/>
  <c r="G105" i="4"/>
  <c r="H104" i="4"/>
  <c r="G104" i="4"/>
  <c r="H103" i="4"/>
  <c r="G103" i="4"/>
  <c r="H102" i="4"/>
  <c r="G102" i="4"/>
  <c r="H101" i="4"/>
  <c r="G101" i="4"/>
  <c r="H100" i="4"/>
  <c r="G100" i="4"/>
  <c r="H99" i="4"/>
  <c r="G99" i="4"/>
  <c r="H98" i="4"/>
  <c r="G98" i="4"/>
  <c r="H97" i="4"/>
  <c r="G97" i="4"/>
  <c r="H96" i="4"/>
  <c r="G96" i="4"/>
  <c r="H95" i="4"/>
  <c r="G95" i="4"/>
  <c r="H94" i="4"/>
  <c r="G94" i="4"/>
  <c r="H93" i="4"/>
  <c r="G93" i="4"/>
  <c r="H92" i="4"/>
  <c r="G92" i="4"/>
  <c r="H91" i="4"/>
  <c r="G91" i="4"/>
  <c r="H90" i="4"/>
  <c r="G90" i="4"/>
  <c r="H89" i="4"/>
  <c r="G89" i="4"/>
  <c r="H88" i="4"/>
  <c r="G88" i="4"/>
  <c r="H87" i="4"/>
  <c r="G87" i="4"/>
  <c r="H86" i="4"/>
  <c r="G86" i="4"/>
  <c r="H85" i="4"/>
  <c r="G85" i="4"/>
  <c r="H84" i="4"/>
  <c r="G84" i="4"/>
  <c r="H83" i="4"/>
  <c r="G83" i="4"/>
  <c r="H82" i="4"/>
  <c r="G82" i="4"/>
  <c r="H81" i="4"/>
  <c r="G81" i="4"/>
  <c r="H80" i="4"/>
  <c r="G80" i="4"/>
  <c r="H79" i="4"/>
  <c r="G79" i="4"/>
  <c r="H78" i="4"/>
  <c r="G78" i="4"/>
  <c r="H77" i="4"/>
  <c r="G77" i="4"/>
  <c r="H76" i="4"/>
  <c r="G76" i="4"/>
  <c r="H75" i="4"/>
  <c r="G75" i="4"/>
  <c r="H74" i="4"/>
  <c r="G74" i="4"/>
  <c r="H73" i="4"/>
  <c r="G73" i="4"/>
  <c r="H72" i="4"/>
  <c r="G72" i="4"/>
  <c r="H71" i="4"/>
  <c r="G71" i="4"/>
  <c r="H70" i="4"/>
  <c r="G70" i="4"/>
  <c r="H69" i="4"/>
  <c r="G69" i="4"/>
  <c r="H68" i="4"/>
  <c r="G68" i="4"/>
  <c r="H67" i="4"/>
  <c r="G67" i="4"/>
  <c r="H66" i="4"/>
  <c r="G66" i="4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H3" i="4"/>
  <c r="G3" i="4"/>
  <c r="H2" i="4"/>
  <c r="G2" i="4"/>
  <c r="AA22" i="2"/>
  <c r="AA21" i="2"/>
  <c r="AA20" i="2"/>
  <c r="AA19" i="2"/>
  <c r="AA18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AA2" i="2"/>
  <c r="B8" i="1"/>
  <c r="C8" i="1" s="1"/>
  <c r="B7" i="1"/>
  <c r="C7" i="1" s="1"/>
  <c r="B6" i="1"/>
  <c r="C6" i="1" s="1"/>
  <c r="B5" i="1"/>
  <c r="C5" i="1" s="1"/>
  <c r="B4" i="1"/>
  <c r="C4" i="1" s="1"/>
  <c r="C2" i="3"/>
  <c r="D10" i="10" l="1"/>
  <c r="D8" i="10"/>
  <c r="D6" i="10"/>
  <c r="D4" i="10"/>
  <c r="D3" i="10"/>
  <c r="B10" i="1" s="1"/>
  <c r="C10" i="1" s="1"/>
  <c r="D875" i="9"/>
  <c r="D2" i="9"/>
  <c r="D6" i="9"/>
  <c r="D8" i="9"/>
  <c r="D4" i="9"/>
  <c r="D3" i="9"/>
  <c r="D10" i="9"/>
  <c r="F12" i="4"/>
  <c r="F1000" i="4"/>
  <c r="F998" i="4"/>
  <c r="F996" i="4"/>
  <c r="F995" i="4"/>
  <c r="F994" i="4"/>
  <c r="F991" i="4"/>
  <c r="F989" i="4"/>
  <c r="F988" i="4"/>
  <c r="F977" i="4"/>
  <c r="F976" i="4"/>
  <c r="F968" i="4"/>
  <c r="F967" i="4"/>
  <c r="F966" i="4"/>
  <c r="F965" i="4"/>
  <c r="F11" i="4"/>
  <c r="F999" i="4"/>
  <c r="F997" i="4"/>
  <c r="F993" i="4"/>
  <c r="F992" i="4"/>
  <c r="F990" i="4"/>
  <c r="F987" i="4"/>
  <c r="F986" i="4"/>
  <c r="F985" i="4"/>
  <c r="F984" i="4"/>
  <c r="F983" i="4"/>
  <c r="F982" i="4"/>
  <c r="F981" i="4"/>
  <c r="F980" i="4"/>
  <c r="F979" i="4"/>
  <c r="F978" i="4"/>
  <c r="F975" i="4"/>
  <c r="F974" i="4"/>
  <c r="F973" i="4"/>
  <c r="F971" i="4"/>
  <c r="F970" i="4"/>
  <c r="F969" i="4"/>
  <c r="F2" i="4"/>
  <c r="F10" i="4"/>
  <c r="F964" i="4"/>
  <c r="F963" i="4"/>
  <c r="F962" i="4"/>
  <c r="F961" i="4"/>
  <c r="F960" i="4"/>
  <c r="F959" i="4"/>
  <c r="F958" i="4"/>
  <c r="F957" i="4"/>
  <c r="F956" i="4"/>
  <c r="F955" i="4"/>
  <c r="F954" i="4"/>
  <c r="F953" i="4"/>
  <c r="F952" i="4"/>
  <c r="F951" i="4"/>
  <c r="F950" i="4"/>
  <c r="F949" i="4"/>
  <c r="F948" i="4"/>
  <c r="F947" i="4"/>
  <c r="F946" i="4"/>
  <c r="F945" i="4"/>
  <c r="F944" i="4"/>
  <c r="F943" i="4"/>
  <c r="F942" i="4"/>
  <c r="F941" i="4"/>
  <c r="F940" i="4"/>
  <c r="F939" i="4"/>
  <c r="F938" i="4"/>
  <c r="F937" i="4"/>
  <c r="F936" i="4"/>
  <c r="F935" i="4"/>
  <c r="F934" i="4"/>
  <c r="F933" i="4"/>
  <c r="F932" i="4"/>
  <c r="F931" i="4"/>
  <c r="F930" i="4"/>
  <c r="F929" i="4"/>
  <c r="F928" i="4"/>
  <c r="F927" i="4"/>
  <c r="F926" i="4"/>
  <c r="F925" i="4"/>
  <c r="F924" i="4"/>
  <c r="F923" i="4"/>
  <c r="F922" i="4"/>
  <c r="F921" i="4"/>
  <c r="F920" i="4"/>
  <c r="F919" i="4"/>
  <c r="F918" i="4"/>
  <c r="F917" i="4"/>
  <c r="F916" i="4"/>
  <c r="F915" i="4"/>
  <c r="F914" i="4"/>
  <c r="F913" i="4"/>
  <c r="F912" i="4"/>
  <c r="F911" i="4"/>
  <c r="F910" i="4"/>
  <c r="F909" i="4"/>
  <c r="F908" i="4"/>
  <c r="F907" i="4"/>
  <c r="F906" i="4"/>
  <c r="F905" i="4"/>
  <c r="F904" i="4"/>
  <c r="F903" i="4"/>
  <c r="F902" i="4"/>
  <c r="F901" i="4"/>
  <c r="F900" i="4"/>
  <c r="F899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6" i="4"/>
  <c r="F645" i="4"/>
  <c r="F644" i="4"/>
  <c r="F643" i="4"/>
  <c r="F642" i="4"/>
  <c r="F641" i="4"/>
  <c r="F640" i="4"/>
  <c r="F639" i="4"/>
  <c r="F638" i="4"/>
  <c r="F637" i="4"/>
  <c r="F636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5" i="4"/>
  <c r="F614" i="4"/>
  <c r="F613" i="4"/>
  <c r="F612" i="4"/>
  <c r="F611" i="4"/>
  <c r="F609" i="4"/>
  <c r="F608" i="4"/>
  <c r="F607" i="4"/>
  <c r="F606" i="4"/>
  <c r="F605" i="4"/>
  <c r="F603" i="4"/>
  <c r="F602" i="4"/>
  <c r="F601" i="4"/>
  <c r="F600" i="4"/>
  <c r="F599" i="4"/>
  <c r="F598" i="4"/>
  <c r="F596" i="4"/>
  <c r="F595" i="4"/>
  <c r="F594" i="4"/>
  <c r="F593" i="4"/>
  <c r="F592" i="4"/>
  <c r="F590" i="4"/>
  <c r="F589" i="4"/>
  <c r="F588" i="4"/>
  <c r="F587" i="4"/>
  <c r="F586" i="4"/>
  <c r="F585" i="4"/>
  <c r="F584" i="4"/>
  <c r="F583" i="4"/>
  <c r="F582" i="4"/>
  <c r="F581" i="4"/>
  <c r="F580" i="4"/>
  <c r="F578" i="4"/>
  <c r="F577" i="4"/>
  <c r="F576" i="4"/>
  <c r="F575" i="4"/>
  <c r="F574" i="4"/>
  <c r="F573" i="4"/>
  <c r="F571" i="4"/>
  <c r="F570" i="4"/>
  <c r="F569" i="4"/>
  <c r="F568" i="4"/>
  <c r="F567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5" i="4"/>
  <c r="F524" i="4"/>
  <c r="F523" i="4"/>
  <c r="F522" i="4"/>
  <c r="F521" i="4"/>
  <c r="F520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5" i="4"/>
  <c r="F504" i="4"/>
  <c r="F503" i="4"/>
  <c r="F502" i="4"/>
  <c r="F501" i="4"/>
  <c r="F500" i="4"/>
  <c r="F499" i="4"/>
  <c r="F498" i="4"/>
  <c r="F497" i="4"/>
  <c r="F495" i="4"/>
  <c r="F494" i="4"/>
  <c r="F493" i="4"/>
  <c r="F492" i="4"/>
  <c r="F491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09" i="4"/>
  <c r="F408" i="4"/>
  <c r="F406" i="4"/>
  <c r="F405" i="4"/>
  <c r="F404" i="4"/>
  <c r="F402" i="4"/>
  <c r="F401" i="4"/>
  <c r="F400" i="4"/>
  <c r="F399" i="4"/>
  <c r="F397" i="4"/>
  <c r="F396" i="4"/>
  <c r="F395" i="4"/>
  <c r="F394" i="4"/>
  <c r="F393" i="4"/>
  <c r="F392" i="4"/>
  <c r="F391" i="4"/>
  <c r="F389" i="4"/>
  <c r="F388" i="4"/>
  <c r="F387" i="4"/>
  <c r="F386" i="4"/>
  <c r="F385" i="4"/>
  <c r="F384" i="4"/>
  <c r="F383" i="4"/>
  <c r="F382" i="4"/>
  <c r="F381" i="4"/>
  <c r="F379" i="4"/>
  <c r="F378" i="4"/>
  <c r="F377" i="4"/>
  <c r="F376" i="4"/>
  <c r="F375" i="4"/>
  <c r="F373" i="4"/>
  <c r="F372" i="4"/>
  <c r="F370" i="4"/>
  <c r="F369" i="4"/>
  <c r="F368" i="4"/>
  <c r="F367" i="4"/>
  <c r="F364" i="4"/>
  <c r="F363" i="4"/>
  <c r="F362" i="4"/>
  <c r="F361" i="4"/>
  <c r="F359" i="4"/>
  <c r="F358" i="4"/>
  <c r="F357" i="4"/>
  <c r="F356" i="4"/>
  <c r="F355" i="4"/>
  <c r="F354" i="4"/>
  <c r="F353" i="4"/>
  <c r="F352" i="4"/>
  <c r="F351" i="4"/>
  <c r="F350" i="4"/>
  <c r="F348" i="4"/>
  <c r="F347" i="4"/>
  <c r="F346" i="4"/>
  <c r="F345" i="4"/>
  <c r="F344" i="4"/>
  <c r="F343" i="4"/>
  <c r="F342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3" i="4"/>
  <c r="F322" i="4"/>
  <c r="F319" i="4"/>
  <c r="F318" i="4"/>
  <c r="F317" i="4"/>
  <c r="F315" i="4"/>
  <c r="F312" i="4"/>
  <c r="F311" i="4"/>
  <c r="F310" i="4"/>
  <c r="F309" i="4"/>
  <c r="F308" i="4"/>
  <c r="F307" i="4"/>
  <c r="F306" i="4"/>
  <c r="F304" i="4"/>
  <c r="F303" i="4"/>
  <c r="F301" i="4"/>
  <c r="F300" i="4"/>
  <c r="F299" i="4"/>
  <c r="F298" i="4"/>
  <c r="F297" i="4"/>
  <c r="F296" i="4"/>
  <c r="F295" i="4"/>
  <c r="F294" i="4"/>
  <c r="F292" i="4"/>
  <c r="F291" i="4"/>
  <c r="F289" i="4"/>
  <c r="F288" i="4"/>
  <c r="F287" i="4"/>
  <c r="F286" i="4"/>
  <c r="F285" i="4"/>
  <c r="F283" i="4"/>
  <c r="F282" i="4"/>
  <c r="F280" i="4"/>
  <c r="F279" i="4"/>
  <c r="F278" i="4"/>
  <c r="F276" i="4"/>
  <c r="F275" i="4"/>
  <c r="F274" i="4"/>
  <c r="F273" i="4"/>
  <c r="F271" i="4"/>
  <c r="F270" i="4"/>
  <c r="F268" i="4"/>
  <c r="F267" i="4"/>
  <c r="F266" i="4"/>
  <c r="F265" i="4"/>
  <c r="F264" i="4"/>
  <c r="F263" i="4"/>
  <c r="F262" i="4"/>
  <c r="F259" i="4"/>
  <c r="F258" i="4"/>
  <c r="F257" i="4"/>
  <c r="F254" i="4"/>
  <c r="F253" i="4"/>
  <c r="F252" i="4"/>
  <c r="F251" i="4"/>
  <c r="F250" i="4"/>
  <c r="F249" i="4"/>
  <c r="F248" i="4"/>
  <c r="F247" i="4"/>
  <c r="F246" i="4"/>
  <c r="F245" i="4"/>
  <c r="F243" i="4"/>
  <c r="F242" i="4"/>
  <c r="F241" i="4"/>
  <c r="F239" i="4"/>
  <c r="F238" i="4"/>
  <c r="F235" i="4"/>
  <c r="F234" i="4"/>
  <c r="F9" i="4"/>
  <c r="F720" i="4"/>
  <c r="F719" i="4"/>
  <c r="F690" i="4"/>
  <c r="F664" i="4"/>
  <c r="F647" i="4"/>
  <c r="F635" i="4"/>
  <c r="F617" i="4"/>
  <c r="F616" i="4"/>
  <c r="F610" i="4"/>
  <c r="F604" i="4"/>
  <c r="F597" i="4"/>
  <c r="F591" i="4"/>
  <c r="F579" i="4"/>
  <c r="F572" i="4"/>
  <c r="F566" i="4"/>
  <c r="F544" i="4"/>
  <c r="F526" i="4"/>
  <c r="F519" i="4"/>
  <c r="F506" i="4"/>
  <c r="F496" i="4"/>
  <c r="F490" i="4"/>
  <c r="F407" i="4"/>
  <c r="F403" i="4"/>
  <c r="F390" i="4"/>
  <c r="F374" i="4"/>
  <c r="F366" i="4"/>
  <c r="F360" i="4"/>
  <c r="F340" i="4"/>
  <c r="F324" i="4"/>
  <c r="F321" i="4"/>
  <c r="F314" i="4"/>
  <c r="F293" i="4"/>
  <c r="F281" i="4"/>
  <c r="F277" i="4"/>
  <c r="F261" i="4"/>
  <c r="F255" i="4"/>
  <c r="F244" i="4"/>
  <c r="F240" i="4"/>
  <c r="F237" i="4"/>
  <c r="F8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398" i="4"/>
  <c r="F380" i="4"/>
  <c r="F371" i="4"/>
  <c r="F365" i="4"/>
  <c r="F349" i="4"/>
  <c r="F341" i="4"/>
  <c r="F320" i="4"/>
  <c r="F316" i="4"/>
  <c r="F313" i="4"/>
  <c r="F305" i="4"/>
  <c r="F302" i="4"/>
  <c r="F290" i="4"/>
  <c r="F284" i="4"/>
  <c r="F272" i="4"/>
  <c r="F269" i="4"/>
  <c r="F260" i="4"/>
  <c r="F256" i="4"/>
  <c r="F236" i="4"/>
  <c r="F7" i="4"/>
  <c r="F6" i="4"/>
  <c r="F5" i="4"/>
  <c r="F4" i="4"/>
  <c r="F3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B9" i="1" l="1"/>
  <c r="C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charset val="1"/>
          </rPr>
          <t>Enter one room preference on an even-numbered input row. The next row automatically creates the opposite year-group and complementary percentage.</t>
        </r>
      </text>
    </comment>
    <comment ref="C2" authorId="0" shapeId="0" xr:uid="{00000000-0006-0000-0800-000002000000}">
      <text>
        <r>
          <rPr>
            <sz val="11"/>
            <color theme="1"/>
            <rFont val="Calibri"/>
            <charset val="1"/>
          </rPr>
          <t>Editable base preference for room R407. The paired row (C3) auto-calculates to 100% minus this value.</t>
        </r>
      </text>
    </comment>
    <comment ref="A3" authorId="0" shapeId="0" xr:uid="{00000000-0006-0000-0800-000003000000}">
      <text>
        <r>
          <rPr>
            <sz val="11"/>
            <color theme="1"/>
            <rFont val="Calibri"/>
            <charset val="1"/>
          </rPr>
          <t>Automatically generated complement row. For example, 1-2 at 80% produces 3-4 at 20%.</t>
        </r>
      </text>
    </comment>
    <comment ref="C3" authorId="0" shapeId="0" xr:uid="{00000000-0006-0000-0800-000004000000}">
      <text>
        <r>
          <rPr>
            <sz val="11"/>
            <color theme="1"/>
            <rFont val="Calibri"/>
            <charset val="1"/>
          </rPr>
          <t>Auto-complement for room R407: 100% minus the paired row (C2). Edit C2 to change the split.</t>
        </r>
      </text>
    </comment>
    <comment ref="C4" authorId="0" shapeId="0" xr:uid="{00000000-0006-0000-0800-000005000000}">
      <text>
        <r>
          <rPr>
            <sz val="11"/>
            <color theme="1"/>
            <rFont val="Calibri"/>
            <charset val="1"/>
          </rPr>
          <t>Editable base preference for room R408. The paired row (C5) auto-calculates to 100% minus this value.</t>
        </r>
      </text>
    </comment>
    <comment ref="C5" authorId="0" shapeId="0" xr:uid="{00000000-0006-0000-0800-000006000000}">
      <text>
        <r>
          <rPr>
            <sz val="11"/>
            <color theme="1"/>
            <rFont val="Calibri"/>
            <charset val="1"/>
          </rPr>
          <t>Auto-complement for room R408: 100% minus the paired row (C4). Edit C4 to change the split.</t>
        </r>
      </text>
    </comment>
    <comment ref="C6" authorId="0" shapeId="0" xr:uid="{00000000-0006-0000-0800-000007000000}">
      <text>
        <r>
          <rPr>
            <sz val="11"/>
            <color theme="1"/>
            <rFont val="Calibri"/>
            <charset val="1"/>
          </rPr>
          <t>Editable base preference for room R505. The paired row (C7) auto-calculates to 100% minus this value.</t>
        </r>
      </text>
    </comment>
    <comment ref="C7" authorId="0" shapeId="0" xr:uid="{00000000-0006-0000-0800-000008000000}">
      <text>
        <r>
          <rPr>
            <sz val="11"/>
            <color theme="1"/>
            <rFont val="Calibri"/>
            <charset val="1"/>
          </rPr>
          <t>Auto-complement for room R505: 100% minus the paired row (C6). Edit C6 to change the split.</t>
        </r>
      </text>
    </comment>
    <comment ref="C8" authorId="0" shapeId="0" xr:uid="{00000000-0006-0000-0800-000009000000}">
      <text>
        <r>
          <rPr>
            <sz val="11"/>
            <color theme="1"/>
            <rFont val="Calibri"/>
            <charset val="1"/>
          </rPr>
          <t>Editable base preference for room R411A. The paired row (C9) auto-calculates to 100% minus this value.</t>
        </r>
      </text>
    </comment>
    <comment ref="C9" authorId="0" shapeId="0" xr:uid="{00000000-0006-0000-0800-00000A000000}">
      <text>
        <r>
          <rPr>
            <sz val="11"/>
            <color theme="1"/>
            <rFont val="Calibri"/>
            <charset val="1"/>
          </rPr>
          <t>Auto-complement for room R411A: 100% minus the paired row (C8). Edit C8 to change the split.</t>
        </r>
      </text>
    </comment>
    <comment ref="C10" authorId="0" shapeId="0" xr:uid="{00000000-0006-0000-0800-00000B000000}">
      <text>
        <r>
          <rPr>
            <sz val="11"/>
            <color theme="1"/>
            <rFont val="Calibri"/>
            <charset val="1"/>
          </rPr>
          <t>Editable base preference for room R406. The paired row (C11) auto-calculates to 100% minus this value.</t>
        </r>
      </text>
    </comment>
    <comment ref="C11" authorId="0" shapeId="0" xr:uid="{00000000-0006-0000-0800-00000C000000}">
      <text>
        <r>
          <rPr>
            <sz val="11"/>
            <color theme="1"/>
            <rFont val="Calibri"/>
            <charset val="1"/>
          </rPr>
          <t>Auto-complement for room R406: 100% minus the paired row (C10). Edit C10 to change the split.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" authorId="0" shapeId="0" xr:uid="{00000000-0006-0000-0900-000001000000}">
      <text>
        <r>
          <rPr>
            <sz val="11"/>
            <color theme="1"/>
            <rFont val="Calibri"/>
            <charset val="1"/>
          </rPr>
          <t>Enter one day/class-type preference on an even-numbered input row. The next row automatically creates the opposite class type and complementary percentage.</t>
        </r>
      </text>
    </comment>
    <comment ref="A3" authorId="0" shapeId="0" xr:uid="{00000000-0006-0000-0900-000002000000}">
      <text>
        <r>
          <rPr>
            <sz val="11"/>
            <color theme="1"/>
            <rFont val="Calibri"/>
            <charset val="1"/>
          </rPr>
          <t>Automatically generated complement row. For example, Lab at 40% produces Theory at 60%.</t>
        </r>
      </text>
    </comment>
  </commentList>
</comments>
</file>

<file path=xl/sharedStrings.xml><?xml version="1.0" encoding="utf-8"?>
<sst xmlns="http://schemas.openxmlformats.org/spreadsheetml/2006/main" count="597" uniqueCount="288">
  <si>
    <t>key</t>
  </si>
  <si>
    <t>value</t>
  </si>
  <si>
    <t>status</t>
  </si>
  <si>
    <t>university</t>
  </si>
  <si>
    <t>Gopalganj Science and Technology University</t>
  </si>
  <si>
    <t>faculty</t>
  </si>
  <si>
    <t>Social Science Faculty</t>
  </si>
  <si>
    <t>department</t>
  </si>
  <si>
    <t>Psychology</t>
  </si>
  <si>
    <t>year</t>
  </si>
  <si>
    <t>semester</t>
  </si>
  <si>
    <t>Spring</t>
  </si>
  <si>
    <t>working_days</t>
  </si>
  <si>
    <t>SUN,MON,TUE,WED,THU</t>
  </si>
  <si>
    <t>class_start</t>
  </si>
  <si>
    <t>class_end</t>
  </si>
  <si>
    <t>break_start</t>
  </si>
  <si>
    <t>break_end</t>
  </si>
  <si>
    <t>Routine Workbook Summary</t>
  </si>
  <si>
    <t>Check</t>
  </si>
  <si>
    <t>Count</t>
  </si>
  <si>
    <t>Meaning / action</t>
  </si>
  <si>
    <t>Teacher records entered</t>
  </si>
  <si>
    <t>Course records entered</t>
  </si>
  <si>
    <t>Room records entered</t>
  </si>
  <si>
    <t>Active Year-Semester records</t>
  </si>
  <si>
    <t>Courses without teacher</t>
  </si>
  <si>
    <t>Room preference problems</t>
  </si>
  <si>
    <t>Day preference problems</t>
  </si>
  <si>
    <t>Teacher availability problems</t>
  </si>
  <si>
    <t>Instructions</t>
  </si>
  <si>
    <t xml:space="preserve"> Fill in this order: Lists → Config (Year → Semester) → Year_Sem → Teachers → Credit_Rules → Courses → Rooms → Room_Preference → Day_Preference → Teacher_Unavailability.</t>
  </si>
  <si>
    <t>Required-field key</t>
  </si>
  <si>
    <t>* Required field</t>
  </si>
  <si>
    <t>Yellow cell = required value missing</t>
  </si>
  <si>
    <t>Red status = duplicate, conflict, or invalid value</t>
  </si>
  <si>
    <t>Quick links</t>
  </si>
  <si>
    <t>Lists</t>
  </si>
  <si>
    <t>Config</t>
  </si>
  <si>
    <t>Year_Sem</t>
  </si>
  <si>
    <t>Teachers</t>
  </si>
  <si>
    <t>Credit_Rules</t>
  </si>
  <si>
    <t>Courses</t>
  </si>
  <si>
    <t>Rooms</t>
  </si>
  <si>
    <t>Room_Preference</t>
  </si>
  <si>
    <t>Day_Preference</t>
  </si>
  <si>
    <t>Teacher_Unavailability</t>
  </si>
  <si>
    <t>Config_Year</t>
  </si>
  <si>
    <t>Config_Semester</t>
  </si>
  <si>
    <t>Faculty</t>
  </si>
  <si>
    <t>Department_Full</t>
  </si>
  <si>
    <t>Designation</t>
  </si>
  <si>
    <t>Time</t>
  </si>
  <si>
    <t>Year</t>
  </si>
  <si>
    <t>Semester</t>
  </si>
  <si>
    <t>year_sem</t>
  </si>
  <si>
    <t>Year_Group</t>
  </si>
  <si>
    <t>Credit_Type</t>
  </si>
  <si>
    <t>Room_Type</t>
  </si>
  <si>
    <t>Day</t>
  </si>
  <si>
    <t>Yes_No</t>
  </si>
  <si>
    <t>Faculty_Dependent_Name</t>
  </si>
  <si>
    <t>Faculty_Dependent_Key</t>
  </si>
  <si>
    <t>dep_Engineering_Faculty</t>
  </si>
  <si>
    <t>dep_Science_Faculty</t>
  </si>
  <si>
    <t>dep_Life_Science_Faculty</t>
  </si>
  <si>
    <t>dep_Humanities_Faculty</t>
  </si>
  <si>
    <t>dep_Social_Science_Faculty</t>
  </si>
  <si>
    <t>dep_Business_Studies_Faculty</t>
  </si>
  <si>
    <t>dep_Law_Faculty</t>
  </si>
  <si>
    <t>dep_Faculty_of_Agriculture</t>
  </si>
  <si>
    <t>dep_Animal_Science_and_Veterinary_Medicine_Faculty</t>
  </si>
  <si>
    <t>Selected_Faculty_Departments</t>
  </si>
  <si>
    <t>Fall</t>
  </si>
  <si>
    <t>Engineering Faculty</t>
  </si>
  <si>
    <t>CSE</t>
  </si>
  <si>
    <t>Professor</t>
  </si>
  <si>
    <t>1-1</t>
  </si>
  <si>
    <t>1-2</t>
  </si>
  <si>
    <t>Theory</t>
  </si>
  <si>
    <t>classroom</t>
  </si>
  <si>
    <t>SUN</t>
  </si>
  <si>
    <t>Yes</t>
  </si>
  <si>
    <t>Physics</t>
  </si>
  <si>
    <t>Pharmacy</t>
  </si>
  <si>
    <t>English</t>
  </si>
  <si>
    <t>Management Studies</t>
  </si>
  <si>
    <t>Law</t>
  </si>
  <si>
    <t>Agriculture</t>
  </si>
  <si>
    <t>ASVM</t>
  </si>
  <si>
    <t>Science Faculty</t>
  </si>
  <si>
    <t>EEE</t>
  </si>
  <si>
    <t>Associate Professor</t>
  </si>
  <si>
    <t>3-4</t>
  </si>
  <si>
    <t>Lab</t>
  </si>
  <si>
    <t>lab</t>
  </si>
  <si>
    <t>MON</t>
  </si>
  <si>
    <t>No</t>
  </si>
  <si>
    <t>Chemistry</t>
  </si>
  <si>
    <t>BGE</t>
  </si>
  <si>
    <t>Bangla</t>
  </si>
  <si>
    <t>Economics</t>
  </si>
  <si>
    <t>AIS</t>
  </si>
  <si>
    <t>FMB</t>
  </si>
  <si>
    <t>Life Science Faculty</t>
  </si>
  <si>
    <t>ETE</t>
  </si>
  <si>
    <t>Assistant Professor</t>
  </si>
  <si>
    <t>2-1</t>
  </si>
  <si>
    <t>TUE</t>
  </si>
  <si>
    <t>Mathematics</t>
  </si>
  <si>
    <t>BMB</t>
  </si>
  <si>
    <t>History</t>
  </si>
  <si>
    <t>Sociology</t>
  </si>
  <si>
    <t>Marketing</t>
  </si>
  <si>
    <t>Humanities Faculty</t>
  </si>
  <si>
    <t>ACCE</t>
  </si>
  <si>
    <t>Lecturer</t>
  </si>
  <si>
    <t>2-2</t>
  </si>
  <si>
    <t>WED</t>
  </si>
  <si>
    <t>Statistics</t>
  </si>
  <si>
    <t>Botany</t>
  </si>
  <si>
    <t>PAD</t>
  </si>
  <si>
    <t>Finance and Banking</t>
  </si>
  <si>
    <t>CE</t>
  </si>
  <si>
    <t>3-1</t>
  </si>
  <si>
    <t>THU</t>
  </si>
  <si>
    <t>ESDM</t>
  </si>
  <si>
    <t>IR</t>
  </si>
  <si>
    <t>THM</t>
  </si>
  <si>
    <t>Business Studies Faculty</t>
  </si>
  <si>
    <t>Food and Agroprocess Engineering</t>
  </si>
  <si>
    <t>3-2</t>
  </si>
  <si>
    <t>PS</t>
  </si>
  <si>
    <t>Law Faculty</t>
  </si>
  <si>
    <t>ARCH</t>
  </si>
  <si>
    <t>4-1</t>
  </si>
  <si>
    <t>Faculty of Agriculture</t>
  </si>
  <si>
    <t>4-2</t>
  </si>
  <si>
    <t>Animal Science and Veterinary Medicine Faculty</t>
  </si>
  <si>
    <t>year_sem *</t>
  </si>
  <si>
    <t>year *</t>
  </si>
  <si>
    <t>semester *</t>
  </si>
  <si>
    <t>group_code *</t>
  </si>
  <si>
    <t>is_active *</t>
  </si>
  <si>
    <t>active_year_sem_helper</t>
  </si>
  <si>
    <t>active_sequence_helper</t>
  </si>
  <si>
    <t>full_name *</t>
  </si>
  <si>
    <t>abbreviation *</t>
  </si>
  <si>
    <t>designation *</t>
  </si>
  <si>
    <t>department *</t>
  </si>
  <si>
    <t>Dr. Mrinal Kanti Baowly</t>
  </si>
  <si>
    <t>DMKB</t>
  </si>
  <si>
    <t>Dr. Saleh Ahmed</t>
  </si>
  <si>
    <t>DSA</t>
  </si>
  <si>
    <t>Md. Nesar Hossain</t>
  </si>
  <si>
    <t>MNH</t>
  </si>
  <si>
    <t>Abu-Bakar Muhammad Abdullah</t>
  </si>
  <si>
    <t>AMA</t>
  </si>
  <si>
    <t>Faruk Hossen</t>
  </si>
  <si>
    <t>FH</t>
  </si>
  <si>
    <t>Md. Ferdous</t>
  </si>
  <si>
    <t>MF</t>
  </si>
  <si>
    <t>Nahida Islam</t>
  </si>
  <si>
    <t>NI</t>
  </si>
  <si>
    <t>Sabina Yeasmin</t>
  </si>
  <si>
    <t>SY</t>
  </si>
  <si>
    <t>Robiul Islam</t>
  </si>
  <si>
    <t>RI</t>
  </si>
  <si>
    <t>Habibur Rahaman</t>
  </si>
  <si>
    <t>HR</t>
  </si>
  <si>
    <t>Md. Eyakub Ali</t>
  </si>
  <si>
    <t>MEA</t>
  </si>
  <si>
    <t>credit *</t>
  </si>
  <si>
    <t>type *</t>
  </si>
  <si>
    <t>classes_per_week *</t>
  </si>
  <si>
    <t>duration_minutes *</t>
  </si>
  <si>
    <t>course_code *</t>
  </si>
  <si>
    <t>course_name *</t>
  </si>
  <si>
    <t>dept *</t>
  </si>
  <si>
    <t>teacher_abbr *</t>
  </si>
  <si>
    <t>CSE401</t>
  </si>
  <si>
    <t>Digital Signal Processing</t>
  </si>
  <si>
    <t>3</t>
  </si>
  <si>
    <t>CSE402</t>
  </si>
  <si>
    <t>Digital Signal Processing Sessional</t>
  </si>
  <si>
    <t>1</t>
  </si>
  <si>
    <t>CSE403</t>
  </si>
  <si>
    <t>Digital Image Processing and Analysis</t>
  </si>
  <si>
    <t>CSE404</t>
  </si>
  <si>
    <t>Digital Image Processing and Analysis Sessional</t>
  </si>
  <si>
    <t>CSE405</t>
  </si>
  <si>
    <t>Machine Learning</t>
  </si>
  <si>
    <t>CSE406</t>
  </si>
  <si>
    <t>Machine Learning Sessional</t>
  </si>
  <si>
    <t>1.5</t>
  </si>
  <si>
    <t>CSE413</t>
  </si>
  <si>
    <t>Simulation and Modeling</t>
  </si>
  <si>
    <t>CSE414</t>
  </si>
  <si>
    <t>0.5</t>
  </si>
  <si>
    <t>CSE351</t>
  </si>
  <si>
    <t>Operating System</t>
  </si>
  <si>
    <t>CSE352</t>
  </si>
  <si>
    <t>Operating System Sessional</t>
  </si>
  <si>
    <t>CSE353</t>
  </si>
  <si>
    <t>Communication Engineering</t>
  </si>
  <si>
    <t>CSE354</t>
  </si>
  <si>
    <t>Communication Engineering  Sessional</t>
  </si>
  <si>
    <t>CSE355</t>
  </si>
  <si>
    <t>Software Engineering</t>
  </si>
  <si>
    <t>CSE356</t>
  </si>
  <si>
    <t>Software Engineering Sessional</t>
  </si>
  <si>
    <t>CSE357</t>
  </si>
  <si>
    <t>Artificial Intelligence</t>
  </si>
  <si>
    <t>CSE358</t>
  </si>
  <si>
    <t>Artificial Intelligence Sessional</t>
  </si>
  <si>
    <t>CSE359</t>
  </si>
  <si>
    <t>Compiler Design</t>
  </si>
  <si>
    <t>CSE360</t>
  </si>
  <si>
    <t>Compiler Design Sessional</t>
  </si>
  <si>
    <t>CSE252</t>
  </si>
  <si>
    <t>Tecnical writing and presentation  LAB</t>
  </si>
  <si>
    <t>CSE253</t>
  </si>
  <si>
    <t>Algorithm Analysis and Design</t>
  </si>
  <si>
    <t>CSE254</t>
  </si>
  <si>
    <t>Algorithm Analysis and Design LAB</t>
  </si>
  <si>
    <t>CSE255</t>
  </si>
  <si>
    <t xml:space="preserve">Numerical Methods </t>
  </si>
  <si>
    <t>CSE256</t>
  </si>
  <si>
    <t>Numerical Methods  LAB</t>
  </si>
  <si>
    <t>CSE257</t>
  </si>
  <si>
    <t>Computer Architecture and Organization</t>
  </si>
  <si>
    <t>CSE258</t>
  </si>
  <si>
    <t>Computer Architecture and Organization LAB</t>
  </si>
  <si>
    <t>CSE259</t>
  </si>
  <si>
    <t>Theory of Computation</t>
  </si>
  <si>
    <t>2</t>
  </si>
  <si>
    <t>MAT265</t>
  </si>
  <si>
    <t>Complex Variable, Partial Differential Equation and Harmonic Analysis</t>
  </si>
  <si>
    <t>CSE201</t>
  </si>
  <si>
    <t>Data Structure</t>
  </si>
  <si>
    <t>CSE202</t>
  </si>
  <si>
    <t>Data Structure Sessional</t>
  </si>
  <si>
    <t>CSE203</t>
  </si>
  <si>
    <t xml:space="preserve">Object Oriented Programming II (Python) </t>
  </si>
  <si>
    <t>CSE204</t>
  </si>
  <si>
    <t>Object Oriented Programming II (Python) Sessional</t>
  </si>
  <si>
    <t>CSE205</t>
  </si>
  <si>
    <t xml:space="preserve">Digatal Logic Design </t>
  </si>
  <si>
    <t>CSE206</t>
  </si>
  <si>
    <t>Digatal Logic Design Sessional</t>
  </si>
  <si>
    <t>EEE207</t>
  </si>
  <si>
    <t xml:space="preserve">Electrical Drives </t>
  </si>
  <si>
    <t>ENG112</t>
  </si>
  <si>
    <t>Functional English Sessional</t>
  </si>
  <si>
    <t>ENG111</t>
  </si>
  <si>
    <t>Functional English</t>
  </si>
  <si>
    <t>MAT109</t>
  </si>
  <si>
    <t>Defferential and Integral Calculus</t>
  </si>
  <si>
    <t>EEE108</t>
  </si>
  <si>
    <t>Basic Electrical Engineering Sessional</t>
  </si>
  <si>
    <t>EEE107</t>
  </si>
  <si>
    <t>Basic Electrical Engineering</t>
  </si>
  <si>
    <t>CSE105</t>
  </si>
  <si>
    <t xml:space="preserve">Discrete mathematics </t>
  </si>
  <si>
    <t>CSE104</t>
  </si>
  <si>
    <t>Structured Programming Language Sessional</t>
  </si>
  <si>
    <t>CSE103</t>
  </si>
  <si>
    <t>Structured Programming Language</t>
  </si>
  <si>
    <t>CSE102</t>
  </si>
  <si>
    <t>Computer Science Fundamentals Sessional</t>
  </si>
  <si>
    <t>room_id *</t>
  </si>
  <si>
    <t>room_name *</t>
  </si>
  <si>
    <t>R407</t>
  </si>
  <si>
    <t>Room 407</t>
  </si>
  <si>
    <t>R505</t>
  </si>
  <si>
    <t>Room 505</t>
  </si>
  <si>
    <t>R411A</t>
  </si>
  <si>
    <t>Room 411A</t>
  </si>
  <si>
    <t>R408</t>
  </si>
  <si>
    <t>Room 408</t>
  </si>
  <si>
    <t>R406</t>
  </si>
  <si>
    <t>Room 406</t>
  </si>
  <si>
    <t>year_group *</t>
  </si>
  <si>
    <t>weight_percent *</t>
  </si>
  <si>
    <t>day *</t>
  </si>
  <si>
    <t>class_type *</t>
  </si>
  <si>
    <t>start_time *</t>
  </si>
  <si>
    <t>end_time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</si>
</sst>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%"/>
  </numFmts>
  <fonts count="7" x14ac:knownFonts="1">
    <font>
      <sz val="11"/>
      <color theme="1"/>
      <name val="Calibri"/>
      <charset val="1"/>
    </font>
    <font>
      <b/>
      <sz val="16"/>
      <color rgb="FFFFFFFF"/>
      <name val="Aptos Display"/>
      <family val="2"/>
      <charset val="1"/>
    </font>
    <font>
      <b/>
      <sz val="11"/>
      <color rgb="FF1F4E78"/>
      <name val="Aptos"/>
      <family val="2"/>
      <charset val="1"/>
    </font>
    <font>
      <b/>
      <sz val="11"/>
      <color rgb="FFFFFFFF"/>
      <name val="Aptos"/>
      <family val="2"/>
      <charset val="1"/>
    </font>
    <font>
      <b/>
      <sz val="12"/>
      <color rgb="FF1F4E78"/>
      <name val="Aptos"/>
      <family val="2"/>
      <charset val="1"/>
    </font>
    <font>
      <b/>
      <u/>
      <sz val="11"/>
      <color rgb="FF0563C1"/>
      <name val="Aptos"/>
      <family val="2"/>
      <charset val="1"/>
    </font>
    <font>
      <b/>
      <sz val="11"/>
      <color rgb="FF1F4E78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E2F0D9"/>
      </patternFill>
    </fill>
    <fill>
      <patternFill patternType="solid">
        <fgColor rgb="FFFFF2CC"/>
        <bgColor rgb="FFE2F0D9"/>
      </patternFill>
    </fill>
  </fills>
  <borders count="4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vertical="center"/>
      <protection hidden="1"/>
    </xf>
    <xf numFmtId="0" fontId="2" fillId="3" borderId="1" xfId="0" applyFont="1" applyFill="1" applyBorder="1" applyAlignment="1">
      <alignment vertical="center"/>
    </xf>
    <xf numFmtId="0" fontId="0" fillId="0" borderId="1" xfId="0" applyBorder="1"/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 applyProtection="1">
      <alignment vertical="center"/>
      <protection locked="0"/>
    </xf>
    <xf numFmtId="18" fontId="2" fillId="0" borderId="1" xfId="0" applyNumberFormat="1" applyFont="1" applyBorder="1" applyAlignment="1" applyProtection="1">
      <alignment vertical="center"/>
      <protection locked="0"/>
    </xf>
    <xf numFmtId="0" fontId="2" fillId="3" borderId="1" xfId="0" applyFont="1" applyFill="1" applyBorder="1" applyAlignment="1" applyProtection="1">
      <alignment vertical="center"/>
      <protection hidden="1"/>
    </xf>
    <xf numFmtId="0" fontId="2" fillId="0" borderId="1" xfId="0" applyFont="1" applyBorder="1" applyAlignment="1" applyProtection="1">
      <alignment vertical="center" wrapText="1"/>
      <protection locked="0"/>
    </xf>
    <xf numFmtId="1" fontId="2" fillId="0" borderId="1" xfId="0" applyNumberFormat="1" applyFont="1" applyBorder="1" applyAlignment="1" applyProtection="1">
      <alignment vertical="center" wrapText="1"/>
      <protection locked="0"/>
    </xf>
    <xf numFmtId="18" fontId="2" fillId="0" borderId="1" xfId="0" applyNumberFormat="1" applyFont="1" applyBorder="1" applyAlignment="1" applyProtection="1">
      <alignment vertical="center" wrapText="1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49" fontId="2" fillId="0" borderId="1" xfId="0" applyNumberFormat="1" applyFont="1" applyBorder="1" applyAlignment="1" applyProtection="1">
      <alignment vertical="center"/>
      <protection locked="0"/>
    </xf>
    <xf numFmtId="0" fontId="2" fillId="4" borderId="1" xfId="0" applyFont="1" applyFill="1" applyBorder="1" applyAlignment="1" applyProtection="1">
      <alignment vertical="center"/>
      <protection locked="0"/>
    </xf>
    <xf numFmtId="164" fontId="2" fillId="0" borderId="1" xfId="0" applyNumberFormat="1" applyFont="1" applyBorder="1" applyAlignment="1" applyProtection="1">
      <alignment vertical="center"/>
      <protection locked="0"/>
    </xf>
    <xf numFmtId="164" fontId="2" fillId="3" borderId="1" xfId="0" applyNumberFormat="1" applyFont="1" applyFill="1" applyBorder="1" applyAlignment="1" applyProtection="1">
      <alignment vertical="center"/>
      <protection hidden="1"/>
    </xf>
    <xf numFmtId="0" fontId="2" fillId="3" borderId="1" xfId="0" applyFont="1" applyFill="1" applyBorder="1" applyAlignment="1" applyProtection="1">
      <alignment vertical="center"/>
      <protection locked="0"/>
    </xf>
    <xf numFmtId="49" fontId="2" fillId="0" borderId="1" xfId="0" applyNumberFormat="1" applyFont="1" applyBorder="1" applyAlignment="1" applyProtection="1">
      <alignment horizontal="right" vertical="center"/>
      <protection locked="0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28">
    <dxf>
      <font>
        <b/>
        <sz val="11"/>
        <color rgb="FF1F4E78"/>
        <name val="Aptos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sz val="11"/>
        <color rgb="FF1F4E78"/>
        <name val="Aptos"/>
        <charset val="1"/>
      </font>
      <fill>
        <patternFill>
          <bgColor rgb="FFFFF2CC"/>
        </patternFill>
      </fill>
    </dxf>
    <dxf>
      <font>
        <b/>
        <sz val="11"/>
        <color rgb="FF1F4E78"/>
        <name val="Aptos"/>
        <charset val="1"/>
      </font>
      <fill>
        <patternFill>
          <bgColor rgb="FFFFC7CE"/>
        </patternFill>
      </fill>
    </dxf>
    <dxf>
      <font>
        <b/>
        <sz val="11"/>
        <color rgb="FF1F4E78"/>
        <name val="Aptos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sz val="11"/>
        <color rgb="FF1F4E78"/>
        <name val="Aptos"/>
        <charset val="1"/>
      </font>
      <fill>
        <patternFill>
          <bgColor rgb="FFFFF2CC"/>
        </patternFill>
      </fill>
    </dxf>
    <dxf>
      <font>
        <b/>
        <sz val="11"/>
        <color rgb="FF1F4E78"/>
        <name val="Aptos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sz val="11"/>
        <color rgb="FF1F4E78"/>
        <name val="Aptos"/>
        <charset val="1"/>
      </font>
      <fill>
        <patternFill>
          <bgColor rgb="FFFFF2CC"/>
        </patternFill>
      </fill>
    </dxf>
    <dxf>
      <font>
        <b/>
        <sz val="11"/>
        <color rgb="FF1F4E78"/>
        <name val="Aptos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sz val="11"/>
        <color rgb="FF1F4E78"/>
        <name val="Aptos"/>
        <charset val="1"/>
      </font>
      <fill>
        <patternFill>
          <bgColor rgb="FFFFF2CC"/>
        </patternFill>
      </fill>
    </dxf>
    <dxf>
      <font>
        <b/>
        <sz val="11"/>
        <color rgb="FF1F4E78"/>
        <name val="Aptos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sz val="11"/>
        <color rgb="FF1F4E78"/>
        <name val="Aptos"/>
        <charset val="1"/>
      </font>
      <fill>
        <patternFill>
          <bgColor rgb="FFFFF2CC"/>
        </patternFill>
      </fill>
    </dxf>
    <dxf>
      <font>
        <b/>
        <sz val="11"/>
        <color rgb="FF1F4E78"/>
        <name val="Aptos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sz val="11"/>
        <color rgb="FF1F4E78"/>
        <name val="Aptos"/>
        <charset val="1"/>
      </font>
      <fill>
        <patternFill>
          <bgColor rgb="FFFFF2CC"/>
        </patternFill>
      </fill>
    </dxf>
    <dxf>
      <font>
        <b/>
        <sz val="11"/>
        <color rgb="FF1F4E78"/>
        <name val="Aptos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sz val="11"/>
        <color rgb="FF1F4E78"/>
        <name val="Aptos"/>
        <charset val="1"/>
      </font>
      <fill>
        <patternFill>
          <bgColor rgb="FFFFF2CC"/>
        </patternFill>
      </fill>
    </dxf>
    <dxf>
      <font>
        <b/>
        <sz val="11"/>
        <color rgb="FF1F4E78"/>
        <name val="Aptos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sz val="11"/>
        <color rgb="FF1F4E78"/>
        <name val="Aptos"/>
        <charset val="1"/>
      </font>
      <fill>
        <patternFill>
          <bgColor rgb="FFFFF2CC"/>
        </patternFill>
      </fill>
    </dxf>
    <dxf>
      <font>
        <b/>
        <sz val="11"/>
        <color rgb="FF1F4E78"/>
        <name val="Aptos"/>
        <charset val="1"/>
      </font>
      <fill>
        <patternFill>
          <bgColor rgb="FFFFF2CC"/>
        </patternFill>
      </fill>
    </dxf>
    <dxf>
      <font>
        <b/>
        <sz val="11"/>
        <color rgb="FF1F4E78"/>
        <name val="Aptos"/>
        <charset val="1"/>
      </font>
      <fill>
        <patternFill>
          <bgColor rgb="FFE2F0D9"/>
        </patternFill>
      </fill>
    </dxf>
    <dxf>
      <font>
        <b/>
        <sz val="11"/>
        <color rgb="FF1F4E78"/>
        <name val="Aptos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2CC"/>
      <rgbColor rgb="FFE7E6E6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7"/>
  <sheetViews>
    <sheetView showGridLines="0" zoomScaleNormal="100" workbookViewId="0">
      <pane ySplit="3" topLeftCell="A4" activePane="bottomLeft" state="frozen"/>
      <selection pane="bottomLeft" activeCell="E6" sqref="E6"/>
    </sheetView>
  </sheetViews>
  <sheetFormatPr defaultColWidth="8.5546875" defaultRowHeight="14.4" x14ac:dyDescent="0.3"/>
  <cols>
    <col min="1" max="1" width="42" customWidth="1"/>
    <col min="2" max="2" width="16" customWidth="1"/>
    <col min="3" max="3" width="98.6640625" customWidth="1"/>
  </cols>
  <sheetData>
    <row r="1" spans="1:3" ht="27.75" customHeight="1" x14ac:dyDescent="0.3">
      <c r="A1" s="25" t="s">
        <v>18</v>
      </c>
      <c r="B1" s="23"/>
      <c r="C1" s="24"/>
    </row>
    <row r="2" spans="1:3" ht="15" customHeight="1" x14ac:dyDescent="0.3">
      <c r="A2" s="1"/>
      <c r="B2" s="1"/>
      <c r="C2" s="1"/>
    </row>
    <row r="3" spans="1:3" ht="27.75" customHeight="1" x14ac:dyDescent="0.3">
      <c r="A3" s="2" t="s">
        <v>19</v>
      </c>
      <c r="B3" s="2" t="s">
        <v>20</v>
      </c>
      <c r="C3" s="2" t="s">
        <v>21</v>
      </c>
    </row>
    <row r="4" spans="1:3" ht="15.75" customHeight="1" x14ac:dyDescent="0.3">
      <c r="A4" s="1" t="s">
        <v>22</v>
      </c>
      <c r="B4" s="3">
        <f>COUNTIF(Teachers!$A$2:$A$1000,"?*")</f>
        <v>11</v>
      </c>
      <c r="C4" s="3" t="str">
        <f>IF(B4=0,"No teacher records yet","OK")</f>
        <v>OK</v>
      </c>
    </row>
    <row r="5" spans="1:3" ht="15.75" customHeight="1" x14ac:dyDescent="0.3">
      <c r="A5" s="1" t="s">
        <v>23</v>
      </c>
      <c r="B5" s="3">
        <f>COUNTIF(Courses!$A$2:$A$1000,"?*")</f>
        <v>43</v>
      </c>
      <c r="C5" s="3" t="str">
        <f>IF(B5=0,"No course records yet","OK")</f>
        <v>OK</v>
      </c>
    </row>
    <row r="6" spans="1:3" ht="15.75" customHeight="1" x14ac:dyDescent="0.3">
      <c r="A6" s="1" t="s">
        <v>24</v>
      </c>
      <c r="B6" s="3">
        <f>COUNTIF(Rooms!$A$2:$A$1000,"?*")</f>
        <v>5</v>
      </c>
      <c r="C6" s="3" t="str">
        <f>IF(B6=0,"No room records yet","OK")</f>
        <v>OK</v>
      </c>
    </row>
    <row r="7" spans="1:3" ht="15.75" customHeight="1" x14ac:dyDescent="0.3">
      <c r="A7" s="1" t="s">
        <v>25</v>
      </c>
      <c r="B7" s="3">
        <f>COUNTIF(Year_Sem!$E$2:$E$1000,"Yes")</f>
        <v>5</v>
      </c>
      <c r="C7" s="3" t="str">
        <f>IF(B7=0,"No active Year-Semester records","OK")</f>
        <v>OK</v>
      </c>
    </row>
    <row r="8" spans="1:3" ht="15.75" customHeight="1" x14ac:dyDescent="0.3">
      <c r="A8" s="1" t="s">
        <v>26</v>
      </c>
      <c r="B8" s="3">
        <f>COUNTIFS(Courses!$A$2:$A$1000,"?*",Courses!$F$2:$F$1000,"")</f>
        <v>0</v>
      </c>
      <c r="C8" s="3" t="str">
        <f>IF(B8=0,"OK","Assign a teacher to each course")</f>
        <v>OK</v>
      </c>
    </row>
    <row r="9" spans="1:3" ht="15.75" customHeight="1" x14ac:dyDescent="0.3">
      <c r="A9" s="1" t="s">
        <v>27</v>
      </c>
      <c r="B9" s="3">
        <f>COUNTIFS(Room_Preference!$D$2:$D$1000,"&lt;&gt;OK",Room_Preference!$A$2:$A$1000,"?*")</f>
        <v>0</v>
      </c>
      <c r="C9" s="3" t="str">
        <f>IF(B9=0,"OK","Review red status cells in Room_Preference")</f>
        <v>OK</v>
      </c>
    </row>
    <row r="10" spans="1:3" ht="15.75" customHeight="1" x14ac:dyDescent="0.3">
      <c r="A10" s="1" t="s">
        <v>28</v>
      </c>
      <c r="B10" s="3">
        <f>COUNTIFS(Day_Preference!$D$2:$D$500,"&lt;&gt;OK",Day_Preference!$A$2:$A$500,"?*")</f>
        <v>0</v>
      </c>
      <c r="C10" s="3" t="str">
        <f>IF(B10=0,"OK","Review red status cells in Day_Preference")</f>
        <v>OK</v>
      </c>
    </row>
    <row r="11" spans="1:3" ht="15.75" customHeight="1" x14ac:dyDescent="0.3">
      <c r="A11" s="1" t="s">
        <v>29</v>
      </c>
      <c r="B11" s="3">
        <f>COUNTIFS(Teacher_Unavailability!$E$2:$E$500,"&lt;&gt;OK",Teacher_Unavailability!$A$2:$A$500,"?*")</f>
        <v>0</v>
      </c>
      <c r="C11" s="3" t="str">
        <f>IF(B11=0,"OK","Review red status cells in Teacher_Unavailability")</f>
        <v>OK</v>
      </c>
    </row>
    <row r="12" spans="1:3" ht="15" customHeight="1" x14ac:dyDescent="0.3">
      <c r="A12" s="1"/>
      <c r="B12" s="1"/>
      <c r="C12" s="1"/>
    </row>
    <row r="13" spans="1:3" ht="15" customHeight="1" x14ac:dyDescent="0.3">
      <c r="A13" s="1"/>
      <c r="B13" s="1"/>
      <c r="C13" s="1"/>
    </row>
    <row r="14" spans="1:3" ht="15" customHeight="1" x14ac:dyDescent="0.3">
      <c r="A14" s="4" t="s">
        <v>30</v>
      </c>
      <c r="B14" s="1"/>
      <c r="C14" s="1"/>
    </row>
    <row r="15" spans="1:3" ht="33.75" customHeight="1" x14ac:dyDescent="0.3">
      <c r="A15" s="27" t="s">
        <v>31</v>
      </c>
      <c r="B15" s="23"/>
      <c r="C15" s="24"/>
    </row>
    <row r="18" spans="1:3" ht="24" customHeight="1" x14ac:dyDescent="0.3">
      <c r="A18" s="26" t="s">
        <v>32</v>
      </c>
      <c r="B18" s="23"/>
      <c r="C18" s="24"/>
    </row>
    <row r="19" spans="1:3" ht="21.75" customHeight="1" x14ac:dyDescent="0.3">
      <c r="A19" s="22" t="s">
        <v>33</v>
      </c>
      <c r="B19" s="23"/>
      <c r="C19" s="24"/>
    </row>
    <row r="20" spans="1:3" ht="21.75" customHeight="1" x14ac:dyDescent="0.3">
      <c r="A20" s="22" t="s">
        <v>34</v>
      </c>
      <c r="B20" s="23"/>
      <c r="C20" s="24"/>
    </row>
    <row r="21" spans="1:3" ht="21.75" customHeight="1" x14ac:dyDescent="0.3">
      <c r="A21" s="22" t="s">
        <v>35</v>
      </c>
      <c r="B21" s="23"/>
      <c r="C21" s="24"/>
    </row>
    <row r="22" spans="1:3" ht="21.75" customHeight="1" x14ac:dyDescent="0.3">
      <c r="A22" s="5"/>
      <c r="B22" s="5"/>
      <c r="C22" s="5"/>
    </row>
    <row r="23" spans="1:3" ht="24" customHeight="1" x14ac:dyDescent="0.3">
      <c r="A23" s="26" t="s">
        <v>36</v>
      </c>
      <c r="B23" s="23"/>
      <c r="C23" s="24"/>
    </row>
    <row r="24" spans="1:3" ht="21.75" customHeight="1" x14ac:dyDescent="0.3">
      <c r="A24" s="6" t="s">
        <v>37</v>
      </c>
      <c r="B24" s="5"/>
      <c r="C24" s="5"/>
    </row>
    <row r="25" spans="1:3" ht="21.75" customHeight="1" x14ac:dyDescent="0.3">
      <c r="A25" s="6" t="s">
        <v>38</v>
      </c>
      <c r="B25" s="5"/>
      <c r="C25" s="5"/>
    </row>
    <row r="26" spans="1:3" ht="21.75" customHeight="1" x14ac:dyDescent="0.3">
      <c r="A26" s="6" t="s">
        <v>39</v>
      </c>
      <c r="B26" s="5"/>
      <c r="C26" s="5"/>
    </row>
    <row r="27" spans="1:3" ht="21.75" customHeight="1" x14ac:dyDescent="0.3">
      <c r="A27" s="6" t="s">
        <v>40</v>
      </c>
      <c r="B27" s="5"/>
      <c r="C27" s="5"/>
    </row>
    <row r="28" spans="1:3" ht="21.75" customHeight="1" x14ac:dyDescent="0.3">
      <c r="A28" s="6" t="s">
        <v>41</v>
      </c>
      <c r="B28" s="5"/>
      <c r="C28" s="5"/>
    </row>
    <row r="29" spans="1:3" ht="21.75" customHeight="1" x14ac:dyDescent="0.3">
      <c r="A29" s="6" t="s">
        <v>42</v>
      </c>
      <c r="B29" s="5"/>
      <c r="C29" s="5"/>
    </row>
    <row r="30" spans="1:3" ht="21.75" customHeight="1" x14ac:dyDescent="0.3">
      <c r="A30" s="6" t="s">
        <v>43</v>
      </c>
      <c r="B30" s="5"/>
      <c r="C30" s="5"/>
    </row>
    <row r="31" spans="1:3" ht="21.75" customHeight="1" x14ac:dyDescent="0.3">
      <c r="A31" s="6" t="s">
        <v>44</v>
      </c>
      <c r="B31" s="5"/>
      <c r="C31" s="5"/>
    </row>
    <row r="32" spans="1:3" ht="21.75" customHeight="1" x14ac:dyDescent="0.3">
      <c r="A32" s="6" t="s">
        <v>45</v>
      </c>
      <c r="B32" s="5"/>
      <c r="C32" s="5"/>
    </row>
    <row r="33" spans="1:3" ht="21.75" customHeight="1" x14ac:dyDescent="0.3">
      <c r="A33" s="6" t="s">
        <v>46</v>
      </c>
      <c r="B33" s="5"/>
      <c r="C33" s="5"/>
    </row>
    <row r="34" spans="1:3" ht="15" customHeight="1" x14ac:dyDescent="0.3">
      <c r="A34" s="5"/>
      <c r="B34" s="5"/>
      <c r="C34" s="5"/>
    </row>
    <row r="35" spans="1:3" ht="15" customHeight="1" x14ac:dyDescent="0.3">
      <c r="A35" s="5"/>
      <c r="B35" s="5"/>
      <c r="C35" s="5"/>
    </row>
    <row r="36" spans="1:3" ht="15" customHeight="1" x14ac:dyDescent="0.3">
      <c r="A36" s="5"/>
      <c r="B36" s="5"/>
      <c r="C36" s="5"/>
    </row>
    <row r="37" spans="1:3" ht="15" customHeight="1" x14ac:dyDescent="0.3">
      <c r="A37" s="5"/>
      <c r="B37" s="5"/>
      <c r="C37" s="5"/>
    </row>
  </sheetData>
  <mergeCells count="7">
    <mergeCell ref="A19:C19"/>
    <mergeCell ref="A1:C1"/>
    <mergeCell ref="A23:C23"/>
    <mergeCell ref="A18:C18"/>
    <mergeCell ref="A21:C21"/>
    <mergeCell ref="A15:C15"/>
    <mergeCell ref="A20:C20"/>
  </mergeCells>
  <conditionalFormatting sqref="C4:C11">
    <cfRule type="expression" dxfId="27" priority="2">
      <formula>AND(C4&lt;&gt;"",C4&lt;&gt;"OK")</formula>
    </cfRule>
    <cfRule type="expression" dxfId="26" priority="3">
      <formula>C4="OK"</formula>
    </cfRule>
  </conditionalFormatting>
  <hyperlinks>
    <hyperlink ref="A24" location="'Lists'!A1" display="Lists" xr:uid="{00000000-0004-0000-0000-000000000000}"/>
    <hyperlink ref="A25" location="'Config'!A1" display="Config" xr:uid="{00000000-0004-0000-0000-000001000000}"/>
    <hyperlink ref="A26" location="'Year_Sem'!A1" display="Year_Sem" xr:uid="{00000000-0004-0000-0000-000002000000}"/>
    <hyperlink ref="A27" location="'Teachers'!A1" display="Teachers" xr:uid="{00000000-0004-0000-0000-000003000000}"/>
    <hyperlink ref="A28" location="'Credit_Rules'!A1" display="Credit_Rules" xr:uid="{00000000-0004-0000-0000-000004000000}"/>
    <hyperlink ref="A29" location="'Courses'!A1" display="Courses" xr:uid="{00000000-0004-0000-0000-000005000000}"/>
    <hyperlink ref="A30" location="'Rooms'!A1" display="Rooms" xr:uid="{00000000-0004-0000-0000-000006000000}"/>
    <hyperlink ref="A31" location="'Room_Preference'!A1" display="Room_Preference" xr:uid="{00000000-0004-0000-0000-000007000000}"/>
    <hyperlink ref="A32" location="'Day_Preference'!A1" display="Day_Preference" xr:uid="{00000000-0004-0000-0000-000008000000}"/>
    <hyperlink ref="A33" location="'Teacher_Unavailability'!A1" display="Teacher_Unavailability" xr:uid="{00000000-0004-0000-0000-000009000000}"/>
  </hyperlinks>
  <pageMargins left="0.25" right="0.25" top="0.4" bottom="0.4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00"/>
  <sheetViews>
    <sheetView showGridLines="0" zoomScale="93" zoomScaleNormal="93" workbookViewId="0">
      <pane ySplit="2" topLeftCell="A3" activePane="bottomLeft" state="frozen"/>
      <selection activeCell="Q1" sqref="Q1"/>
      <selection pane="bottomLeft" activeCell="G17" sqref="G17"/>
    </sheetView>
  </sheetViews>
  <sheetFormatPr defaultColWidth="8.5546875" defaultRowHeight="14.4" x14ac:dyDescent="0.3"/>
  <cols>
    <col min="1" max="1" width="16" customWidth="1"/>
    <col min="2" max="2" width="26.44140625" customWidth="1"/>
    <col min="3" max="3" width="55.88671875" customWidth="1"/>
    <col min="4" max="4" width="63.109375" customWidth="1"/>
    <col min="5" max="5" width="19.6640625" customWidth="1"/>
    <col min="6" max="6" width="16" customWidth="1"/>
    <col min="7" max="14" width="13" customWidth="1"/>
    <col min="15" max="15" width="44.5546875" customWidth="1"/>
    <col min="16" max="16" width="53.5546875" customWidth="1"/>
    <col min="17" max="17" width="50" customWidth="1"/>
    <col min="18" max="18" width="55.5546875" customWidth="1"/>
    <col min="19" max="19" width="45.109375" customWidth="1"/>
    <col min="20" max="20" width="39.44140625" customWidth="1"/>
    <col min="21" max="21" width="29" customWidth="1"/>
    <col min="22" max="22" width="44.6640625" customWidth="1"/>
    <col min="23" max="23" width="24.44140625" customWidth="1"/>
    <col min="24" max="24" width="71.77734375" customWidth="1"/>
    <col min="25" max="26" width="61.6640625" customWidth="1"/>
    <col min="27" max="27" width="8.5546875" customWidth="1"/>
  </cols>
  <sheetData>
    <row r="1" spans="1:27" ht="21.75" customHeight="1" x14ac:dyDescent="0.3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  <c r="N1" s="2" t="s">
        <v>60</v>
      </c>
      <c r="O1" s="4" t="s">
        <v>61</v>
      </c>
      <c r="P1" s="4" t="s">
        <v>62</v>
      </c>
      <c r="Q1" s="4" t="s">
        <v>63</v>
      </c>
      <c r="R1" s="4" t="s">
        <v>64</v>
      </c>
      <c r="S1" s="4" t="s">
        <v>65</v>
      </c>
      <c r="T1" s="4" t="s">
        <v>66</v>
      </c>
      <c r="U1" s="4" t="s">
        <v>67</v>
      </c>
      <c r="V1" s="4" t="s">
        <v>68</v>
      </c>
      <c r="W1" s="4" t="s">
        <v>69</v>
      </c>
      <c r="X1" s="4" t="s">
        <v>70</v>
      </c>
      <c r="Y1" s="4" t="s">
        <v>71</v>
      </c>
      <c r="AA1" t="s">
        <v>72</v>
      </c>
    </row>
    <row r="2" spans="1:27" ht="15.75" customHeight="1" x14ac:dyDescent="0.3">
      <c r="A2" s="2">
        <v>2026</v>
      </c>
      <c r="B2" s="7" t="s">
        <v>73</v>
      </c>
      <c r="C2" s="7" t="s">
        <v>74</v>
      </c>
      <c r="D2" s="7" t="s">
        <v>75</v>
      </c>
      <c r="E2" s="7" t="s">
        <v>76</v>
      </c>
      <c r="F2" s="8">
        <v>0.375</v>
      </c>
      <c r="G2" s="7">
        <v>1</v>
      </c>
      <c r="H2" s="7">
        <v>1</v>
      </c>
      <c r="I2" s="7" t="s">
        <v>77</v>
      </c>
      <c r="J2" s="7" t="s">
        <v>78</v>
      </c>
      <c r="K2" s="7" t="s">
        <v>79</v>
      </c>
      <c r="L2" s="7" t="s">
        <v>80</v>
      </c>
      <c r="M2" s="7" t="s">
        <v>81</v>
      </c>
      <c r="N2" s="7" t="s">
        <v>82</v>
      </c>
      <c r="O2" s="9" t="s">
        <v>74</v>
      </c>
      <c r="P2" s="9" t="s">
        <v>63</v>
      </c>
      <c r="Q2" s="9" t="s">
        <v>75</v>
      </c>
      <c r="R2" s="9" t="s">
        <v>83</v>
      </c>
      <c r="S2" s="9" t="s">
        <v>84</v>
      </c>
      <c r="T2" s="9" t="s">
        <v>85</v>
      </c>
      <c r="U2" s="9" t="s">
        <v>8</v>
      </c>
      <c r="V2" s="9" t="s">
        <v>86</v>
      </c>
      <c r="W2" s="9" t="s">
        <v>87</v>
      </c>
      <c r="X2" s="9" t="s">
        <v>88</v>
      </c>
      <c r="Y2" s="9" t="s">
        <v>89</v>
      </c>
      <c r="AA2" t="str">
        <f>IFERROR(INDEX(CHOOSE(MATCH(Config!$B$3,$O$2:$O$10,0),$Q$2:$Q$21,$R$2:$R$21,$S$2:$S$21,$T$2:$T$21,$U$2:$U$21,$V$2:$V$21,$W$2:$W$21,$X$2:$X$21,$Y$2:$Y$21),1),"")</f>
        <v>CSE</v>
      </c>
    </row>
    <row r="3" spans="1:27" ht="14.25" customHeight="1" x14ac:dyDescent="0.3">
      <c r="A3" s="2">
        <v>2027</v>
      </c>
      <c r="B3" s="7" t="s">
        <v>11</v>
      </c>
      <c r="C3" s="7" t="s">
        <v>90</v>
      </c>
      <c r="D3" s="7" t="s">
        <v>91</v>
      </c>
      <c r="E3" s="7" t="s">
        <v>92</v>
      </c>
      <c r="F3" s="8">
        <v>0.38194444444444442</v>
      </c>
      <c r="G3" s="7">
        <v>2</v>
      </c>
      <c r="H3" s="7">
        <v>2</v>
      </c>
      <c r="I3" s="7" t="s">
        <v>78</v>
      </c>
      <c r="J3" s="7" t="s">
        <v>93</v>
      </c>
      <c r="K3" s="7" t="s">
        <v>94</v>
      </c>
      <c r="L3" s="7" t="s">
        <v>95</v>
      </c>
      <c r="M3" s="7" t="s">
        <v>96</v>
      </c>
      <c r="N3" s="7" t="s">
        <v>97</v>
      </c>
      <c r="O3" s="9" t="s">
        <v>90</v>
      </c>
      <c r="P3" s="9" t="s">
        <v>64</v>
      </c>
      <c r="Q3" s="9" t="s">
        <v>91</v>
      </c>
      <c r="R3" s="9" t="s">
        <v>98</v>
      </c>
      <c r="S3" s="9" t="s">
        <v>99</v>
      </c>
      <c r="T3" s="9" t="s">
        <v>100</v>
      </c>
      <c r="U3" s="9" t="s">
        <v>101</v>
      </c>
      <c r="V3" s="9" t="s">
        <v>102</v>
      </c>
      <c r="W3" s="9"/>
      <c r="X3" s="9" t="s">
        <v>103</v>
      </c>
      <c r="Y3" s="9"/>
      <c r="AA3" t="str">
        <f>IFERROR(INDEX(CHOOSE(MATCH(Config!$B$3,$O$2:$O$10,0),$Q$2:$Q$21,$R$2:$R$21,$S$2:$S$21,$T$2:$T$21,$U$2:$U$21,$V$2:$V$21,$W$2:$W$21,$X$2:$X$21,$Y$2:$Y$21),2),"")</f>
        <v>EEE</v>
      </c>
    </row>
    <row r="4" spans="1:27" ht="14.25" customHeight="1" x14ac:dyDescent="0.3">
      <c r="A4" s="2">
        <v>2028</v>
      </c>
      <c r="B4" s="7"/>
      <c r="C4" s="7" t="s">
        <v>104</v>
      </c>
      <c r="D4" s="7" t="s">
        <v>105</v>
      </c>
      <c r="E4" s="7" t="s">
        <v>106</v>
      </c>
      <c r="F4" s="8">
        <v>0.3888888888888889</v>
      </c>
      <c r="G4" s="7">
        <v>3</v>
      </c>
      <c r="H4" s="7"/>
      <c r="I4" s="7" t="s">
        <v>107</v>
      </c>
      <c r="J4" s="7"/>
      <c r="K4" s="7"/>
      <c r="L4" s="7"/>
      <c r="M4" s="7" t="s">
        <v>108</v>
      </c>
      <c r="N4" s="7"/>
      <c r="O4" s="9" t="s">
        <v>104</v>
      </c>
      <c r="P4" s="9" t="s">
        <v>65</v>
      </c>
      <c r="Q4" s="9" t="s">
        <v>105</v>
      </c>
      <c r="R4" s="9" t="s">
        <v>109</v>
      </c>
      <c r="S4" s="9" t="s">
        <v>110</v>
      </c>
      <c r="T4" s="9" t="s">
        <v>111</v>
      </c>
      <c r="U4" s="9" t="s">
        <v>112</v>
      </c>
      <c r="V4" s="9" t="s">
        <v>113</v>
      </c>
      <c r="W4" s="9"/>
      <c r="X4" s="9"/>
      <c r="Y4" s="9"/>
      <c r="AA4" t="str">
        <f>IFERROR(INDEX(CHOOSE(MATCH(Config!$B$3,$O$2:$O$10,0),$Q$2:$Q$21,$R$2:$R$21,$S$2:$S$21,$T$2:$T$21,$U$2:$U$21,$V$2:$V$21,$W$2:$W$21,$X$2:$X$21,$Y$2:$Y$21),3),"")</f>
        <v>ETE</v>
      </c>
    </row>
    <row r="5" spans="1:27" ht="14.25" customHeight="1" x14ac:dyDescent="0.3">
      <c r="A5" s="2">
        <v>2029</v>
      </c>
      <c r="B5" s="7"/>
      <c r="C5" s="7" t="s">
        <v>114</v>
      </c>
      <c r="D5" s="7" t="s">
        <v>115</v>
      </c>
      <c r="E5" s="7" t="s">
        <v>116</v>
      </c>
      <c r="F5" s="8">
        <v>0.39583333333333331</v>
      </c>
      <c r="G5" s="7">
        <v>4</v>
      </c>
      <c r="H5" s="7"/>
      <c r="I5" s="7" t="s">
        <v>117</v>
      </c>
      <c r="J5" s="7"/>
      <c r="K5" s="7"/>
      <c r="L5" s="7"/>
      <c r="M5" s="7" t="s">
        <v>118</v>
      </c>
      <c r="N5" s="7"/>
      <c r="O5" s="9" t="s">
        <v>114</v>
      </c>
      <c r="P5" s="9" t="s">
        <v>66</v>
      </c>
      <c r="Q5" s="9" t="s">
        <v>115</v>
      </c>
      <c r="R5" s="9" t="s">
        <v>119</v>
      </c>
      <c r="S5" s="9" t="s">
        <v>120</v>
      </c>
      <c r="T5" s="9"/>
      <c r="U5" s="9" t="s">
        <v>121</v>
      </c>
      <c r="V5" s="9" t="s">
        <v>122</v>
      </c>
      <c r="W5" s="9"/>
      <c r="X5" s="9"/>
      <c r="Y5" s="9"/>
      <c r="AA5" t="str">
        <f>IFERROR(INDEX(CHOOSE(MATCH(Config!$B$3,$O$2:$O$10,0),$Q$2:$Q$21,$R$2:$R$21,$S$2:$S$21,$T$2:$T$21,$U$2:$U$21,$V$2:$V$21,$W$2:$W$21,$X$2:$X$21,$Y$2:$Y$21),4),"")</f>
        <v>ACCE</v>
      </c>
    </row>
    <row r="6" spans="1:27" ht="14.25" customHeight="1" x14ac:dyDescent="0.3">
      <c r="A6" s="2"/>
      <c r="B6" s="7"/>
      <c r="C6" s="7" t="s">
        <v>6</v>
      </c>
      <c r="D6" s="7" t="s">
        <v>123</v>
      </c>
      <c r="E6" s="7"/>
      <c r="F6" s="8">
        <v>0.40277777777777779</v>
      </c>
      <c r="G6" s="7"/>
      <c r="H6" s="7"/>
      <c r="I6" s="7" t="s">
        <v>124</v>
      </c>
      <c r="J6" s="7"/>
      <c r="K6" s="7"/>
      <c r="L6" s="7"/>
      <c r="M6" s="7" t="s">
        <v>125</v>
      </c>
      <c r="N6" s="7"/>
      <c r="O6" s="9" t="s">
        <v>6</v>
      </c>
      <c r="P6" s="9" t="s">
        <v>67</v>
      </c>
      <c r="Q6" s="9" t="s">
        <v>123</v>
      </c>
      <c r="R6" s="9" t="s">
        <v>126</v>
      </c>
      <c r="S6" s="9"/>
      <c r="T6" s="9"/>
      <c r="U6" s="9" t="s">
        <v>127</v>
      </c>
      <c r="V6" s="9" t="s">
        <v>128</v>
      </c>
      <c r="W6" s="9"/>
      <c r="X6" s="9"/>
      <c r="Y6" s="9"/>
      <c r="AA6" t="str">
        <f>IFERROR(INDEX(CHOOSE(MATCH(Config!$B$3,$O$2:$O$10,0),$Q$2:$Q$21,$R$2:$R$21,$S$2:$S$21,$T$2:$T$21,$U$2:$U$21,$V$2:$V$21,$W$2:$W$21,$X$2:$X$21,$Y$2:$Y$21),5),"")</f>
        <v>CE</v>
      </c>
    </row>
    <row r="7" spans="1:27" ht="14.25" customHeight="1" x14ac:dyDescent="0.3">
      <c r="A7" s="2"/>
      <c r="B7" s="7"/>
      <c r="C7" s="7" t="s">
        <v>129</v>
      </c>
      <c r="D7" s="7" t="s">
        <v>130</v>
      </c>
      <c r="E7" s="7"/>
      <c r="F7" s="8">
        <v>0.40972222222222221</v>
      </c>
      <c r="G7" s="7"/>
      <c r="H7" s="7"/>
      <c r="I7" s="7" t="s">
        <v>131</v>
      </c>
      <c r="J7" s="7"/>
      <c r="K7" s="7"/>
      <c r="L7" s="7"/>
      <c r="M7" s="7"/>
      <c r="N7" s="7"/>
      <c r="O7" s="9" t="s">
        <v>129</v>
      </c>
      <c r="P7" s="9" t="s">
        <v>68</v>
      </c>
      <c r="Q7" s="9" t="s">
        <v>130</v>
      </c>
      <c r="R7" s="9"/>
      <c r="S7" s="9"/>
      <c r="T7" s="9"/>
      <c r="U7" s="9" t="s">
        <v>132</v>
      </c>
      <c r="V7" s="9"/>
      <c r="W7" s="9"/>
      <c r="X7" s="9"/>
      <c r="Y7" s="9"/>
      <c r="AA7" t="str">
        <f>IFERROR(INDEX(CHOOSE(MATCH(Config!$B$3,$O$2:$O$10,0),$Q$2:$Q$21,$R$2:$R$21,$S$2:$S$21,$T$2:$T$21,$U$2:$U$21,$V$2:$V$21,$W$2:$W$21,$X$2:$X$21,$Y$2:$Y$21),6),"")</f>
        <v>Food and Agroprocess Engineering</v>
      </c>
    </row>
    <row r="8" spans="1:27" ht="14.25" customHeight="1" x14ac:dyDescent="0.3">
      <c r="A8" s="2"/>
      <c r="B8" s="7"/>
      <c r="C8" s="7" t="s">
        <v>133</v>
      </c>
      <c r="D8" s="7" t="s">
        <v>134</v>
      </c>
      <c r="E8" s="7"/>
      <c r="F8" s="8">
        <v>0.41666666666666669</v>
      </c>
      <c r="G8" s="7"/>
      <c r="H8" s="7"/>
      <c r="I8" s="7" t="s">
        <v>135</v>
      </c>
      <c r="J8" s="7"/>
      <c r="K8" s="7"/>
      <c r="L8" s="7"/>
      <c r="M8" s="7"/>
      <c r="N8" s="7"/>
      <c r="O8" s="9" t="s">
        <v>133</v>
      </c>
      <c r="P8" s="9" t="s">
        <v>69</v>
      </c>
      <c r="Q8" s="9" t="s">
        <v>134</v>
      </c>
      <c r="R8" s="9"/>
      <c r="S8" s="9"/>
      <c r="T8" s="9"/>
      <c r="U8" s="9"/>
      <c r="V8" s="9"/>
      <c r="W8" s="9"/>
      <c r="X8" s="9"/>
      <c r="Y8" s="9"/>
      <c r="AA8" t="str">
        <f>IFERROR(INDEX(CHOOSE(MATCH(Config!$B$3,$O$2:$O$10,0),$Q$2:$Q$21,$R$2:$R$21,$S$2:$S$21,$T$2:$T$21,$U$2:$U$21,$V$2:$V$21,$W$2:$W$21,$X$2:$X$21,$Y$2:$Y$21),7),"")</f>
        <v>ARCH</v>
      </c>
    </row>
    <row r="9" spans="1:27" ht="14.25" customHeight="1" x14ac:dyDescent="0.3">
      <c r="A9" s="2"/>
      <c r="B9" s="7"/>
      <c r="C9" s="7" t="s">
        <v>136</v>
      </c>
      <c r="D9" s="7" t="s">
        <v>83</v>
      </c>
      <c r="E9" s="7"/>
      <c r="F9" s="8">
        <v>0.4236111111111111</v>
      </c>
      <c r="G9" s="7"/>
      <c r="H9" s="7"/>
      <c r="I9" s="7" t="s">
        <v>137</v>
      </c>
      <c r="J9" s="7"/>
      <c r="K9" s="7"/>
      <c r="L9" s="7"/>
      <c r="M9" s="7"/>
      <c r="N9" s="7"/>
      <c r="O9" s="9" t="s">
        <v>136</v>
      </c>
      <c r="P9" s="9" t="s">
        <v>70</v>
      </c>
      <c r="Q9" s="9"/>
      <c r="R9" s="9"/>
      <c r="S9" s="9"/>
      <c r="T9" s="9"/>
      <c r="U9" s="9"/>
      <c r="V9" s="9"/>
      <c r="W9" s="9"/>
      <c r="X9" s="9"/>
      <c r="Y9" s="9"/>
      <c r="AA9">
        <f>IFERROR(INDEX(CHOOSE(MATCH(Config!$B$3,$O$2:$O$10,0),$Q$2:$Q$21,$R$2:$R$21,$S$2:$S$21,$T$2:$T$21,$U$2:$U$21,$V$2:$V$21,$W$2:$W$21,$X$2:$X$21,$Y$2:$Y$21),8),"")</f>
        <v>0</v>
      </c>
    </row>
    <row r="10" spans="1:27" ht="14.25" customHeight="1" x14ac:dyDescent="0.3">
      <c r="A10" s="2"/>
      <c r="B10" s="7"/>
      <c r="C10" s="7" t="s">
        <v>138</v>
      </c>
      <c r="D10" s="7" t="s">
        <v>98</v>
      </c>
      <c r="E10" s="7"/>
      <c r="F10" s="8">
        <v>0.43055555555555558</v>
      </c>
      <c r="G10" s="7"/>
      <c r="H10" s="7"/>
      <c r="I10" s="7"/>
      <c r="J10" s="7"/>
      <c r="K10" s="7"/>
      <c r="L10" s="7"/>
      <c r="M10" s="7"/>
      <c r="N10" s="7"/>
      <c r="O10" s="9" t="s">
        <v>138</v>
      </c>
      <c r="P10" s="9" t="s">
        <v>71</v>
      </c>
      <c r="Q10" s="9"/>
      <c r="R10" s="9"/>
      <c r="S10" s="9"/>
      <c r="T10" s="9"/>
      <c r="U10" s="9"/>
      <c r="V10" s="9"/>
      <c r="W10" s="9"/>
      <c r="X10" s="9"/>
      <c r="Y10" s="9"/>
      <c r="AA10">
        <f>IFERROR(INDEX(CHOOSE(MATCH(Config!$B$3,$O$2:$O$10,0),$Q$2:$Q$21,$R$2:$R$21,$S$2:$S$21,$T$2:$T$21,$U$2:$U$21,$V$2:$V$21,$W$2:$W$21,$X$2:$X$21,$Y$2:$Y$21),9),"")</f>
        <v>0</v>
      </c>
    </row>
    <row r="11" spans="1:27" ht="14.25" customHeight="1" x14ac:dyDescent="0.3">
      <c r="A11" s="2"/>
      <c r="B11" s="7"/>
      <c r="C11" s="7"/>
      <c r="D11" s="7" t="s">
        <v>109</v>
      </c>
      <c r="E11" s="7"/>
      <c r="F11" s="8">
        <v>0.4375</v>
      </c>
      <c r="G11" s="7"/>
      <c r="H11" s="7"/>
      <c r="I11" s="7"/>
      <c r="J11" s="7"/>
      <c r="K11" s="7"/>
      <c r="L11" s="7"/>
      <c r="M11" s="7"/>
      <c r="N11" s="7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AA11">
        <f>IFERROR(INDEX(CHOOSE(MATCH(Config!$B$3,$O$2:$O$10,0),$Q$2:$Q$21,$R$2:$R$21,$S$2:$S$21,$T$2:$T$21,$U$2:$U$21,$V$2:$V$21,$W$2:$W$21,$X$2:$X$21,$Y$2:$Y$21),10),"")</f>
        <v>0</v>
      </c>
    </row>
    <row r="12" spans="1:27" ht="14.25" customHeight="1" x14ac:dyDescent="0.3">
      <c r="A12" s="2"/>
      <c r="B12" s="7"/>
      <c r="C12" s="7"/>
      <c r="D12" s="7" t="s">
        <v>119</v>
      </c>
      <c r="E12" s="7"/>
      <c r="F12" s="8">
        <v>0.44444444444444442</v>
      </c>
      <c r="G12" s="7"/>
      <c r="H12" s="7"/>
      <c r="I12" s="7"/>
      <c r="J12" s="7"/>
      <c r="K12" s="7"/>
      <c r="L12" s="7"/>
      <c r="M12" s="7"/>
      <c r="N12" s="7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AA12">
        <f>IFERROR(INDEX(CHOOSE(MATCH(Config!$B$3,$O$2:$O$10,0),$Q$2:$Q$21,$R$2:$R$21,$S$2:$S$21,$T$2:$T$21,$U$2:$U$21,$V$2:$V$21,$W$2:$W$21,$X$2:$X$21,$Y$2:$Y$21),11),"")</f>
        <v>0</v>
      </c>
    </row>
    <row r="13" spans="1:27" ht="14.25" customHeight="1" x14ac:dyDescent="0.3">
      <c r="A13" s="2"/>
      <c r="B13" s="7"/>
      <c r="C13" s="7"/>
      <c r="D13" s="7" t="s">
        <v>126</v>
      </c>
      <c r="E13" s="7"/>
      <c r="F13" s="8">
        <v>0.4513888888888889</v>
      </c>
      <c r="G13" s="7"/>
      <c r="H13" s="7"/>
      <c r="I13" s="7"/>
      <c r="J13" s="7"/>
      <c r="K13" s="7"/>
      <c r="L13" s="7"/>
      <c r="M13" s="7"/>
      <c r="N13" s="7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AA13">
        <f>IFERROR(INDEX(CHOOSE(MATCH(Config!$B$3,$O$2:$O$10,0),$Q$2:$Q$21,$R$2:$R$21,$S$2:$S$21,$T$2:$T$21,$U$2:$U$21,$V$2:$V$21,$W$2:$W$21,$X$2:$X$21,$Y$2:$Y$21),12),"")</f>
        <v>0</v>
      </c>
    </row>
    <row r="14" spans="1:27" ht="14.25" customHeight="1" x14ac:dyDescent="0.3">
      <c r="A14" s="2"/>
      <c r="B14" s="7"/>
      <c r="C14" s="7"/>
      <c r="D14" s="7" t="s">
        <v>84</v>
      </c>
      <c r="E14" s="7"/>
      <c r="F14" s="8">
        <v>0.45833333333333331</v>
      </c>
      <c r="G14" s="7"/>
      <c r="H14" s="7"/>
      <c r="I14" s="7"/>
      <c r="J14" s="7"/>
      <c r="K14" s="7"/>
      <c r="L14" s="7"/>
      <c r="M14" s="7"/>
      <c r="N14" s="7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AA14">
        <f>IFERROR(INDEX(CHOOSE(MATCH(Config!$B$3,$O$2:$O$10,0),$Q$2:$Q$21,$R$2:$R$21,$S$2:$S$21,$T$2:$T$21,$U$2:$U$21,$V$2:$V$21,$W$2:$W$21,$X$2:$X$21,$Y$2:$Y$21),13),"")</f>
        <v>0</v>
      </c>
    </row>
    <row r="15" spans="1:27" ht="14.25" customHeight="1" x14ac:dyDescent="0.3">
      <c r="A15" s="2"/>
      <c r="B15" s="7"/>
      <c r="C15" s="7"/>
      <c r="D15" s="7" t="s">
        <v>99</v>
      </c>
      <c r="E15" s="7"/>
      <c r="F15" s="8">
        <v>0.46527777777777779</v>
      </c>
      <c r="G15" s="7"/>
      <c r="H15" s="7"/>
      <c r="I15" s="7"/>
      <c r="J15" s="7"/>
      <c r="K15" s="7"/>
      <c r="L15" s="7"/>
      <c r="M15" s="7"/>
      <c r="N15" s="7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AA15">
        <f>IFERROR(INDEX(CHOOSE(MATCH(Config!$B$3,$O$2:$O$10,0),$Q$2:$Q$21,$R$2:$R$21,$S$2:$S$21,$T$2:$T$21,$U$2:$U$21,$V$2:$V$21,$W$2:$W$21,$X$2:$X$21,$Y$2:$Y$21),14),"")</f>
        <v>0</v>
      </c>
    </row>
    <row r="16" spans="1:27" ht="14.25" customHeight="1" x14ac:dyDescent="0.3">
      <c r="A16" s="2"/>
      <c r="B16" s="7"/>
      <c r="C16" s="7"/>
      <c r="D16" s="7" t="s">
        <v>110</v>
      </c>
      <c r="E16" s="7"/>
      <c r="F16" s="8">
        <v>0.47222222222222221</v>
      </c>
      <c r="G16" s="7"/>
      <c r="H16" s="7"/>
      <c r="I16" s="7"/>
      <c r="J16" s="7"/>
      <c r="K16" s="7"/>
      <c r="L16" s="7"/>
      <c r="M16" s="7"/>
      <c r="N16" s="7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AA16">
        <f>IFERROR(INDEX(CHOOSE(MATCH(Config!$B$3,$O$2:$O$10,0),$Q$2:$Q$21,$R$2:$R$21,$S$2:$S$21,$T$2:$T$21,$U$2:$U$21,$V$2:$V$21,$W$2:$W$21,$X$2:$X$21,$Y$2:$Y$21),15),"")</f>
        <v>0</v>
      </c>
    </row>
    <row r="17" spans="1:27" ht="14.25" customHeight="1" x14ac:dyDescent="0.3">
      <c r="A17" s="2"/>
      <c r="B17" s="7"/>
      <c r="C17" s="7"/>
      <c r="D17" s="7" t="s">
        <v>120</v>
      </c>
      <c r="E17" s="7"/>
      <c r="F17" s="8">
        <v>0.47916666666666669</v>
      </c>
      <c r="G17" s="7"/>
      <c r="H17" s="7"/>
      <c r="I17" s="7"/>
      <c r="J17" s="7"/>
      <c r="K17" s="7"/>
      <c r="L17" s="7"/>
      <c r="M17" s="7"/>
      <c r="N17" s="7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7" ht="14.25" customHeight="1" x14ac:dyDescent="0.3">
      <c r="A18" s="2"/>
      <c r="B18" s="7"/>
      <c r="C18" s="7"/>
      <c r="D18" s="7" t="s">
        <v>8</v>
      </c>
      <c r="E18" s="7"/>
      <c r="F18" s="8">
        <v>0.4861111111111111</v>
      </c>
      <c r="G18" s="7"/>
      <c r="H18" s="7"/>
      <c r="I18" s="7"/>
      <c r="J18" s="7"/>
      <c r="K18" s="7"/>
      <c r="L18" s="7"/>
      <c r="M18" s="7"/>
      <c r="N18" s="7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AA18">
        <f>IFERROR(INDEX(CHOOSE(MATCH(Config!$B$3,$O$2:$O$10,0),$Q$2:$Q$21,$R$2:$R$21,$S$2:$S$21,$T$2:$T$21,$U$2:$U$21,$V$2:$V$21,$W$2:$W$21,$X$2:$X$21,$Y$2:$Y$21),16),"")</f>
        <v>0</v>
      </c>
    </row>
    <row r="19" spans="1:27" ht="14.25" customHeight="1" x14ac:dyDescent="0.3">
      <c r="A19" s="2"/>
      <c r="B19" s="7"/>
      <c r="C19" s="7"/>
      <c r="D19" s="7" t="s">
        <v>86</v>
      </c>
      <c r="E19" s="7"/>
      <c r="F19" s="8">
        <v>0.49305555555555558</v>
      </c>
      <c r="G19" s="7"/>
      <c r="H19" s="7"/>
      <c r="I19" s="7"/>
      <c r="J19" s="7"/>
      <c r="K19" s="7"/>
      <c r="L19" s="7"/>
      <c r="M19" s="7"/>
      <c r="N19" s="7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AA19">
        <f>IFERROR(INDEX(CHOOSE(MATCH(Config!$B$3,$O$2:$O$10,0),$Q$2:$Q$21,$R$2:$R$21,$S$2:$S$21,$T$2:$T$21,$U$2:$U$21,$V$2:$V$21,$W$2:$W$21,$X$2:$X$21,$Y$2:$Y$21),17),"")</f>
        <v>0</v>
      </c>
    </row>
    <row r="20" spans="1:27" ht="14.25" customHeight="1" x14ac:dyDescent="0.3">
      <c r="A20" s="2"/>
      <c r="B20" s="7"/>
      <c r="C20" s="7"/>
      <c r="D20" s="7" t="s">
        <v>102</v>
      </c>
      <c r="E20" s="7"/>
      <c r="F20" s="8">
        <v>0.5</v>
      </c>
      <c r="G20" s="7"/>
      <c r="H20" s="7"/>
      <c r="I20" s="7"/>
      <c r="J20" s="7"/>
      <c r="K20" s="7"/>
      <c r="L20" s="7"/>
      <c r="M20" s="7"/>
      <c r="N20" s="7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AA20">
        <f>IFERROR(INDEX(CHOOSE(MATCH(Config!$B$3,$O$2:$O$10,0),$Q$2:$Q$21,$R$2:$R$21,$S$2:$S$21,$T$2:$T$21,$U$2:$U$21,$V$2:$V$21,$W$2:$W$21,$X$2:$X$21,$Y$2:$Y$21),18),"")</f>
        <v>0</v>
      </c>
    </row>
    <row r="21" spans="1:27" ht="14.25" customHeight="1" x14ac:dyDescent="0.3">
      <c r="A21" s="2"/>
      <c r="B21" s="7"/>
      <c r="C21" s="7"/>
      <c r="D21" s="7" t="s">
        <v>113</v>
      </c>
      <c r="E21" s="7"/>
      <c r="F21" s="8">
        <v>0.50694444444444442</v>
      </c>
      <c r="G21" s="7"/>
      <c r="H21" s="7"/>
      <c r="I21" s="7"/>
      <c r="J21" s="7"/>
      <c r="K21" s="7"/>
      <c r="L21" s="7"/>
      <c r="M21" s="7"/>
      <c r="N21" s="7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AA21">
        <f>IFERROR(INDEX(CHOOSE(MATCH(Config!$B$3,$O$2:$O$10,0),$Q$2:$Q$21,$R$2:$R$21,$S$2:$S$21,$T$2:$T$21,$U$2:$U$21,$V$2:$V$21,$W$2:$W$21,$X$2:$X$21,$Y$2:$Y$21),19),"")</f>
        <v>0</v>
      </c>
    </row>
    <row r="22" spans="1:27" ht="14.25" customHeight="1" x14ac:dyDescent="0.3">
      <c r="A22" s="2"/>
      <c r="B22" s="7"/>
      <c r="C22" s="7"/>
      <c r="D22" s="7" t="s">
        <v>122</v>
      </c>
      <c r="E22" s="7"/>
      <c r="F22" s="8">
        <v>0.51388888888888884</v>
      </c>
      <c r="G22" s="7"/>
      <c r="H22" s="7"/>
      <c r="I22" s="7"/>
      <c r="J22" s="7"/>
      <c r="K22" s="7"/>
      <c r="L22" s="7"/>
      <c r="M22" s="7"/>
      <c r="N22" s="7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AA22">
        <f>IFERROR(INDEX(CHOOSE(MATCH(Config!$B$3,$O$2:$O$10,0),$Q$2:$Q$21,$R$2:$R$21,$S$2:$S$21,$T$2:$T$21,$U$2:$U$21,$V$2:$V$21,$W$2:$W$21,$X$2:$X$21,$Y$2:$Y$21),20),"")</f>
        <v>0</v>
      </c>
    </row>
    <row r="23" spans="1:27" ht="14.25" customHeight="1" x14ac:dyDescent="0.3">
      <c r="A23" s="2"/>
      <c r="B23" s="7"/>
      <c r="C23" s="7"/>
      <c r="D23" s="7" t="s">
        <v>128</v>
      </c>
      <c r="E23" s="7"/>
      <c r="F23" s="8">
        <v>0.52083333333333337</v>
      </c>
      <c r="G23" s="7"/>
      <c r="H23" s="7"/>
      <c r="I23" s="7"/>
      <c r="J23" s="7"/>
      <c r="K23" s="7"/>
      <c r="L23" s="7"/>
      <c r="M23" s="7"/>
      <c r="N23" s="7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7" ht="14.25" customHeight="1" x14ac:dyDescent="0.3">
      <c r="A24" s="2"/>
      <c r="B24" s="7"/>
      <c r="C24" s="7"/>
      <c r="D24" s="7" t="s">
        <v>101</v>
      </c>
      <c r="E24" s="7"/>
      <c r="F24" s="8">
        <v>0.52777777777777779</v>
      </c>
      <c r="G24" s="7"/>
      <c r="H24" s="7"/>
      <c r="I24" s="7"/>
      <c r="J24" s="7"/>
      <c r="K24" s="7"/>
      <c r="L24" s="7"/>
      <c r="M24" s="7"/>
      <c r="N24" s="7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7" ht="14.25" customHeight="1" x14ac:dyDescent="0.3">
      <c r="A25" s="2"/>
      <c r="B25" s="7"/>
      <c r="C25" s="7"/>
      <c r="D25" s="7" t="s">
        <v>112</v>
      </c>
      <c r="E25" s="7"/>
      <c r="F25" s="8">
        <v>0.53472222222222221</v>
      </c>
      <c r="G25" s="7"/>
      <c r="H25" s="7"/>
      <c r="I25" s="7"/>
      <c r="J25" s="7"/>
      <c r="K25" s="7"/>
      <c r="L25" s="7"/>
      <c r="M25" s="7"/>
      <c r="N25" s="7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7" ht="14.25" customHeight="1" x14ac:dyDescent="0.3">
      <c r="A26" s="2"/>
      <c r="B26" s="7"/>
      <c r="C26" s="7"/>
      <c r="D26" s="7" t="s">
        <v>121</v>
      </c>
      <c r="E26" s="7"/>
      <c r="F26" s="8">
        <v>0.54166666666666663</v>
      </c>
      <c r="G26" s="7"/>
      <c r="H26" s="7"/>
      <c r="I26" s="7"/>
      <c r="J26" s="7"/>
      <c r="K26" s="7"/>
      <c r="L26" s="7"/>
      <c r="M26" s="7"/>
      <c r="N26" s="7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7" ht="14.25" customHeight="1" x14ac:dyDescent="0.3">
      <c r="A27" s="2"/>
      <c r="B27" s="7"/>
      <c r="C27" s="7"/>
      <c r="D27" s="7" t="s">
        <v>127</v>
      </c>
      <c r="E27" s="7"/>
      <c r="F27" s="8">
        <v>0.54861111111111116</v>
      </c>
      <c r="G27" s="7"/>
      <c r="H27" s="7"/>
      <c r="I27" s="7"/>
      <c r="J27" s="7"/>
      <c r="K27" s="7"/>
      <c r="L27" s="7"/>
      <c r="M27" s="7"/>
      <c r="N27" s="7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7" ht="14.25" customHeight="1" x14ac:dyDescent="0.3">
      <c r="A28" s="2"/>
      <c r="B28" s="7"/>
      <c r="C28" s="7"/>
      <c r="D28" s="7" t="s">
        <v>132</v>
      </c>
      <c r="E28" s="7"/>
      <c r="F28" s="8">
        <v>0.55555555555555558</v>
      </c>
      <c r="G28" s="7"/>
      <c r="H28" s="7"/>
      <c r="I28" s="7"/>
      <c r="J28" s="7"/>
      <c r="K28" s="7"/>
      <c r="L28" s="7"/>
      <c r="M28" s="7"/>
      <c r="N28" s="7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7" ht="14.25" customHeight="1" x14ac:dyDescent="0.3">
      <c r="A29" s="2"/>
      <c r="B29" s="7"/>
      <c r="C29" s="7"/>
      <c r="D29" s="7" t="s">
        <v>85</v>
      </c>
      <c r="E29" s="7"/>
      <c r="F29" s="8">
        <v>0.5625</v>
      </c>
      <c r="G29" s="7"/>
      <c r="H29" s="7"/>
      <c r="I29" s="7"/>
      <c r="J29" s="7"/>
      <c r="K29" s="7"/>
      <c r="L29" s="7"/>
      <c r="M29" s="7"/>
      <c r="N29" s="7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7" ht="14.25" customHeight="1" x14ac:dyDescent="0.3">
      <c r="A30" s="2"/>
      <c r="B30" s="7"/>
      <c r="C30" s="7"/>
      <c r="D30" s="7" t="s">
        <v>100</v>
      </c>
      <c r="E30" s="7"/>
      <c r="F30" s="8">
        <v>0.56944444444444442</v>
      </c>
      <c r="G30" s="7"/>
      <c r="H30" s="7"/>
      <c r="I30" s="7"/>
      <c r="J30" s="7"/>
      <c r="K30" s="7"/>
      <c r="L30" s="7"/>
      <c r="M30" s="7"/>
      <c r="N30" s="7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7" ht="14.25" customHeight="1" x14ac:dyDescent="0.3">
      <c r="A31" s="2"/>
      <c r="B31" s="7"/>
      <c r="C31" s="7"/>
      <c r="D31" s="7" t="s">
        <v>111</v>
      </c>
      <c r="E31" s="7"/>
      <c r="F31" s="8">
        <v>0.57638888888888884</v>
      </c>
      <c r="G31" s="7"/>
      <c r="H31" s="7"/>
      <c r="I31" s="7"/>
      <c r="J31" s="7"/>
      <c r="K31" s="7"/>
      <c r="L31" s="7"/>
      <c r="M31" s="7"/>
      <c r="N31" s="7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7" ht="14.25" customHeight="1" x14ac:dyDescent="0.3">
      <c r="A32" s="2"/>
      <c r="B32" s="7"/>
      <c r="C32" s="7"/>
      <c r="D32" s="7" t="s">
        <v>88</v>
      </c>
      <c r="E32" s="7"/>
      <c r="F32" s="8">
        <v>0.58333333333333337</v>
      </c>
      <c r="G32" s="7"/>
      <c r="H32" s="7"/>
      <c r="I32" s="7"/>
      <c r="J32" s="7"/>
      <c r="K32" s="7"/>
      <c r="L32" s="7"/>
      <c r="M32" s="7"/>
      <c r="N32" s="7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14.25" customHeight="1" x14ac:dyDescent="0.3">
      <c r="A33" s="2"/>
      <c r="B33" s="7"/>
      <c r="C33" s="7"/>
      <c r="D33" s="7" t="s">
        <v>103</v>
      </c>
      <c r="E33" s="7"/>
      <c r="F33" s="8">
        <v>0.59027777777777779</v>
      </c>
      <c r="G33" s="7"/>
      <c r="H33" s="7"/>
      <c r="I33" s="7"/>
      <c r="J33" s="7"/>
      <c r="K33" s="7"/>
      <c r="L33" s="7"/>
      <c r="M33" s="7"/>
      <c r="N33" s="7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14.25" customHeight="1" x14ac:dyDescent="0.3">
      <c r="A34" s="2"/>
      <c r="B34" s="7"/>
      <c r="C34" s="7"/>
      <c r="D34" s="7" t="s">
        <v>89</v>
      </c>
      <c r="E34" s="7"/>
      <c r="F34" s="8">
        <v>0.59722222222222221</v>
      </c>
      <c r="G34" s="7"/>
      <c r="H34" s="7"/>
      <c r="I34" s="7"/>
      <c r="J34" s="7"/>
      <c r="K34" s="7"/>
      <c r="L34" s="7"/>
      <c r="M34" s="7"/>
      <c r="N34" s="7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14.25" customHeight="1" x14ac:dyDescent="0.3">
      <c r="A35" s="2"/>
      <c r="B35" s="7"/>
      <c r="C35" s="7"/>
      <c r="D35" s="7" t="s">
        <v>87</v>
      </c>
      <c r="E35" s="7"/>
      <c r="F35" s="8">
        <v>0.60416666666666663</v>
      </c>
      <c r="G35" s="7"/>
      <c r="H35" s="7"/>
      <c r="I35" s="7"/>
      <c r="J35" s="7"/>
      <c r="K35" s="7"/>
      <c r="L35" s="7"/>
      <c r="M35" s="7"/>
      <c r="N35" s="7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14.25" customHeight="1" x14ac:dyDescent="0.3">
      <c r="A36" s="2"/>
      <c r="B36" s="7"/>
      <c r="C36" s="7"/>
      <c r="D36" s="7"/>
      <c r="E36" s="7"/>
      <c r="F36" s="8">
        <v>0.61111111111111116</v>
      </c>
      <c r="G36" s="7"/>
      <c r="H36" s="7"/>
      <c r="I36" s="7"/>
      <c r="J36" s="7"/>
      <c r="K36" s="7"/>
      <c r="L36" s="7"/>
      <c r="M36" s="7"/>
      <c r="N36" s="7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ht="14.25" customHeight="1" x14ac:dyDescent="0.3">
      <c r="A37" s="2"/>
      <c r="B37" s="7"/>
      <c r="C37" s="7"/>
      <c r="D37" s="7"/>
      <c r="E37" s="7"/>
      <c r="F37" s="8">
        <v>0.61805555555555558</v>
      </c>
      <c r="G37" s="7"/>
      <c r="H37" s="7"/>
      <c r="I37" s="7"/>
      <c r="J37" s="7"/>
      <c r="K37" s="7"/>
      <c r="L37" s="7"/>
      <c r="M37" s="7"/>
      <c r="N37" s="7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14.25" customHeight="1" x14ac:dyDescent="0.3">
      <c r="A38" s="2"/>
      <c r="B38" s="7"/>
      <c r="C38" s="7"/>
      <c r="D38" s="7"/>
      <c r="E38" s="7"/>
      <c r="F38" s="8">
        <v>0.625</v>
      </c>
      <c r="G38" s="7"/>
      <c r="H38" s="7"/>
      <c r="I38" s="7"/>
      <c r="J38" s="7"/>
      <c r="K38" s="7"/>
      <c r="L38" s="7"/>
      <c r="M38" s="7"/>
      <c r="N38" s="7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14.25" customHeight="1" x14ac:dyDescent="0.3">
      <c r="A39" s="2"/>
      <c r="B39" s="7"/>
      <c r="C39" s="7"/>
      <c r="D39" s="7"/>
      <c r="E39" s="7"/>
      <c r="F39" s="8">
        <v>0.63194444444444442</v>
      </c>
      <c r="G39" s="7"/>
      <c r="H39" s="7"/>
      <c r="I39" s="7"/>
      <c r="J39" s="7"/>
      <c r="K39" s="7"/>
      <c r="L39" s="7"/>
      <c r="M39" s="7"/>
      <c r="N39" s="7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14.25" customHeight="1" x14ac:dyDescent="0.3">
      <c r="A40" s="2"/>
      <c r="B40" s="7"/>
      <c r="C40" s="7"/>
      <c r="D40" s="7"/>
      <c r="E40" s="7"/>
      <c r="F40" s="8">
        <v>0.63888888888888884</v>
      </c>
      <c r="G40" s="7"/>
      <c r="H40" s="7"/>
      <c r="I40" s="7"/>
      <c r="J40" s="7"/>
      <c r="K40" s="7"/>
      <c r="L40" s="7"/>
      <c r="M40" s="7"/>
      <c r="N40" s="7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4.25" customHeight="1" x14ac:dyDescent="0.3">
      <c r="A41" s="2"/>
      <c r="B41" s="7"/>
      <c r="C41" s="7"/>
      <c r="D41" s="7"/>
      <c r="E41" s="7"/>
      <c r="F41" s="8">
        <v>0.64583333333333337</v>
      </c>
      <c r="G41" s="7"/>
      <c r="H41" s="7"/>
      <c r="I41" s="7"/>
      <c r="J41" s="7"/>
      <c r="K41" s="7"/>
      <c r="L41" s="7"/>
      <c r="M41" s="7"/>
      <c r="N41" s="7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14.25" customHeight="1" x14ac:dyDescent="0.3">
      <c r="A42" s="2"/>
      <c r="B42" s="7"/>
      <c r="C42" s="7"/>
      <c r="D42" s="7"/>
      <c r="E42" s="7"/>
      <c r="F42" s="8">
        <v>0.65277777777777779</v>
      </c>
      <c r="G42" s="7"/>
      <c r="H42" s="7"/>
      <c r="I42" s="7"/>
      <c r="J42" s="7"/>
      <c r="K42" s="7"/>
      <c r="L42" s="7"/>
      <c r="M42" s="7"/>
      <c r="N42" s="7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ht="14.25" customHeight="1" x14ac:dyDescent="0.3">
      <c r="A43" s="2"/>
      <c r="B43" s="7"/>
      <c r="C43" s="7"/>
      <c r="D43" s="7"/>
      <c r="E43" s="7"/>
      <c r="F43" s="8">
        <v>0.65972222222222221</v>
      </c>
      <c r="G43" s="7"/>
      <c r="H43" s="7"/>
      <c r="I43" s="7"/>
      <c r="J43" s="7"/>
      <c r="K43" s="7"/>
      <c r="L43" s="7"/>
      <c r="M43" s="7"/>
      <c r="N43" s="7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ht="14.25" customHeight="1" x14ac:dyDescent="0.3">
      <c r="A44" s="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ht="14.25" customHeight="1" x14ac:dyDescent="0.3">
      <c r="A45" s="2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ht="14.25" customHeight="1" x14ac:dyDescent="0.3">
      <c r="A46" s="2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14.25" customHeight="1" x14ac:dyDescent="0.3">
      <c r="A47" s="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14.25" customHeight="1" x14ac:dyDescent="0.3">
      <c r="A48" s="2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14.25" customHeight="1" x14ac:dyDescent="0.3">
      <c r="A49" s="2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ht="14.25" customHeight="1" x14ac:dyDescent="0.3">
      <c r="A50" s="2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ht="14.25" customHeight="1" x14ac:dyDescent="0.3">
      <c r="A51" s="2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ht="14.25" customHeight="1" x14ac:dyDescent="0.3">
      <c r="A52" s="2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ht="14.25" customHeight="1" x14ac:dyDescent="0.3">
      <c r="A53" s="2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ht="14.25" customHeight="1" x14ac:dyDescent="0.3">
      <c r="A54" s="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ht="14.25" customHeight="1" x14ac:dyDescent="0.3">
      <c r="A55" s="2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ht="14.25" customHeight="1" x14ac:dyDescent="0.3">
      <c r="A56" s="2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ht="14.25" customHeight="1" x14ac:dyDescent="0.3">
      <c r="A57" s="2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ht="14.25" customHeight="1" x14ac:dyDescent="0.3">
      <c r="A58" s="2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ht="14.25" customHeight="1" x14ac:dyDescent="0.3">
      <c r="A59" s="2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ht="14.25" customHeight="1" x14ac:dyDescent="0.3">
      <c r="A60" s="2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ht="14.25" customHeight="1" x14ac:dyDescent="0.3">
      <c r="A61" s="2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ht="14.25" customHeight="1" x14ac:dyDescent="0.3">
      <c r="A62" s="2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ht="14.25" customHeight="1" x14ac:dyDescent="0.3">
      <c r="A63" s="2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ht="14.25" customHeight="1" x14ac:dyDescent="0.3">
      <c r="A64" s="2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ht="14.25" customHeight="1" x14ac:dyDescent="0.3">
      <c r="A65" s="2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ht="14.25" customHeight="1" x14ac:dyDescent="0.3">
      <c r="A66" s="2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ht="14.25" customHeight="1" x14ac:dyDescent="0.3">
      <c r="A67" s="2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ht="14.25" customHeight="1" x14ac:dyDescent="0.3">
      <c r="A68" s="2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ht="14.25" customHeight="1" x14ac:dyDescent="0.3">
      <c r="A69" s="2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ht="14.25" customHeight="1" x14ac:dyDescent="0.3">
      <c r="A70" s="2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ht="14.25" customHeight="1" x14ac:dyDescent="0.3">
      <c r="A71" s="2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ht="14.25" customHeight="1" x14ac:dyDescent="0.3">
      <c r="A72" s="2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ht="14.25" customHeight="1" x14ac:dyDescent="0.3">
      <c r="A73" s="2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ht="14.25" customHeight="1" x14ac:dyDescent="0.3">
      <c r="A74" s="2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ht="14.25" customHeight="1" x14ac:dyDescent="0.3">
      <c r="A75" s="2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ht="14.25" customHeight="1" x14ac:dyDescent="0.3">
      <c r="A76" s="2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ht="14.25" customHeight="1" x14ac:dyDescent="0.3">
      <c r="A77" s="2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ht="14.25" customHeight="1" x14ac:dyDescent="0.3">
      <c r="A78" s="2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ht="14.25" customHeight="1" x14ac:dyDescent="0.3">
      <c r="A79" s="2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ht="14.25" customHeight="1" x14ac:dyDescent="0.3">
      <c r="A80" s="2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ht="14.25" customHeight="1" x14ac:dyDescent="0.3">
      <c r="A81" s="2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ht="14.25" customHeight="1" x14ac:dyDescent="0.3">
      <c r="A82" s="2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ht="14.25" customHeight="1" x14ac:dyDescent="0.3">
      <c r="A83" s="2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ht="14.25" customHeight="1" x14ac:dyDescent="0.3">
      <c r="A84" s="2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ht="14.25" customHeight="1" x14ac:dyDescent="0.3">
      <c r="A85" s="2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ht="14.25" customHeight="1" x14ac:dyDescent="0.3">
      <c r="A86" s="2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ht="14.25" customHeight="1" x14ac:dyDescent="0.3">
      <c r="A87" s="2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ht="14.25" customHeight="1" x14ac:dyDescent="0.3">
      <c r="A88" s="2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ht="14.25" customHeight="1" x14ac:dyDescent="0.3">
      <c r="A89" s="2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ht="14.25" customHeight="1" x14ac:dyDescent="0.3">
      <c r="A90" s="2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ht="14.25" customHeight="1" x14ac:dyDescent="0.3">
      <c r="A91" s="2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ht="14.25" customHeight="1" x14ac:dyDescent="0.3">
      <c r="A92" s="2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ht="14.25" customHeight="1" x14ac:dyDescent="0.3">
      <c r="A93" s="2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ht="14.25" customHeight="1" x14ac:dyDescent="0.3">
      <c r="A94" s="2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ht="14.25" customHeight="1" x14ac:dyDescent="0.3">
      <c r="A95" s="2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ht="14.25" customHeight="1" x14ac:dyDescent="0.3">
      <c r="A96" s="2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ht="14.25" customHeight="1" x14ac:dyDescent="0.3">
      <c r="A97" s="2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ht="14.25" customHeight="1" x14ac:dyDescent="0.3">
      <c r="A98" s="2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ht="14.25" customHeight="1" x14ac:dyDescent="0.3">
      <c r="A99" s="2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ht="14.25" customHeight="1" x14ac:dyDescent="0.3">
      <c r="A100" s="2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ht="14.25" customHeight="1" x14ac:dyDescent="0.3">
      <c r="A101" s="2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14.25" customHeight="1" x14ac:dyDescent="0.3">
      <c r="A102" s="2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ht="14.25" customHeight="1" x14ac:dyDescent="0.3">
      <c r="A103" s="2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ht="14.25" customHeight="1" x14ac:dyDescent="0.3">
      <c r="A104" s="2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ht="14.25" customHeight="1" x14ac:dyDescent="0.3">
      <c r="A105" s="2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ht="14.25" customHeight="1" x14ac:dyDescent="0.3">
      <c r="A106" s="2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ht="14.25" customHeight="1" x14ac:dyDescent="0.3">
      <c r="A107" s="2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ht="14.25" customHeight="1" x14ac:dyDescent="0.3">
      <c r="A108" s="2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ht="14.25" customHeight="1" x14ac:dyDescent="0.3">
      <c r="A109" s="2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 ht="14.25" customHeight="1" x14ac:dyDescent="0.3">
      <c r="A110" s="2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ht="14.25" customHeight="1" x14ac:dyDescent="0.3">
      <c r="A111" s="2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 ht="14.25" customHeight="1" x14ac:dyDescent="0.3">
      <c r="A112" s="2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ht="14.25" customHeight="1" x14ac:dyDescent="0.3">
      <c r="A113" s="2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 ht="14.25" customHeight="1" x14ac:dyDescent="0.3">
      <c r="A114" s="2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ht="14.25" customHeight="1" x14ac:dyDescent="0.3">
      <c r="A115" s="2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ht="14.25" customHeight="1" x14ac:dyDescent="0.3">
      <c r="A116" s="2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ht="14.25" customHeight="1" x14ac:dyDescent="0.3">
      <c r="A117" s="2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ht="14.25" customHeight="1" x14ac:dyDescent="0.3">
      <c r="A118" s="2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ht="14.25" customHeight="1" x14ac:dyDescent="0.3">
      <c r="A119" s="2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ht="14.25" customHeight="1" x14ac:dyDescent="0.3">
      <c r="A120" s="2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ht="14.25" customHeight="1" x14ac:dyDescent="0.3">
      <c r="A121" s="2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ht="14.25" customHeight="1" x14ac:dyDescent="0.3">
      <c r="A122" s="2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ht="14.25" customHeight="1" x14ac:dyDescent="0.3">
      <c r="A123" s="2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ht="14.25" customHeight="1" x14ac:dyDescent="0.3">
      <c r="A124" s="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ht="14.25" customHeight="1" x14ac:dyDescent="0.3">
      <c r="A125" s="2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ht="14.25" customHeight="1" x14ac:dyDescent="0.3">
      <c r="A126" s="2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ht="14.25" customHeight="1" x14ac:dyDescent="0.3">
      <c r="A127" s="2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ht="14.25" customHeight="1" x14ac:dyDescent="0.3">
      <c r="A128" s="2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ht="14.25" customHeight="1" x14ac:dyDescent="0.3">
      <c r="A129" s="2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ht="14.25" customHeight="1" x14ac:dyDescent="0.3">
      <c r="A130" s="2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ht="14.25" customHeight="1" x14ac:dyDescent="0.3">
      <c r="A131" s="2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ht="14.25" customHeight="1" x14ac:dyDescent="0.3">
      <c r="A132" s="2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ht="14.25" customHeight="1" x14ac:dyDescent="0.3">
      <c r="A133" s="2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ht="14.25" customHeight="1" x14ac:dyDescent="0.3">
      <c r="A134" s="2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ht="14.25" customHeight="1" x14ac:dyDescent="0.3">
      <c r="A135" s="2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ht="14.25" customHeight="1" x14ac:dyDescent="0.3">
      <c r="A136" s="2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ht="14.25" customHeight="1" x14ac:dyDescent="0.3">
      <c r="A137" s="2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ht="14.25" customHeight="1" x14ac:dyDescent="0.3">
      <c r="A138" s="2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ht="14.25" customHeight="1" x14ac:dyDescent="0.3">
      <c r="A139" s="2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 ht="14.25" customHeight="1" x14ac:dyDescent="0.3">
      <c r="A140" s="2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ht="14.25" customHeight="1" x14ac:dyDescent="0.3">
      <c r="A141" s="2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ht="14.25" customHeight="1" x14ac:dyDescent="0.3">
      <c r="A142" s="2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ht="14.25" customHeight="1" x14ac:dyDescent="0.3">
      <c r="A143" s="2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ht="14.25" customHeight="1" x14ac:dyDescent="0.3">
      <c r="A144" s="2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ht="14.25" customHeight="1" x14ac:dyDescent="0.3">
      <c r="A145" s="2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ht="14.25" customHeight="1" x14ac:dyDescent="0.3">
      <c r="A146" s="2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ht="14.25" customHeight="1" x14ac:dyDescent="0.3">
      <c r="A147" s="2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ht="14.25" customHeight="1" x14ac:dyDescent="0.3">
      <c r="A148" s="2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ht="14.25" customHeight="1" x14ac:dyDescent="0.3">
      <c r="A149" s="2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ht="14.25" customHeight="1" x14ac:dyDescent="0.3">
      <c r="A150" s="2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ht="14.25" customHeight="1" x14ac:dyDescent="0.3">
      <c r="A151" s="2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ht="14.25" customHeight="1" x14ac:dyDescent="0.3">
      <c r="A152" s="2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ht="14.25" customHeight="1" x14ac:dyDescent="0.3">
      <c r="A153" s="2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ht="14.25" customHeight="1" x14ac:dyDescent="0.3">
      <c r="A154" s="2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ht="14.25" customHeight="1" x14ac:dyDescent="0.3">
      <c r="A155" s="2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ht="14.25" customHeight="1" x14ac:dyDescent="0.3">
      <c r="A156" s="2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ht="14.25" customHeight="1" x14ac:dyDescent="0.3">
      <c r="A157" s="2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 ht="14.25" customHeight="1" x14ac:dyDescent="0.3">
      <c r="A158" s="2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ht="14.25" customHeight="1" x14ac:dyDescent="0.3">
      <c r="A159" s="2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 ht="14.25" customHeight="1" x14ac:dyDescent="0.3">
      <c r="A160" s="2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ht="14.25" customHeight="1" x14ac:dyDescent="0.3">
      <c r="A161" s="2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ht="14.25" customHeight="1" x14ac:dyDescent="0.3">
      <c r="A162" s="2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ht="14.25" customHeight="1" x14ac:dyDescent="0.3">
      <c r="A163" s="2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ht="14.25" customHeight="1" x14ac:dyDescent="0.3">
      <c r="A164" s="2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ht="14.25" customHeight="1" x14ac:dyDescent="0.3">
      <c r="A165" s="2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ht="14.25" customHeight="1" x14ac:dyDescent="0.3">
      <c r="A166" s="2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ht="14.25" customHeight="1" x14ac:dyDescent="0.3">
      <c r="A167" s="2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ht="14.25" customHeight="1" x14ac:dyDescent="0.3">
      <c r="A168" s="2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ht="14.25" customHeight="1" x14ac:dyDescent="0.3">
      <c r="A169" s="2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ht="14.25" customHeight="1" x14ac:dyDescent="0.3">
      <c r="A170" s="2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ht="14.25" customHeight="1" x14ac:dyDescent="0.3">
      <c r="A171" s="2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ht="14.25" customHeight="1" x14ac:dyDescent="0.3">
      <c r="A172" s="2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ht="14.25" customHeight="1" x14ac:dyDescent="0.3">
      <c r="A173" s="2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ht="14.25" customHeight="1" x14ac:dyDescent="0.3">
      <c r="A174" s="2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ht="14.25" customHeight="1" x14ac:dyDescent="0.3">
      <c r="A175" s="2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ht="14.25" customHeight="1" x14ac:dyDescent="0.3">
      <c r="A176" s="2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ht="14.25" customHeight="1" x14ac:dyDescent="0.3">
      <c r="A177" s="2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 ht="14.25" customHeight="1" x14ac:dyDescent="0.3">
      <c r="A178" s="2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ht="14.25" customHeight="1" x14ac:dyDescent="0.3">
      <c r="A179" s="2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 ht="14.25" customHeight="1" x14ac:dyDescent="0.3">
      <c r="A180" s="2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ht="14.25" customHeight="1" x14ac:dyDescent="0.3">
      <c r="A181" s="2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 ht="14.25" customHeight="1" x14ac:dyDescent="0.3">
      <c r="A182" s="2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ht="14.25" customHeight="1" x14ac:dyDescent="0.3">
      <c r="A183" s="2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 ht="14.25" customHeight="1" x14ac:dyDescent="0.3">
      <c r="A184" s="2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ht="14.25" customHeight="1" x14ac:dyDescent="0.3">
      <c r="A185" s="2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 ht="14.25" customHeight="1" x14ac:dyDescent="0.3">
      <c r="A186" s="2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ht="14.25" customHeight="1" x14ac:dyDescent="0.3">
      <c r="A187" s="2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 ht="14.25" customHeight="1" x14ac:dyDescent="0.3">
      <c r="A188" s="2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ht="14.25" customHeight="1" x14ac:dyDescent="0.3">
      <c r="A189" s="2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 ht="14.25" customHeight="1" x14ac:dyDescent="0.3">
      <c r="A190" s="2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ht="14.25" customHeight="1" x14ac:dyDescent="0.3">
      <c r="A191" s="2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 ht="14.25" customHeight="1" x14ac:dyDescent="0.3">
      <c r="A192" s="2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ht="14.25" customHeight="1" x14ac:dyDescent="0.3">
      <c r="A193" s="2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 ht="14.25" customHeight="1" x14ac:dyDescent="0.3">
      <c r="A194" s="2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ht="14.25" customHeight="1" x14ac:dyDescent="0.3">
      <c r="A195" s="2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 ht="14.25" customHeight="1" x14ac:dyDescent="0.3">
      <c r="A196" s="2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ht="14.25" customHeight="1" x14ac:dyDescent="0.3">
      <c r="A197" s="2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ht="14.25" customHeight="1" x14ac:dyDescent="0.3">
      <c r="A198" s="2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ht="14.25" customHeight="1" x14ac:dyDescent="0.3">
      <c r="A199" s="2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 ht="14.25" customHeight="1" x14ac:dyDescent="0.3">
      <c r="A200" s="2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ht="14.25" customHeight="1" x14ac:dyDescent="0.3">
      <c r="A201" s="2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 ht="14.25" customHeight="1" x14ac:dyDescent="0.3">
      <c r="A202" s="2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 ht="14.25" customHeight="1" x14ac:dyDescent="0.3">
      <c r="A203" s="2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 ht="14.25" customHeight="1" x14ac:dyDescent="0.3">
      <c r="A204" s="2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ht="14.25" customHeight="1" x14ac:dyDescent="0.3">
      <c r="A205" s="2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 ht="14.25" customHeight="1" x14ac:dyDescent="0.3">
      <c r="A206" s="2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ht="14.25" customHeight="1" x14ac:dyDescent="0.3">
      <c r="A207" s="2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 ht="14.25" customHeight="1" x14ac:dyDescent="0.3">
      <c r="A208" s="2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 ht="14.25" customHeight="1" x14ac:dyDescent="0.3">
      <c r="A209" s="2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ht="14.25" customHeight="1" x14ac:dyDescent="0.3">
      <c r="A210" s="2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ht="14.25" customHeight="1" x14ac:dyDescent="0.3">
      <c r="A211" s="2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ht="14.25" customHeight="1" x14ac:dyDescent="0.3">
      <c r="A212" s="2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ht="14.25" customHeight="1" x14ac:dyDescent="0.3">
      <c r="A213" s="2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 ht="14.25" customHeight="1" x14ac:dyDescent="0.3">
      <c r="A214" s="2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 ht="14.25" customHeight="1" x14ac:dyDescent="0.3">
      <c r="A215" s="2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 ht="14.25" customHeight="1" x14ac:dyDescent="0.3">
      <c r="A216" s="2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ht="14.25" customHeight="1" x14ac:dyDescent="0.3">
      <c r="A217" s="2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ht="14.25" customHeight="1" x14ac:dyDescent="0.3">
      <c r="A218" s="2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ht="14.25" customHeight="1" x14ac:dyDescent="0.3">
      <c r="A219" s="2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ht="14.25" customHeight="1" x14ac:dyDescent="0.3">
      <c r="A220" s="2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ht="14.25" customHeight="1" x14ac:dyDescent="0.3">
      <c r="A221" s="2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ht="14.25" customHeight="1" x14ac:dyDescent="0.3">
      <c r="A222" s="2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ht="14.25" customHeight="1" x14ac:dyDescent="0.3">
      <c r="A223" s="2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ht="14.25" customHeight="1" x14ac:dyDescent="0.3">
      <c r="A224" s="2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ht="14.25" customHeight="1" x14ac:dyDescent="0.3">
      <c r="A225" s="2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ht="14.25" customHeight="1" x14ac:dyDescent="0.3">
      <c r="A226" s="2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ht="14.25" customHeight="1" x14ac:dyDescent="0.3">
      <c r="A227" s="2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ht="14.25" customHeight="1" x14ac:dyDescent="0.3">
      <c r="A228" s="2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ht="14.25" customHeight="1" x14ac:dyDescent="0.3">
      <c r="A229" s="2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ht="14.25" customHeight="1" x14ac:dyDescent="0.3">
      <c r="A230" s="2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ht="14.25" customHeight="1" x14ac:dyDescent="0.3">
      <c r="A231" s="2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ht="14.25" customHeight="1" x14ac:dyDescent="0.3">
      <c r="A232" s="2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ht="14.25" customHeight="1" x14ac:dyDescent="0.3">
      <c r="A233" s="2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ht="14.25" customHeight="1" x14ac:dyDescent="0.3">
      <c r="A234" s="2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ht="14.25" customHeight="1" x14ac:dyDescent="0.3">
      <c r="A235" s="2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ht="14.25" customHeight="1" x14ac:dyDescent="0.3">
      <c r="A236" s="2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ht="14.25" customHeight="1" x14ac:dyDescent="0.3">
      <c r="A237" s="2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ht="14.25" customHeight="1" x14ac:dyDescent="0.3">
      <c r="A238" s="2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ht="14.25" customHeight="1" x14ac:dyDescent="0.3">
      <c r="A239" s="2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ht="14.25" customHeight="1" x14ac:dyDescent="0.3">
      <c r="A240" s="2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ht="14.25" customHeight="1" x14ac:dyDescent="0.3">
      <c r="A241" s="2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ht="14.25" customHeight="1" x14ac:dyDescent="0.3">
      <c r="A242" s="2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ht="14.25" customHeight="1" x14ac:dyDescent="0.3">
      <c r="A243" s="2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ht="14.25" customHeight="1" x14ac:dyDescent="0.3">
      <c r="A244" s="2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14.25" customHeight="1" x14ac:dyDescent="0.3">
      <c r="A245" s="2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ht="14.25" customHeight="1" x14ac:dyDescent="0.3">
      <c r="A246" s="2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ht="14.25" customHeight="1" x14ac:dyDescent="0.3">
      <c r="A247" s="2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ht="14.25" customHeight="1" x14ac:dyDescent="0.3">
      <c r="A248" s="2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ht="14.25" customHeight="1" x14ac:dyDescent="0.3">
      <c r="A249" s="2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ht="14.25" customHeight="1" x14ac:dyDescent="0.3">
      <c r="A250" s="2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ht="14.25" customHeight="1" x14ac:dyDescent="0.3">
      <c r="A251" s="2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14.25" customHeight="1" x14ac:dyDescent="0.3">
      <c r="A252" s="2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ht="14.25" customHeight="1" x14ac:dyDescent="0.3">
      <c r="A253" s="2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ht="14.25" customHeight="1" x14ac:dyDescent="0.3">
      <c r="A254" s="2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ht="14.25" customHeight="1" x14ac:dyDescent="0.3">
      <c r="A255" s="2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ht="14.25" customHeight="1" x14ac:dyDescent="0.3">
      <c r="A256" s="2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ht="14.25" customHeight="1" x14ac:dyDescent="0.3">
      <c r="A257" s="2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ht="14.25" customHeight="1" x14ac:dyDescent="0.3">
      <c r="A258" s="2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14.25" customHeight="1" x14ac:dyDescent="0.3">
      <c r="A259" s="2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ht="14.25" customHeight="1" x14ac:dyDescent="0.3">
      <c r="A260" s="2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ht="14.25" customHeight="1" x14ac:dyDescent="0.3">
      <c r="A261" s="2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ht="14.25" customHeight="1" x14ac:dyDescent="0.3">
      <c r="A262" s="2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ht="14.25" customHeight="1" x14ac:dyDescent="0.3">
      <c r="A263" s="2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ht="14.25" customHeight="1" x14ac:dyDescent="0.3">
      <c r="A264" s="2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ht="14.25" customHeight="1" x14ac:dyDescent="0.3">
      <c r="A265" s="2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ht="14.25" customHeight="1" x14ac:dyDescent="0.3">
      <c r="A266" s="2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ht="14.25" customHeight="1" x14ac:dyDescent="0.3">
      <c r="A267" s="2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ht="14.25" customHeight="1" x14ac:dyDescent="0.3">
      <c r="A268" s="2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ht="14.25" customHeight="1" x14ac:dyDescent="0.3">
      <c r="A269" s="2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ht="14.25" customHeight="1" x14ac:dyDescent="0.3">
      <c r="A270" s="2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ht="14.25" customHeight="1" x14ac:dyDescent="0.3">
      <c r="A271" s="2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ht="14.25" customHeight="1" x14ac:dyDescent="0.3">
      <c r="A272" s="2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ht="14.25" customHeight="1" x14ac:dyDescent="0.3">
      <c r="A273" s="2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ht="14.25" customHeight="1" x14ac:dyDescent="0.3">
      <c r="A274" s="2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ht="14.25" customHeight="1" x14ac:dyDescent="0.3">
      <c r="A275" s="2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ht="14.25" customHeight="1" x14ac:dyDescent="0.3">
      <c r="A276" s="2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ht="14.25" customHeight="1" x14ac:dyDescent="0.3">
      <c r="A277" s="2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ht="14.25" customHeight="1" x14ac:dyDescent="0.3">
      <c r="A278" s="2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ht="14.25" customHeight="1" x14ac:dyDescent="0.3">
      <c r="A279" s="2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ht="14.25" customHeight="1" x14ac:dyDescent="0.3">
      <c r="A280" s="2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ht="14.25" customHeight="1" x14ac:dyDescent="0.3">
      <c r="A281" s="2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ht="14.25" customHeight="1" x14ac:dyDescent="0.3">
      <c r="A282" s="2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ht="14.25" customHeight="1" x14ac:dyDescent="0.3">
      <c r="A283" s="2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ht="14.25" customHeight="1" x14ac:dyDescent="0.3">
      <c r="A284" s="2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ht="14.25" customHeight="1" x14ac:dyDescent="0.3">
      <c r="A285" s="2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ht="14.25" customHeight="1" x14ac:dyDescent="0.3">
      <c r="A286" s="2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ht="14.25" customHeight="1" x14ac:dyDescent="0.3">
      <c r="A287" s="2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ht="14.25" customHeight="1" x14ac:dyDescent="0.3">
      <c r="A288" s="2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ht="14.25" customHeight="1" x14ac:dyDescent="0.3">
      <c r="A289" s="2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ht="14.25" customHeight="1" x14ac:dyDescent="0.3">
      <c r="A290" s="2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ht="14.25" customHeight="1" x14ac:dyDescent="0.3">
      <c r="A291" s="2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ht="14.25" customHeight="1" x14ac:dyDescent="0.3">
      <c r="A292" s="2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ht="14.25" customHeight="1" x14ac:dyDescent="0.3">
      <c r="A293" s="2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ht="14.25" customHeight="1" x14ac:dyDescent="0.3">
      <c r="A294" s="2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ht="14.25" customHeight="1" x14ac:dyDescent="0.3">
      <c r="A295" s="2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ht="14.25" customHeight="1" x14ac:dyDescent="0.3">
      <c r="A296" s="2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ht="14.25" customHeight="1" x14ac:dyDescent="0.3">
      <c r="A297" s="2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ht="14.25" customHeight="1" x14ac:dyDescent="0.3">
      <c r="A298" s="2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ht="14.25" customHeight="1" x14ac:dyDescent="0.3">
      <c r="A299" s="2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ht="14.25" customHeight="1" x14ac:dyDescent="0.3">
      <c r="A300" s="2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ht="14.25" customHeight="1" x14ac:dyDescent="0.3">
      <c r="A301" s="2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ht="14.25" customHeight="1" x14ac:dyDescent="0.3">
      <c r="A302" s="2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ht="14.25" customHeight="1" x14ac:dyDescent="0.3">
      <c r="A303" s="2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 ht="14.25" customHeight="1" x14ac:dyDescent="0.3">
      <c r="A304" s="2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 ht="14.25" customHeight="1" x14ac:dyDescent="0.3">
      <c r="A305" s="2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 ht="14.25" customHeight="1" x14ac:dyDescent="0.3">
      <c r="A306" s="2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ht="14.25" customHeight="1" x14ac:dyDescent="0.3">
      <c r="A307" s="2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ht="14.25" customHeight="1" x14ac:dyDescent="0.3">
      <c r="A308" s="2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ht="14.25" customHeight="1" x14ac:dyDescent="0.3">
      <c r="A309" s="2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 ht="14.25" customHeight="1" x14ac:dyDescent="0.3">
      <c r="A310" s="2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 ht="14.25" customHeight="1" x14ac:dyDescent="0.3">
      <c r="A311" s="2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 ht="14.25" customHeight="1" x14ac:dyDescent="0.3">
      <c r="A312" s="2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 ht="14.25" customHeight="1" x14ac:dyDescent="0.3">
      <c r="A313" s="2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 ht="14.25" customHeight="1" x14ac:dyDescent="0.3">
      <c r="A314" s="2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ht="14.25" customHeight="1" x14ac:dyDescent="0.3">
      <c r="A315" s="2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 ht="14.25" customHeight="1" x14ac:dyDescent="0.3">
      <c r="A316" s="2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 ht="14.25" customHeight="1" x14ac:dyDescent="0.3">
      <c r="A317" s="2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 ht="14.25" customHeight="1" x14ac:dyDescent="0.3">
      <c r="A318" s="2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 ht="14.25" customHeight="1" x14ac:dyDescent="0.3">
      <c r="A319" s="2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 ht="14.25" customHeight="1" x14ac:dyDescent="0.3">
      <c r="A320" s="2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ht="14.25" customHeight="1" x14ac:dyDescent="0.3">
      <c r="A321" s="2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 ht="14.25" customHeight="1" x14ac:dyDescent="0.3">
      <c r="A322" s="2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 ht="14.25" customHeight="1" x14ac:dyDescent="0.3">
      <c r="A323" s="2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 ht="14.25" customHeight="1" x14ac:dyDescent="0.3">
      <c r="A324" s="2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 ht="14.25" customHeight="1" x14ac:dyDescent="0.3">
      <c r="A325" s="2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 ht="14.25" customHeight="1" x14ac:dyDescent="0.3">
      <c r="A326" s="2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ht="14.25" customHeight="1" x14ac:dyDescent="0.3">
      <c r="A327" s="2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 ht="14.25" customHeight="1" x14ac:dyDescent="0.3">
      <c r="A328" s="2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 ht="14.25" customHeight="1" x14ac:dyDescent="0.3">
      <c r="A329" s="2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 ht="14.25" customHeight="1" x14ac:dyDescent="0.3">
      <c r="A330" s="2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 ht="14.25" customHeight="1" x14ac:dyDescent="0.3">
      <c r="A331" s="2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 ht="14.25" customHeight="1" x14ac:dyDescent="0.3">
      <c r="A332" s="2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ht="14.25" customHeight="1" x14ac:dyDescent="0.3">
      <c r="A333" s="2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 ht="14.25" customHeight="1" x14ac:dyDescent="0.3">
      <c r="A334" s="2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 ht="14.25" customHeight="1" x14ac:dyDescent="0.3">
      <c r="A335" s="2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 ht="14.25" customHeight="1" x14ac:dyDescent="0.3">
      <c r="A336" s="2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 ht="14.25" customHeight="1" x14ac:dyDescent="0.3">
      <c r="A337" s="2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 ht="14.25" customHeight="1" x14ac:dyDescent="0.3">
      <c r="A338" s="2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 ht="14.25" customHeight="1" x14ac:dyDescent="0.3">
      <c r="A339" s="2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 ht="14.25" customHeight="1" x14ac:dyDescent="0.3">
      <c r="A340" s="2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 ht="14.25" customHeight="1" x14ac:dyDescent="0.3">
      <c r="A341" s="2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ht="14.25" customHeight="1" x14ac:dyDescent="0.3">
      <c r="A342" s="2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 ht="14.25" customHeight="1" x14ac:dyDescent="0.3">
      <c r="A343" s="2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 ht="14.25" customHeight="1" x14ac:dyDescent="0.3">
      <c r="A344" s="2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 ht="14.25" customHeight="1" x14ac:dyDescent="0.3">
      <c r="A345" s="2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 ht="14.25" customHeight="1" x14ac:dyDescent="0.3">
      <c r="A346" s="2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ht="14.25" customHeight="1" x14ac:dyDescent="0.3">
      <c r="A347" s="2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 ht="14.25" customHeight="1" x14ac:dyDescent="0.3">
      <c r="A348" s="2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 ht="14.25" customHeight="1" x14ac:dyDescent="0.3">
      <c r="A349" s="2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 ht="14.25" customHeight="1" x14ac:dyDescent="0.3">
      <c r="A350" s="2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 ht="14.25" customHeight="1" x14ac:dyDescent="0.3">
      <c r="A351" s="2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 ht="14.25" customHeight="1" x14ac:dyDescent="0.3">
      <c r="A352" s="2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 ht="14.25" customHeight="1" x14ac:dyDescent="0.3">
      <c r="A353" s="2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 ht="14.25" customHeight="1" x14ac:dyDescent="0.3">
      <c r="A354" s="2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 ht="14.25" customHeight="1" x14ac:dyDescent="0.3">
      <c r="A355" s="2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 ht="14.25" customHeight="1" x14ac:dyDescent="0.3">
      <c r="A356" s="2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 ht="14.25" customHeight="1" x14ac:dyDescent="0.3">
      <c r="A357" s="2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 ht="14.25" customHeight="1" x14ac:dyDescent="0.3">
      <c r="A358" s="2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 ht="14.25" customHeight="1" x14ac:dyDescent="0.3">
      <c r="A359" s="2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 ht="14.25" customHeight="1" x14ac:dyDescent="0.3">
      <c r="A360" s="2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 ht="14.25" customHeight="1" x14ac:dyDescent="0.3">
      <c r="A361" s="2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 ht="14.25" customHeight="1" x14ac:dyDescent="0.3">
      <c r="A362" s="2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 ht="14.25" customHeight="1" x14ac:dyDescent="0.3">
      <c r="A363" s="2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 ht="14.25" customHeight="1" x14ac:dyDescent="0.3">
      <c r="A364" s="2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ht="14.25" customHeight="1" x14ac:dyDescent="0.3">
      <c r="A365" s="2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 ht="14.25" customHeight="1" x14ac:dyDescent="0.3">
      <c r="A366" s="2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 ht="14.25" customHeight="1" x14ac:dyDescent="0.3">
      <c r="A367" s="2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 ht="14.25" customHeight="1" x14ac:dyDescent="0.3">
      <c r="A368" s="2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 ht="14.25" customHeight="1" x14ac:dyDescent="0.3">
      <c r="A369" s="2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 ht="14.25" customHeight="1" x14ac:dyDescent="0.3">
      <c r="A370" s="2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 ht="14.25" customHeight="1" x14ac:dyDescent="0.3">
      <c r="A371" s="2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 ht="14.25" customHeight="1" x14ac:dyDescent="0.3">
      <c r="A372" s="2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 ht="14.25" customHeight="1" x14ac:dyDescent="0.3">
      <c r="A373" s="2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 ht="14.25" customHeight="1" x14ac:dyDescent="0.3">
      <c r="A374" s="2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 ht="14.25" customHeight="1" x14ac:dyDescent="0.3">
      <c r="A375" s="2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 ht="14.25" customHeight="1" x14ac:dyDescent="0.3">
      <c r="A376" s="2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 ht="14.25" customHeight="1" x14ac:dyDescent="0.3">
      <c r="A377" s="2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 ht="14.25" customHeight="1" x14ac:dyDescent="0.3">
      <c r="A378" s="2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 ht="14.25" customHeight="1" x14ac:dyDescent="0.3">
      <c r="A379" s="2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 ht="14.25" customHeight="1" x14ac:dyDescent="0.3">
      <c r="A380" s="2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 ht="14.25" customHeight="1" x14ac:dyDescent="0.3">
      <c r="A381" s="2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 ht="14.25" customHeight="1" x14ac:dyDescent="0.3">
      <c r="A382" s="2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 ht="14.25" customHeight="1" x14ac:dyDescent="0.3">
      <c r="A383" s="2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ht="14.25" customHeight="1" x14ac:dyDescent="0.3">
      <c r="A384" s="2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 ht="14.25" customHeight="1" x14ac:dyDescent="0.3">
      <c r="A385" s="2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 ht="14.25" customHeight="1" x14ac:dyDescent="0.3">
      <c r="A386" s="2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 ht="14.25" customHeight="1" x14ac:dyDescent="0.3">
      <c r="A387" s="2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 ht="14.25" customHeight="1" x14ac:dyDescent="0.3">
      <c r="A388" s="2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 ht="14.25" customHeight="1" x14ac:dyDescent="0.3">
      <c r="A389" s="2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 ht="14.25" customHeight="1" x14ac:dyDescent="0.3">
      <c r="A390" s="2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 ht="14.25" customHeight="1" x14ac:dyDescent="0.3">
      <c r="A391" s="2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 ht="14.25" customHeight="1" x14ac:dyDescent="0.3">
      <c r="A392" s="2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 ht="14.25" customHeight="1" x14ac:dyDescent="0.3">
      <c r="A393" s="2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 ht="14.25" customHeight="1" x14ac:dyDescent="0.3">
      <c r="A394" s="2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 ht="14.25" customHeight="1" x14ac:dyDescent="0.3">
      <c r="A395" s="2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 ht="14.25" customHeight="1" x14ac:dyDescent="0.3">
      <c r="A396" s="2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ht="14.25" customHeight="1" x14ac:dyDescent="0.3">
      <c r="A397" s="2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 ht="14.25" customHeight="1" x14ac:dyDescent="0.3">
      <c r="A398" s="2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 ht="14.25" customHeight="1" x14ac:dyDescent="0.3">
      <c r="A399" s="2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 ht="14.25" customHeight="1" x14ac:dyDescent="0.3">
      <c r="A400" s="2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 ht="14.25" customHeight="1" x14ac:dyDescent="0.3">
      <c r="A401" s="2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 ht="14.25" customHeight="1" x14ac:dyDescent="0.3">
      <c r="A402" s="2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 ht="14.25" customHeight="1" x14ac:dyDescent="0.3">
      <c r="A403" s="2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 ht="14.25" customHeight="1" x14ac:dyDescent="0.3">
      <c r="A404" s="2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 ht="14.25" customHeight="1" x14ac:dyDescent="0.3">
      <c r="A405" s="2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 ht="14.25" customHeight="1" x14ac:dyDescent="0.3">
      <c r="A406" s="2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ht="14.25" customHeight="1" x14ac:dyDescent="0.3">
      <c r="A407" s="2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 ht="14.25" customHeight="1" x14ac:dyDescent="0.3">
      <c r="A408" s="2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 ht="14.25" customHeight="1" x14ac:dyDescent="0.3">
      <c r="A409" s="2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 ht="14.25" customHeight="1" x14ac:dyDescent="0.3">
      <c r="A410" s="2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ht="14.25" customHeight="1" x14ac:dyDescent="0.3">
      <c r="A411" s="2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 ht="14.25" customHeight="1" x14ac:dyDescent="0.3">
      <c r="A412" s="2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 ht="14.25" customHeight="1" x14ac:dyDescent="0.3">
      <c r="A413" s="2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 ht="14.25" customHeight="1" x14ac:dyDescent="0.3">
      <c r="A414" s="2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ht="14.25" customHeight="1" x14ac:dyDescent="0.3">
      <c r="A415" s="2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 ht="14.25" customHeight="1" x14ac:dyDescent="0.3">
      <c r="A416" s="2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ht="14.25" customHeight="1" x14ac:dyDescent="0.3">
      <c r="A417" s="2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 ht="14.25" customHeight="1" x14ac:dyDescent="0.3">
      <c r="A418" s="2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ht="14.25" customHeight="1" x14ac:dyDescent="0.3">
      <c r="A419" s="2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 ht="14.25" customHeight="1" x14ac:dyDescent="0.3">
      <c r="A420" s="2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ht="14.25" customHeight="1" x14ac:dyDescent="0.3">
      <c r="A421" s="2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 ht="14.25" customHeight="1" x14ac:dyDescent="0.3">
      <c r="A422" s="2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 ht="14.25" customHeight="1" x14ac:dyDescent="0.3">
      <c r="A423" s="2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ht="14.25" customHeight="1" x14ac:dyDescent="0.3">
      <c r="A424" s="2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 ht="14.25" customHeight="1" x14ac:dyDescent="0.3">
      <c r="A425" s="2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 ht="14.25" customHeight="1" x14ac:dyDescent="0.3">
      <c r="A426" s="2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 ht="14.25" customHeight="1" x14ac:dyDescent="0.3">
      <c r="A427" s="2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 ht="14.25" customHeight="1" x14ac:dyDescent="0.3">
      <c r="A428" s="2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 ht="14.25" customHeight="1" x14ac:dyDescent="0.3">
      <c r="A429" s="2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 ht="14.25" customHeight="1" x14ac:dyDescent="0.3">
      <c r="A430" s="2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ht="14.25" customHeight="1" x14ac:dyDescent="0.3">
      <c r="A431" s="2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 ht="14.25" customHeight="1" x14ac:dyDescent="0.3">
      <c r="A432" s="2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 ht="14.25" customHeight="1" x14ac:dyDescent="0.3">
      <c r="A433" s="2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 ht="14.25" customHeight="1" x14ac:dyDescent="0.3">
      <c r="A434" s="2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 ht="14.25" customHeight="1" x14ac:dyDescent="0.3">
      <c r="A435" s="2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 ht="14.25" customHeight="1" x14ac:dyDescent="0.3">
      <c r="A436" s="2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 ht="14.25" customHeight="1" x14ac:dyDescent="0.3">
      <c r="A437" s="2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 ht="14.25" customHeight="1" x14ac:dyDescent="0.3">
      <c r="A438" s="2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 ht="14.25" customHeight="1" x14ac:dyDescent="0.3">
      <c r="A439" s="2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 ht="14.25" customHeight="1" x14ac:dyDescent="0.3">
      <c r="A440" s="2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 ht="14.25" customHeight="1" x14ac:dyDescent="0.3">
      <c r="A441" s="2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 ht="14.25" customHeight="1" x14ac:dyDescent="0.3">
      <c r="A442" s="2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 ht="14.25" customHeight="1" x14ac:dyDescent="0.3">
      <c r="A443" s="2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 ht="14.25" customHeight="1" x14ac:dyDescent="0.3">
      <c r="A444" s="2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 ht="14.25" customHeight="1" x14ac:dyDescent="0.3">
      <c r="A445" s="2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 ht="14.25" customHeight="1" x14ac:dyDescent="0.3">
      <c r="A446" s="2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 ht="14.25" customHeight="1" x14ac:dyDescent="0.3">
      <c r="A447" s="2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 ht="14.25" customHeight="1" x14ac:dyDescent="0.3">
      <c r="A448" s="2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 ht="14.25" customHeight="1" x14ac:dyDescent="0.3">
      <c r="A449" s="2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 ht="14.25" customHeight="1" x14ac:dyDescent="0.3">
      <c r="A450" s="2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 ht="14.25" customHeight="1" x14ac:dyDescent="0.3">
      <c r="A451" s="2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 ht="14.25" customHeight="1" x14ac:dyDescent="0.3">
      <c r="A452" s="2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 ht="14.25" customHeight="1" x14ac:dyDescent="0.3">
      <c r="A453" s="2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 ht="14.25" customHeight="1" x14ac:dyDescent="0.3">
      <c r="A454" s="2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 ht="14.25" customHeight="1" x14ac:dyDescent="0.3">
      <c r="A455" s="2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 ht="14.25" customHeight="1" x14ac:dyDescent="0.3">
      <c r="A456" s="2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 ht="14.25" customHeight="1" x14ac:dyDescent="0.3">
      <c r="A457" s="2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 ht="14.25" customHeight="1" x14ac:dyDescent="0.3">
      <c r="A458" s="2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 ht="14.25" customHeight="1" x14ac:dyDescent="0.3">
      <c r="A459" s="2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 ht="14.25" customHeight="1" x14ac:dyDescent="0.3">
      <c r="A460" s="2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 ht="14.25" customHeight="1" x14ac:dyDescent="0.3">
      <c r="A461" s="2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 ht="14.25" customHeight="1" x14ac:dyDescent="0.3">
      <c r="A462" s="2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 ht="14.25" customHeight="1" x14ac:dyDescent="0.3">
      <c r="A463" s="2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 ht="14.25" customHeight="1" x14ac:dyDescent="0.3">
      <c r="A464" s="2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 ht="14.25" customHeight="1" x14ac:dyDescent="0.3">
      <c r="A465" s="2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 ht="14.25" customHeight="1" x14ac:dyDescent="0.3">
      <c r="A466" s="2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 ht="14.25" customHeight="1" x14ac:dyDescent="0.3">
      <c r="A467" s="2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 ht="14.25" customHeight="1" x14ac:dyDescent="0.3">
      <c r="A468" s="2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 ht="14.25" customHeight="1" x14ac:dyDescent="0.3">
      <c r="A469" s="2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 ht="14.25" customHeight="1" x14ac:dyDescent="0.3">
      <c r="A470" s="2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 ht="14.25" customHeight="1" x14ac:dyDescent="0.3">
      <c r="A471" s="2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 ht="14.25" customHeight="1" x14ac:dyDescent="0.3">
      <c r="A472" s="2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 ht="14.25" customHeight="1" x14ac:dyDescent="0.3">
      <c r="A473" s="2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 ht="14.25" customHeight="1" x14ac:dyDescent="0.3">
      <c r="A474" s="2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 ht="14.25" customHeight="1" x14ac:dyDescent="0.3">
      <c r="A475" s="2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 ht="14.25" customHeight="1" x14ac:dyDescent="0.3">
      <c r="A476" s="2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 ht="14.25" customHeight="1" x14ac:dyDescent="0.3">
      <c r="A477" s="2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 ht="14.25" customHeight="1" x14ac:dyDescent="0.3">
      <c r="A478" s="2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 ht="14.25" customHeight="1" x14ac:dyDescent="0.3">
      <c r="A479" s="2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 ht="14.25" customHeight="1" x14ac:dyDescent="0.3">
      <c r="A480" s="2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 ht="14.25" customHeight="1" x14ac:dyDescent="0.3">
      <c r="A481" s="2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 ht="14.25" customHeight="1" x14ac:dyDescent="0.3">
      <c r="A482" s="2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 ht="14.25" customHeight="1" x14ac:dyDescent="0.3">
      <c r="A483" s="2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 ht="14.25" customHeight="1" x14ac:dyDescent="0.3">
      <c r="A484" s="2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 ht="14.25" customHeight="1" x14ac:dyDescent="0.3">
      <c r="A485" s="2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 ht="14.25" customHeight="1" x14ac:dyDescent="0.3">
      <c r="A486" s="2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 ht="14.25" customHeight="1" x14ac:dyDescent="0.3">
      <c r="A487" s="2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 ht="14.25" customHeight="1" x14ac:dyDescent="0.3">
      <c r="A488" s="2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 ht="14.25" customHeight="1" x14ac:dyDescent="0.3">
      <c r="A489" s="2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 ht="14.25" customHeight="1" x14ac:dyDescent="0.3">
      <c r="A490" s="2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 ht="14.25" customHeight="1" x14ac:dyDescent="0.3">
      <c r="A491" s="2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 ht="14.25" customHeight="1" x14ac:dyDescent="0.3">
      <c r="A492" s="2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 ht="14.25" customHeight="1" x14ac:dyDescent="0.3">
      <c r="A493" s="2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 ht="14.25" customHeight="1" x14ac:dyDescent="0.3">
      <c r="A494" s="2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 ht="14.25" customHeight="1" x14ac:dyDescent="0.3">
      <c r="A495" s="2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 ht="14.25" customHeight="1" x14ac:dyDescent="0.3">
      <c r="A496" s="2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 ht="14.25" customHeight="1" x14ac:dyDescent="0.3">
      <c r="A497" s="2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 ht="14.25" customHeight="1" x14ac:dyDescent="0.3">
      <c r="A498" s="2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5" ht="14.25" customHeight="1" x14ac:dyDescent="0.3">
      <c r="A499" s="2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5" ht="14.2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99"/>
  <sheetViews>
    <sheetView showGridLines="0" tabSelected="1" zoomScaleNormal="100" workbookViewId="0">
      <pane ySplit="1" topLeftCell="A2" activePane="bottomLeft" state="frozen"/>
      <selection pane="bottomLeft" activeCell="D6" sqref="D6"/>
    </sheetView>
  </sheetViews>
  <sheetFormatPr defaultColWidth="14.44140625" defaultRowHeight="14.4" x14ac:dyDescent="0.3"/>
  <cols>
    <col min="1" max="1" width="22" customWidth="1"/>
    <col min="2" max="2" width="48" customWidth="1"/>
    <col min="3" max="26" width="30" customWidth="1"/>
  </cols>
  <sheetData>
    <row r="1" spans="1:3" ht="24" customHeight="1" x14ac:dyDescent="0.3">
      <c r="A1" s="2" t="s">
        <v>0</v>
      </c>
      <c r="B1" s="2" t="s">
        <v>1</v>
      </c>
      <c r="C1" s="2" t="s">
        <v>2</v>
      </c>
    </row>
    <row r="2" spans="1:3" ht="24" customHeight="1" x14ac:dyDescent="0.3">
      <c r="A2" s="1" t="s">
        <v>3</v>
      </c>
      <c r="B2" s="10" t="s">
        <v>4</v>
      </c>
      <c r="C2" s="3" t="str">
        <f>IF(COUNTA($B$2:$B$11)&lt;10,"REQUIRED CONFIG VALUE MISSING","OK")</f>
        <v>OK</v>
      </c>
    </row>
    <row r="3" spans="1:3" ht="24" customHeight="1" x14ac:dyDescent="0.3">
      <c r="A3" s="1" t="s">
        <v>5</v>
      </c>
      <c r="B3" s="10" t="s">
        <v>74</v>
      </c>
      <c r="C3" s="3"/>
    </row>
    <row r="4" spans="1:3" ht="24" customHeight="1" x14ac:dyDescent="0.3">
      <c r="A4" s="1" t="s">
        <v>7</v>
      </c>
      <c r="B4" s="10" t="s">
        <v>75</v>
      </c>
      <c r="C4" s="3"/>
    </row>
    <row r="5" spans="1:3" ht="24" customHeight="1" x14ac:dyDescent="0.3">
      <c r="A5" s="1" t="s">
        <v>9</v>
      </c>
      <c r="B5" s="11">
        <v>2026</v>
      </c>
      <c r="C5" s="3"/>
    </row>
    <row r="6" spans="1:3" ht="24" customHeight="1" x14ac:dyDescent="0.3">
      <c r="A6" s="1" t="s">
        <v>10</v>
      </c>
      <c r="B6" s="10" t="s">
        <v>73</v>
      </c>
      <c r="C6" s="3"/>
    </row>
    <row r="7" spans="1:3" ht="24" customHeight="1" x14ac:dyDescent="0.3">
      <c r="A7" s="1" t="s">
        <v>12</v>
      </c>
      <c r="B7" s="10" t="s">
        <v>13</v>
      </c>
      <c r="C7" s="3"/>
    </row>
    <row r="8" spans="1:3" ht="24" customHeight="1" x14ac:dyDescent="0.3">
      <c r="A8" s="1" t="s">
        <v>14</v>
      </c>
      <c r="B8" s="12">
        <v>0.375</v>
      </c>
      <c r="C8" s="3"/>
    </row>
    <row r="9" spans="1:3" ht="24" customHeight="1" x14ac:dyDescent="0.3">
      <c r="A9" s="1" t="s">
        <v>15</v>
      </c>
      <c r="B9" s="12">
        <v>0.65972222222222221</v>
      </c>
      <c r="C9" s="3"/>
    </row>
    <row r="10" spans="1:3" ht="24" customHeight="1" x14ac:dyDescent="0.3">
      <c r="A10" s="1" t="s">
        <v>16</v>
      </c>
      <c r="B10" s="12">
        <v>0.54861111111111116</v>
      </c>
      <c r="C10" s="3"/>
    </row>
    <row r="11" spans="1:3" ht="18" customHeight="1" x14ac:dyDescent="0.3">
      <c r="A11" s="1" t="s">
        <v>17</v>
      </c>
      <c r="B11" s="12">
        <v>0.59027777777777779</v>
      </c>
      <c r="C11" s="3"/>
    </row>
    <row r="12" spans="1:3" ht="18" customHeight="1" x14ac:dyDescent="0.3">
      <c r="A12" s="13"/>
      <c r="B12" s="13"/>
      <c r="C12" s="14"/>
    </row>
    <row r="13" spans="1:3" ht="18" customHeight="1" x14ac:dyDescent="0.3">
      <c r="A13" s="13"/>
      <c r="B13" s="13"/>
      <c r="C13" s="14"/>
    </row>
    <row r="14" spans="1:3" ht="18" customHeight="1" x14ac:dyDescent="0.3">
      <c r="A14" s="13"/>
      <c r="B14" s="13"/>
      <c r="C14" s="14"/>
    </row>
    <row r="15" spans="1:3" ht="18" customHeight="1" x14ac:dyDescent="0.3">
      <c r="A15" s="13"/>
      <c r="B15" s="13"/>
      <c r="C15" s="14"/>
    </row>
    <row r="16" spans="1:3" ht="18" customHeight="1" x14ac:dyDescent="0.3">
      <c r="A16" s="13"/>
      <c r="B16" s="13"/>
      <c r="C16" s="14"/>
    </row>
    <row r="17" spans="1:3" ht="18" customHeight="1" x14ac:dyDescent="0.3">
      <c r="A17" s="13"/>
      <c r="B17" s="13"/>
      <c r="C17" s="14"/>
    </row>
    <row r="18" spans="1:3" ht="14.25" customHeight="1" x14ac:dyDescent="0.3">
      <c r="A18" s="13"/>
      <c r="B18" s="13"/>
      <c r="C18" s="14"/>
    </row>
    <row r="19" spans="1:3" ht="14.25" customHeight="1" x14ac:dyDescent="0.3">
      <c r="A19" s="15"/>
      <c r="B19" s="15"/>
      <c r="C19" s="14"/>
    </row>
    <row r="20" spans="1:3" ht="14.25" customHeight="1" x14ac:dyDescent="0.3">
      <c r="A20" s="15"/>
      <c r="B20" s="15"/>
      <c r="C20" s="14"/>
    </row>
    <row r="21" spans="1:3" ht="14.25" customHeight="1" x14ac:dyDescent="0.3">
      <c r="A21" s="15"/>
      <c r="B21" s="15"/>
      <c r="C21" s="14"/>
    </row>
    <row r="22" spans="1:3" ht="14.25" customHeight="1" x14ac:dyDescent="0.3">
      <c r="A22" s="15"/>
      <c r="B22" s="15"/>
      <c r="C22" s="14"/>
    </row>
    <row r="23" spans="1:3" ht="14.25" customHeight="1" x14ac:dyDescent="0.3">
      <c r="A23" s="15"/>
      <c r="B23" s="15"/>
      <c r="C23" s="14"/>
    </row>
    <row r="24" spans="1:3" ht="14.25" customHeight="1" x14ac:dyDescent="0.3">
      <c r="A24" s="15"/>
      <c r="B24" s="15"/>
      <c r="C24" s="14"/>
    </row>
    <row r="25" spans="1:3" ht="14.25" customHeight="1" x14ac:dyDescent="0.3">
      <c r="A25" s="15"/>
      <c r="B25" s="15"/>
      <c r="C25" s="14"/>
    </row>
    <row r="26" spans="1:3" ht="14.25" customHeight="1" x14ac:dyDescent="0.3">
      <c r="A26" s="15"/>
      <c r="B26" s="15"/>
      <c r="C26" s="14"/>
    </row>
    <row r="27" spans="1:3" ht="14.25" customHeight="1" x14ac:dyDescent="0.3">
      <c r="A27" s="15"/>
      <c r="B27" s="15"/>
      <c r="C27" s="14"/>
    </row>
    <row r="28" spans="1:3" ht="14.25" customHeight="1" x14ac:dyDescent="0.3">
      <c r="A28" s="15"/>
      <c r="B28" s="15"/>
      <c r="C28" s="14"/>
    </row>
    <row r="29" spans="1:3" ht="14.25" customHeight="1" x14ac:dyDescent="0.3">
      <c r="A29" s="15"/>
      <c r="B29" s="15"/>
      <c r="C29" s="14"/>
    </row>
    <row r="30" spans="1:3" ht="14.25" customHeight="1" x14ac:dyDescent="0.3">
      <c r="A30" s="15"/>
      <c r="B30" s="15"/>
      <c r="C30" s="14"/>
    </row>
    <row r="31" spans="1:3" ht="14.25" customHeight="1" x14ac:dyDescent="0.3"/>
    <row r="32" spans="1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conditionalFormatting sqref="B2:B10">
    <cfRule type="expression" dxfId="25" priority="2">
      <formula>B2=""</formula>
    </cfRule>
  </conditionalFormatting>
  <dataValidations count="5">
    <dataValidation type="list" allowBlank="1" showInputMessage="1" promptTitle="Faculty" prompt="Search or type a faculty." sqref="B3" xr:uid="{00000000-0002-0000-0200-000000000000}">
      <formula1>dv_Faculty</formula1>
      <formula2>0</formula2>
    </dataValidation>
    <dataValidation type="list" allowBlank="1" showInputMessage="1" promptTitle="Year" prompt="Select 2026/2027 or type another calendar year." sqref="B5" xr:uid="{00000000-0002-0000-0200-000001000000}">
      <formula1>dv_ConfigYear</formula1>
      <formula2>0</formula2>
    </dataValidation>
    <dataValidation type="list" allowBlank="1" showInputMessage="1" promptTitle="Semester" prompt="Select Fall or Spring, or type a custom value." sqref="B6" xr:uid="{00000000-0002-0000-0200-000002000000}">
      <formula1>dv_ConfigSemester</formula1>
      <formula2>0</formula2>
    </dataValidation>
    <dataValidation type="list" allowBlank="1" showInputMessage="1" promptTitle="Time" prompt="Select a time or type a custom time." sqref="B8:B11" xr:uid="{00000000-0002-0000-0200-000003000000}">
      <formula1>dv_Time</formula1>
      <formula2>0</formula2>
    </dataValidation>
    <dataValidation type="list" allowBlank="1" showInputMessage="1" promptTitle="Department" prompt="Select a full department name for the selected Faculty." sqref="B4" xr:uid="{00000000-0002-0000-0200-000004000000}">
      <formula1>dv_ConfigDepartmentByFaculty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zoomScaleNormal="100" workbookViewId="0">
      <pane ySplit="1" topLeftCell="A2" activePane="bottomLeft" state="frozen"/>
      <selection pane="bottomLeft" activeCell="E10" sqref="E10"/>
    </sheetView>
  </sheetViews>
  <sheetFormatPr defaultColWidth="14.44140625" defaultRowHeight="14.4" x14ac:dyDescent="0.3"/>
  <cols>
    <col min="1" max="1" width="12" customWidth="1"/>
    <col min="2" max="3" width="16" customWidth="1"/>
    <col min="4" max="5" width="18" customWidth="1"/>
    <col min="6" max="26" width="8.5546875" hidden="1" customWidth="1"/>
  </cols>
  <sheetData>
    <row r="1" spans="1:8" ht="14.25" customHeight="1" x14ac:dyDescent="0.3">
      <c r="A1" s="2" t="s">
        <v>139</v>
      </c>
      <c r="B1" s="2" t="s">
        <v>140</v>
      </c>
      <c r="C1" s="2" t="s">
        <v>141</v>
      </c>
      <c r="D1" s="2" t="s">
        <v>142</v>
      </c>
      <c r="E1" s="2" t="s">
        <v>143</v>
      </c>
      <c r="F1" s="2" t="s">
        <v>144</v>
      </c>
      <c r="G1" s="2" t="s">
        <v>145</v>
      </c>
      <c r="H1" s="2" t="s">
        <v>2</v>
      </c>
    </row>
    <row r="2" spans="1:8" ht="14.25" customHeight="1" x14ac:dyDescent="0.3">
      <c r="A2" s="7" t="s">
        <v>77</v>
      </c>
      <c r="B2" s="7">
        <v>1</v>
      </c>
      <c r="C2" s="7">
        <v>1</v>
      </c>
      <c r="D2" s="7" t="s">
        <v>78</v>
      </c>
      <c r="E2" s="7" t="s">
        <v>82</v>
      </c>
      <c r="F2" s="9" t="str">
        <f>IFERROR(INDEX($A$2:$A$1000,MATCH(ROWS($F$2:F2),$G$2:$G$1000,0)),"")</f>
        <v>1-1</v>
      </c>
      <c r="G2" s="9">
        <f>IF($E2="Yes",COUNTIF($E$2:$E2,"Yes"),"")</f>
        <v>1</v>
      </c>
      <c r="H2" s="3" t="str">
        <f t="shared" ref="H2:H65" si="0">IF(COUNTA(A2:E2)=0,"",IF(COUNTIF($A$2:$A$1000,A2)&gt;1,"DUPLICATE YEAR_SEM",IF(OR(B2&lt;1,B2&gt;4,C2&lt;1,C2&gt;2),"INVALID YEAR/SEMESTER","OK")))</f>
        <v>OK</v>
      </c>
    </row>
    <row r="3" spans="1:8" ht="14.25" customHeight="1" x14ac:dyDescent="0.3">
      <c r="A3" s="7" t="s">
        <v>78</v>
      </c>
      <c r="B3" s="7">
        <v>1</v>
      </c>
      <c r="C3" s="7">
        <v>2</v>
      </c>
      <c r="D3" s="7" t="s">
        <v>78</v>
      </c>
      <c r="E3" s="7" t="s">
        <v>97</v>
      </c>
      <c r="F3" s="9" t="str">
        <f>IFERROR(INDEX($A$2:$A$1000,MATCH(ROWS($F$2:F3),$G$2:$G$1000,0)),"")</f>
        <v>2-1</v>
      </c>
      <c r="G3" s="9" t="str">
        <f>IF($E3="Yes",COUNTIF($E$2:$E3,"Yes"),"")</f>
        <v/>
      </c>
      <c r="H3" s="3" t="str">
        <f t="shared" si="0"/>
        <v>OK</v>
      </c>
    </row>
    <row r="4" spans="1:8" ht="14.25" customHeight="1" x14ac:dyDescent="0.3">
      <c r="A4" s="7" t="s">
        <v>107</v>
      </c>
      <c r="B4" s="7">
        <v>2</v>
      </c>
      <c r="C4" s="7">
        <v>1</v>
      </c>
      <c r="D4" s="7" t="s">
        <v>78</v>
      </c>
      <c r="E4" s="7" t="s">
        <v>82</v>
      </c>
      <c r="F4" s="9" t="str">
        <f>IFERROR(INDEX($A$2:$A$1000,MATCH(ROWS($F$2:F4),$G$2:$G$1000,0)),"")</f>
        <v>2-2</v>
      </c>
      <c r="G4" s="9">
        <f>IF($E4="Yes",COUNTIF($E$2:$E4,"Yes"),"")</f>
        <v>2</v>
      </c>
      <c r="H4" s="3" t="str">
        <f t="shared" si="0"/>
        <v>OK</v>
      </c>
    </row>
    <row r="5" spans="1:8" ht="14.25" customHeight="1" x14ac:dyDescent="0.3">
      <c r="A5" s="7" t="s">
        <v>117</v>
      </c>
      <c r="B5" s="7">
        <v>2</v>
      </c>
      <c r="C5" s="7">
        <v>2</v>
      </c>
      <c r="D5" s="7" t="s">
        <v>78</v>
      </c>
      <c r="E5" s="7" t="s">
        <v>82</v>
      </c>
      <c r="F5" s="9" t="str">
        <f>IFERROR(INDEX($A$2:$A$1000,MATCH(ROWS($F$2:F5),$G$2:$G$1000,0)),"")</f>
        <v>3-2</v>
      </c>
      <c r="G5" s="9">
        <f>IF($E5="Yes",COUNTIF($E$2:$E5,"Yes"),"")</f>
        <v>3</v>
      </c>
      <c r="H5" s="3" t="str">
        <f t="shared" si="0"/>
        <v>OK</v>
      </c>
    </row>
    <row r="6" spans="1:8" ht="14.25" customHeight="1" x14ac:dyDescent="0.3">
      <c r="A6" s="7" t="s">
        <v>124</v>
      </c>
      <c r="B6" s="7">
        <v>3</v>
      </c>
      <c r="C6" s="7">
        <v>1</v>
      </c>
      <c r="D6" s="7" t="s">
        <v>93</v>
      </c>
      <c r="E6" s="7" t="s">
        <v>97</v>
      </c>
      <c r="F6" s="9" t="str">
        <f>IFERROR(INDEX($A$2:$A$1000,MATCH(ROWS($F$2:F6),$G$2:$G$1000,0)),"")</f>
        <v>4-1</v>
      </c>
      <c r="G6" s="9" t="str">
        <f>IF($E6="Yes",COUNTIF($E$2:$E6,"Yes"),"")</f>
        <v/>
      </c>
      <c r="H6" s="3" t="str">
        <f t="shared" si="0"/>
        <v>OK</v>
      </c>
    </row>
    <row r="7" spans="1:8" ht="14.25" customHeight="1" x14ac:dyDescent="0.3">
      <c r="A7" s="7" t="s">
        <v>131</v>
      </c>
      <c r="B7" s="7">
        <v>3</v>
      </c>
      <c r="C7" s="7">
        <v>2</v>
      </c>
      <c r="D7" s="7" t="s">
        <v>93</v>
      </c>
      <c r="E7" s="7" t="s">
        <v>82</v>
      </c>
      <c r="F7" s="9" t="str">
        <f>IFERROR(INDEX($A$2:$A$1000,MATCH(ROWS($F$2:F7),$G$2:$G$1000,0)),"")</f>
        <v/>
      </c>
      <c r="G7" s="9">
        <f>IF($E7="Yes",COUNTIF($E$2:$E7,"Yes"),"")</f>
        <v>4</v>
      </c>
      <c r="H7" s="3" t="str">
        <f t="shared" si="0"/>
        <v>OK</v>
      </c>
    </row>
    <row r="8" spans="1:8" ht="14.25" customHeight="1" x14ac:dyDescent="0.3">
      <c r="A8" s="7" t="s">
        <v>135</v>
      </c>
      <c r="B8" s="7">
        <v>4</v>
      </c>
      <c r="C8" s="7">
        <v>1</v>
      </c>
      <c r="D8" s="7" t="s">
        <v>93</v>
      </c>
      <c r="E8" s="7" t="s">
        <v>82</v>
      </c>
      <c r="F8" s="9" t="str">
        <f>IFERROR(INDEX($A$2:$A$1000,MATCH(ROWS($F$2:F8),$G$2:$G$1000,0)),"")</f>
        <v/>
      </c>
      <c r="G8" s="9">
        <f>IF($E8="Yes",COUNTIF($E$2:$E8,"Yes"),"")</f>
        <v>5</v>
      </c>
      <c r="H8" s="3" t="str">
        <f t="shared" si="0"/>
        <v>OK</v>
      </c>
    </row>
    <row r="9" spans="1:8" ht="14.25" customHeight="1" x14ac:dyDescent="0.3">
      <c r="A9" s="7" t="s">
        <v>137</v>
      </c>
      <c r="B9" s="7">
        <v>4</v>
      </c>
      <c r="C9" s="7">
        <v>2</v>
      </c>
      <c r="D9" s="7" t="s">
        <v>93</v>
      </c>
      <c r="E9" s="7" t="s">
        <v>97</v>
      </c>
      <c r="F9" s="9" t="str">
        <f>IFERROR(INDEX($A$2:$A$1000,MATCH(ROWS($F$2:F9),$G$2:$G$1000,0)),"")</f>
        <v/>
      </c>
      <c r="G9" s="9" t="str">
        <f>IF($E9="Yes",COUNTIF($E$2:$E9,"Yes"),"")</f>
        <v/>
      </c>
      <c r="H9" s="3" t="str">
        <f t="shared" si="0"/>
        <v>OK</v>
      </c>
    </row>
    <row r="10" spans="1:8" ht="14.25" customHeight="1" x14ac:dyDescent="0.3">
      <c r="A10" s="7"/>
      <c r="B10" s="7"/>
      <c r="C10" s="7"/>
      <c r="D10" s="7"/>
      <c r="E10" s="7"/>
      <c r="F10" s="9" t="str">
        <f>IFERROR(INDEX($A$2:$A$1000,MATCH(ROWS($F$2:F10),$G$2:$G$1000,0)),"")</f>
        <v/>
      </c>
      <c r="G10" s="9" t="str">
        <f>IF($E10="Yes",COUNTIF($E$2:$E10,"Yes"),"")</f>
        <v/>
      </c>
      <c r="H10" s="3" t="str">
        <f t="shared" si="0"/>
        <v/>
      </c>
    </row>
    <row r="11" spans="1:8" ht="14.25" customHeight="1" x14ac:dyDescent="0.3">
      <c r="A11" s="7"/>
      <c r="B11" s="7"/>
      <c r="C11" s="7"/>
      <c r="D11" s="7"/>
      <c r="E11" s="7"/>
      <c r="F11" s="9" t="str">
        <f>IFERROR(INDEX($A$2:$A$1000,MATCH(ROWS($F$2:F11),$G$2:$G$1000,0)),"")</f>
        <v/>
      </c>
      <c r="G11" s="9" t="str">
        <f>IF($E11="Yes",COUNTIF($E$2:$E11,"Yes"),"")</f>
        <v/>
      </c>
      <c r="H11" s="3" t="str">
        <f t="shared" si="0"/>
        <v/>
      </c>
    </row>
    <row r="12" spans="1:8" ht="14.25" customHeight="1" x14ac:dyDescent="0.3">
      <c r="A12" s="7"/>
      <c r="B12" s="7"/>
      <c r="C12" s="7"/>
      <c r="D12" s="7"/>
      <c r="E12" s="7"/>
      <c r="F12" s="9" t="str">
        <f>IFERROR(INDEX($A$2:$A$1000,MATCH(ROWS($F$2:F12),$G$2:$G$1000,0)),"")</f>
        <v/>
      </c>
      <c r="G12" s="9" t="str">
        <f>IF($E12="Yes",COUNTIF($E$2:$E12,"Yes"),"")</f>
        <v/>
      </c>
      <c r="H12" s="3" t="str">
        <f t="shared" si="0"/>
        <v/>
      </c>
    </row>
    <row r="13" spans="1:8" ht="14.25" customHeight="1" x14ac:dyDescent="0.3">
      <c r="A13" s="7"/>
      <c r="B13" s="7"/>
      <c r="C13" s="7"/>
      <c r="D13" s="7"/>
      <c r="E13" s="7"/>
      <c r="F13" s="9" t="str">
        <f>IFERROR(INDEX($A$2:$A$1000,MATCH(ROWS($F$2:F13),$G$2:$G$1000,0)),"")</f>
        <v/>
      </c>
      <c r="G13" s="9" t="str">
        <f>IF($E13="Yes",COUNTIF($E$2:$E13,"Yes"),"")</f>
        <v/>
      </c>
      <c r="H13" s="3" t="str">
        <f t="shared" si="0"/>
        <v/>
      </c>
    </row>
    <row r="14" spans="1:8" ht="14.25" customHeight="1" x14ac:dyDescent="0.3">
      <c r="A14" s="7"/>
      <c r="B14" s="7"/>
      <c r="C14" s="7"/>
      <c r="D14" s="7"/>
      <c r="E14" s="7"/>
      <c r="F14" s="9" t="str">
        <f>IFERROR(INDEX($A$2:$A$1000,MATCH(ROWS($F$2:F14),$G$2:$G$1000,0)),"")</f>
        <v/>
      </c>
      <c r="G14" s="9" t="str">
        <f>IF($E14="Yes",COUNTIF($E$2:$E14,"Yes"),"")</f>
        <v/>
      </c>
      <c r="H14" s="3" t="str">
        <f t="shared" si="0"/>
        <v/>
      </c>
    </row>
    <row r="15" spans="1:8" ht="14.25" customHeight="1" x14ac:dyDescent="0.3">
      <c r="A15" s="7"/>
      <c r="B15" s="7"/>
      <c r="C15" s="7"/>
      <c r="D15" s="7"/>
      <c r="E15" s="7"/>
      <c r="F15" s="9" t="str">
        <f>IFERROR(INDEX($A$2:$A$1000,MATCH(ROWS($F$2:F15),$G$2:$G$1000,0)),"")</f>
        <v/>
      </c>
      <c r="G15" s="9" t="str">
        <f>IF($E15="Yes",COUNTIF($E$2:$E15,"Yes"),"")</f>
        <v/>
      </c>
      <c r="H15" s="3" t="str">
        <f t="shared" si="0"/>
        <v/>
      </c>
    </row>
    <row r="16" spans="1:8" ht="14.25" customHeight="1" x14ac:dyDescent="0.3">
      <c r="A16" s="7"/>
      <c r="B16" s="7"/>
      <c r="C16" s="7"/>
      <c r="D16" s="7"/>
      <c r="E16" s="7"/>
      <c r="F16" s="9" t="str">
        <f>IFERROR(INDEX($A$2:$A$1000,MATCH(ROWS($F$2:F16),$G$2:$G$1000,0)),"")</f>
        <v/>
      </c>
      <c r="G16" s="9" t="str">
        <f>IF($E16="Yes",COUNTIF($E$2:$E16,"Yes"),"")</f>
        <v/>
      </c>
      <c r="H16" s="3" t="str">
        <f t="shared" si="0"/>
        <v/>
      </c>
    </row>
    <row r="17" spans="1:8" ht="14.25" customHeight="1" x14ac:dyDescent="0.3">
      <c r="A17" s="7"/>
      <c r="B17" s="7"/>
      <c r="C17" s="7"/>
      <c r="D17" s="7"/>
      <c r="E17" s="7"/>
      <c r="F17" s="9" t="str">
        <f>IFERROR(INDEX($A$2:$A$1000,MATCH(ROWS($F$2:F17),$G$2:$G$1000,0)),"")</f>
        <v/>
      </c>
      <c r="G17" s="9" t="str">
        <f>IF($E17="Yes",COUNTIF($E$2:$E17,"Yes"),"")</f>
        <v/>
      </c>
      <c r="H17" s="3" t="str">
        <f t="shared" si="0"/>
        <v/>
      </c>
    </row>
    <row r="18" spans="1:8" ht="14.25" customHeight="1" x14ac:dyDescent="0.3">
      <c r="A18" s="7"/>
      <c r="B18" s="7"/>
      <c r="C18" s="7"/>
      <c r="D18" s="7"/>
      <c r="E18" s="7"/>
      <c r="F18" s="9" t="str">
        <f>IFERROR(INDEX($A$2:$A$1000,MATCH(ROWS($F$2:F18),$G$2:$G$1000,0)),"")</f>
        <v/>
      </c>
      <c r="G18" s="9" t="str">
        <f>IF($E18="Yes",COUNTIF($E$2:$E18,"Yes"),"")</f>
        <v/>
      </c>
      <c r="H18" s="3" t="str">
        <f t="shared" si="0"/>
        <v/>
      </c>
    </row>
    <row r="19" spans="1:8" ht="14.25" customHeight="1" x14ac:dyDescent="0.3">
      <c r="A19" s="7"/>
      <c r="B19" s="7"/>
      <c r="C19" s="7"/>
      <c r="D19" s="7"/>
      <c r="E19" s="7"/>
      <c r="F19" s="9" t="str">
        <f>IFERROR(INDEX($A$2:$A$1000,MATCH(ROWS($F$2:F19),$G$2:$G$1000,0)),"")</f>
        <v/>
      </c>
      <c r="G19" s="9" t="str">
        <f>IF($E19="Yes",COUNTIF($E$2:$E19,"Yes"),"")</f>
        <v/>
      </c>
      <c r="H19" s="3" t="str">
        <f t="shared" si="0"/>
        <v/>
      </c>
    </row>
    <row r="20" spans="1:8" ht="14.25" customHeight="1" x14ac:dyDescent="0.3">
      <c r="A20" s="7"/>
      <c r="B20" s="7"/>
      <c r="C20" s="7"/>
      <c r="D20" s="7"/>
      <c r="E20" s="7"/>
      <c r="F20" s="9" t="str">
        <f>IFERROR(INDEX($A$2:$A$1000,MATCH(ROWS($F$2:F20),$G$2:$G$1000,0)),"")</f>
        <v/>
      </c>
      <c r="G20" s="9" t="str">
        <f>IF($E20="Yes",COUNTIF($E$2:$E20,"Yes"),"")</f>
        <v/>
      </c>
      <c r="H20" s="3" t="str">
        <f t="shared" si="0"/>
        <v/>
      </c>
    </row>
    <row r="21" spans="1:8" ht="14.25" customHeight="1" x14ac:dyDescent="0.3">
      <c r="A21" s="7"/>
      <c r="B21" s="7"/>
      <c r="C21" s="7"/>
      <c r="D21" s="7"/>
      <c r="E21" s="7"/>
      <c r="F21" s="9" t="str">
        <f>IFERROR(INDEX($A$2:$A$1000,MATCH(ROWS($F$2:F21),$G$2:$G$1000,0)),"")</f>
        <v/>
      </c>
      <c r="G21" s="9" t="str">
        <f>IF($E21="Yes",COUNTIF($E$2:$E21,"Yes"),"")</f>
        <v/>
      </c>
      <c r="H21" s="3" t="str">
        <f t="shared" si="0"/>
        <v/>
      </c>
    </row>
    <row r="22" spans="1:8" ht="14.25" customHeight="1" x14ac:dyDescent="0.3">
      <c r="A22" s="7"/>
      <c r="B22" s="7"/>
      <c r="C22" s="7"/>
      <c r="D22" s="7"/>
      <c r="E22" s="7"/>
      <c r="F22" s="9" t="str">
        <f>IFERROR(INDEX($A$2:$A$1000,MATCH(ROWS($F$2:F22),$G$2:$G$1000,0)),"")</f>
        <v/>
      </c>
      <c r="G22" s="9" t="str">
        <f>IF($E22="Yes",COUNTIF($E$2:$E22,"Yes"),"")</f>
        <v/>
      </c>
      <c r="H22" s="3" t="str">
        <f t="shared" si="0"/>
        <v/>
      </c>
    </row>
    <row r="23" spans="1:8" ht="14.25" customHeight="1" x14ac:dyDescent="0.3">
      <c r="A23" s="7"/>
      <c r="B23" s="7"/>
      <c r="C23" s="7"/>
      <c r="D23" s="7"/>
      <c r="E23" s="7"/>
      <c r="F23" s="9" t="str">
        <f>IFERROR(INDEX($A$2:$A$1000,MATCH(ROWS($F$2:F23),$G$2:$G$1000,0)),"")</f>
        <v/>
      </c>
      <c r="G23" s="9" t="str">
        <f>IF($E23="Yes",COUNTIF($E$2:$E23,"Yes"),"")</f>
        <v/>
      </c>
      <c r="H23" s="3" t="str">
        <f t="shared" si="0"/>
        <v/>
      </c>
    </row>
    <row r="24" spans="1:8" ht="14.25" customHeight="1" x14ac:dyDescent="0.3">
      <c r="A24" s="7"/>
      <c r="B24" s="7"/>
      <c r="C24" s="7"/>
      <c r="D24" s="7"/>
      <c r="E24" s="7"/>
      <c r="F24" s="9" t="str">
        <f>IFERROR(INDEX($A$2:$A$1000,MATCH(ROWS($F$2:F24),$G$2:$G$1000,0)),"")</f>
        <v/>
      </c>
      <c r="G24" s="9" t="str">
        <f>IF($E24="Yes",COUNTIF($E$2:$E24,"Yes"),"")</f>
        <v/>
      </c>
      <c r="H24" s="3" t="str">
        <f t="shared" si="0"/>
        <v/>
      </c>
    </row>
    <row r="25" spans="1:8" ht="14.25" customHeight="1" x14ac:dyDescent="0.3">
      <c r="A25" s="7"/>
      <c r="B25" s="7"/>
      <c r="C25" s="7"/>
      <c r="D25" s="7"/>
      <c r="E25" s="7"/>
      <c r="F25" s="9" t="str">
        <f>IFERROR(INDEX($A$2:$A$1000,MATCH(ROWS($F$2:F25),$G$2:$G$1000,0)),"")</f>
        <v/>
      </c>
      <c r="G25" s="9" t="str">
        <f>IF($E25="Yes",COUNTIF($E$2:$E25,"Yes"),"")</f>
        <v/>
      </c>
      <c r="H25" s="3" t="str">
        <f t="shared" si="0"/>
        <v/>
      </c>
    </row>
    <row r="26" spans="1:8" ht="14.25" customHeight="1" x14ac:dyDescent="0.3">
      <c r="A26" s="7"/>
      <c r="B26" s="7"/>
      <c r="C26" s="7"/>
      <c r="D26" s="7"/>
      <c r="E26" s="7"/>
      <c r="F26" s="9" t="str">
        <f>IFERROR(INDEX($A$2:$A$1000,MATCH(ROWS($F$2:F26),$G$2:$G$1000,0)),"")</f>
        <v/>
      </c>
      <c r="G26" s="9" t="str">
        <f>IF($E26="Yes",COUNTIF($E$2:$E26,"Yes"),"")</f>
        <v/>
      </c>
      <c r="H26" s="3" t="str">
        <f t="shared" si="0"/>
        <v/>
      </c>
    </row>
    <row r="27" spans="1:8" ht="14.25" customHeight="1" x14ac:dyDescent="0.3">
      <c r="A27" s="7"/>
      <c r="B27" s="7"/>
      <c r="C27" s="7"/>
      <c r="D27" s="7"/>
      <c r="E27" s="7"/>
      <c r="F27" s="9" t="str">
        <f>IFERROR(INDEX($A$2:$A$1000,MATCH(ROWS($F$2:F27),$G$2:$G$1000,0)),"")</f>
        <v/>
      </c>
      <c r="G27" s="9" t="str">
        <f>IF($E27="Yes",COUNTIF($E$2:$E27,"Yes"),"")</f>
        <v/>
      </c>
      <c r="H27" s="3" t="str">
        <f t="shared" si="0"/>
        <v/>
      </c>
    </row>
    <row r="28" spans="1:8" ht="14.25" customHeight="1" x14ac:dyDescent="0.3">
      <c r="A28" s="7"/>
      <c r="B28" s="7"/>
      <c r="C28" s="7"/>
      <c r="D28" s="7"/>
      <c r="E28" s="7"/>
      <c r="F28" s="9" t="str">
        <f>IFERROR(INDEX($A$2:$A$1000,MATCH(ROWS($F$2:F28),$G$2:$G$1000,0)),"")</f>
        <v/>
      </c>
      <c r="G28" s="9" t="str">
        <f>IF($E28="Yes",COUNTIF($E$2:$E28,"Yes"),"")</f>
        <v/>
      </c>
      <c r="H28" s="3" t="str">
        <f t="shared" si="0"/>
        <v/>
      </c>
    </row>
    <row r="29" spans="1:8" ht="14.25" customHeight="1" x14ac:dyDescent="0.3">
      <c r="A29" s="7"/>
      <c r="B29" s="7"/>
      <c r="C29" s="7"/>
      <c r="D29" s="7"/>
      <c r="E29" s="7"/>
      <c r="F29" s="9" t="str">
        <f>IFERROR(INDEX($A$2:$A$1000,MATCH(ROWS($F$2:F29),$G$2:$G$1000,0)),"")</f>
        <v/>
      </c>
      <c r="G29" s="9" t="str">
        <f>IF($E29="Yes",COUNTIF($E$2:$E29,"Yes"),"")</f>
        <v/>
      </c>
      <c r="H29" s="3" t="str">
        <f t="shared" si="0"/>
        <v/>
      </c>
    </row>
    <row r="30" spans="1:8" ht="14.25" customHeight="1" x14ac:dyDescent="0.3">
      <c r="A30" s="7"/>
      <c r="B30" s="7"/>
      <c r="C30" s="7"/>
      <c r="D30" s="7"/>
      <c r="E30" s="7"/>
      <c r="F30" s="9" t="str">
        <f>IFERROR(INDEX($A$2:$A$1000,MATCH(ROWS($F$2:F30),$G$2:$G$1000,0)),"")</f>
        <v/>
      </c>
      <c r="G30" s="9" t="str">
        <f>IF($E30="Yes",COUNTIF($E$2:$E30,"Yes"),"")</f>
        <v/>
      </c>
      <c r="H30" s="3" t="str">
        <f t="shared" si="0"/>
        <v/>
      </c>
    </row>
    <row r="31" spans="1:8" ht="14.25" customHeight="1" x14ac:dyDescent="0.3">
      <c r="A31" s="7"/>
      <c r="B31" s="7"/>
      <c r="C31" s="7"/>
      <c r="D31" s="7"/>
      <c r="E31" s="7"/>
      <c r="F31" s="9" t="str">
        <f>IFERROR(INDEX($A$2:$A$1000,MATCH(ROWS($F$2:F31),$G$2:$G$1000,0)),"")</f>
        <v/>
      </c>
      <c r="G31" s="9" t="str">
        <f>IF($E31="Yes",COUNTIF($E$2:$E31,"Yes"),"")</f>
        <v/>
      </c>
      <c r="H31" s="3" t="str">
        <f t="shared" si="0"/>
        <v/>
      </c>
    </row>
    <row r="32" spans="1:8" ht="14.25" customHeight="1" x14ac:dyDescent="0.3">
      <c r="A32" s="7"/>
      <c r="B32" s="7"/>
      <c r="C32" s="7"/>
      <c r="D32" s="7"/>
      <c r="E32" s="7"/>
      <c r="F32" s="9" t="str">
        <f>IFERROR(INDEX($A$2:$A$1000,MATCH(ROWS($F$2:F32),$G$2:$G$1000,0)),"")</f>
        <v/>
      </c>
      <c r="G32" s="9" t="str">
        <f>IF($E32="Yes",COUNTIF($E$2:$E32,"Yes"),"")</f>
        <v/>
      </c>
      <c r="H32" s="3" t="str">
        <f t="shared" si="0"/>
        <v/>
      </c>
    </row>
    <row r="33" spans="1:8" ht="14.25" customHeight="1" x14ac:dyDescent="0.3">
      <c r="A33" s="7"/>
      <c r="B33" s="7"/>
      <c r="C33" s="7"/>
      <c r="D33" s="7"/>
      <c r="E33" s="7"/>
      <c r="F33" s="9" t="str">
        <f>IFERROR(INDEX($A$2:$A$1000,MATCH(ROWS($F$2:F33),$G$2:$G$1000,0)),"")</f>
        <v/>
      </c>
      <c r="G33" s="9" t="str">
        <f>IF($E33="Yes",COUNTIF($E$2:$E33,"Yes"),"")</f>
        <v/>
      </c>
      <c r="H33" s="3" t="str">
        <f t="shared" si="0"/>
        <v/>
      </c>
    </row>
    <row r="34" spans="1:8" ht="14.25" customHeight="1" x14ac:dyDescent="0.3">
      <c r="A34" s="7"/>
      <c r="B34" s="7"/>
      <c r="C34" s="7"/>
      <c r="D34" s="7"/>
      <c r="E34" s="7"/>
      <c r="F34" s="9" t="str">
        <f>IFERROR(INDEX($A$2:$A$1000,MATCH(ROWS($F$2:F34),$G$2:$G$1000,0)),"")</f>
        <v/>
      </c>
      <c r="G34" s="9" t="str">
        <f>IF($E34="Yes",COUNTIF($E$2:$E34,"Yes"),"")</f>
        <v/>
      </c>
      <c r="H34" s="3" t="str">
        <f t="shared" si="0"/>
        <v/>
      </c>
    </row>
    <row r="35" spans="1:8" ht="14.25" customHeight="1" x14ac:dyDescent="0.3">
      <c r="A35" s="7"/>
      <c r="B35" s="7"/>
      <c r="C35" s="7"/>
      <c r="D35" s="7"/>
      <c r="E35" s="7"/>
      <c r="F35" s="9" t="str">
        <f>IFERROR(INDEX($A$2:$A$1000,MATCH(ROWS($F$2:F35),$G$2:$G$1000,0)),"")</f>
        <v/>
      </c>
      <c r="G35" s="9" t="str">
        <f>IF($E35="Yes",COUNTIF($E$2:$E35,"Yes"),"")</f>
        <v/>
      </c>
      <c r="H35" s="3" t="str">
        <f t="shared" si="0"/>
        <v/>
      </c>
    </row>
    <row r="36" spans="1:8" ht="14.25" customHeight="1" x14ac:dyDescent="0.3">
      <c r="A36" s="7"/>
      <c r="B36" s="7"/>
      <c r="C36" s="7"/>
      <c r="D36" s="7"/>
      <c r="E36" s="7"/>
      <c r="F36" s="9" t="str">
        <f>IFERROR(INDEX($A$2:$A$1000,MATCH(ROWS($F$2:F36),$G$2:$G$1000,0)),"")</f>
        <v/>
      </c>
      <c r="G36" s="9" t="str">
        <f>IF($E36="Yes",COUNTIF($E$2:$E36,"Yes"),"")</f>
        <v/>
      </c>
      <c r="H36" s="3" t="str">
        <f t="shared" si="0"/>
        <v/>
      </c>
    </row>
    <row r="37" spans="1:8" ht="14.25" customHeight="1" x14ac:dyDescent="0.3">
      <c r="A37" s="7"/>
      <c r="B37" s="7"/>
      <c r="C37" s="7"/>
      <c r="D37" s="7"/>
      <c r="E37" s="7"/>
      <c r="F37" s="9" t="str">
        <f>IFERROR(INDEX($A$2:$A$1000,MATCH(ROWS($F$2:F37),$G$2:$G$1000,0)),"")</f>
        <v/>
      </c>
      <c r="G37" s="9" t="str">
        <f>IF($E37="Yes",COUNTIF($E$2:$E37,"Yes"),"")</f>
        <v/>
      </c>
      <c r="H37" s="3" t="str">
        <f t="shared" si="0"/>
        <v/>
      </c>
    </row>
    <row r="38" spans="1:8" ht="14.25" customHeight="1" x14ac:dyDescent="0.3">
      <c r="A38" s="7"/>
      <c r="B38" s="7"/>
      <c r="C38" s="7"/>
      <c r="D38" s="7"/>
      <c r="E38" s="7"/>
      <c r="F38" s="9" t="str">
        <f>IFERROR(INDEX($A$2:$A$1000,MATCH(ROWS($F$2:F38),$G$2:$G$1000,0)),"")</f>
        <v/>
      </c>
      <c r="G38" s="9" t="str">
        <f>IF($E38="Yes",COUNTIF($E$2:$E38,"Yes"),"")</f>
        <v/>
      </c>
      <c r="H38" s="3" t="str">
        <f t="shared" si="0"/>
        <v/>
      </c>
    </row>
    <row r="39" spans="1:8" ht="14.25" customHeight="1" x14ac:dyDescent="0.3">
      <c r="A39" s="7"/>
      <c r="B39" s="7"/>
      <c r="C39" s="7"/>
      <c r="D39" s="7"/>
      <c r="E39" s="7"/>
      <c r="F39" s="9" t="str">
        <f>IFERROR(INDEX($A$2:$A$1000,MATCH(ROWS($F$2:F39),$G$2:$G$1000,0)),"")</f>
        <v/>
      </c>
      <c r="G39" s="9" t="str">
        <f>IF($E39="Yes",COUNTIF($E$2:$E39,"Yes"),"")</f>
        <v/>
      </c>
      <c r="H39" s="3" t="str">
        <f t="shared" si="0"/>
        <v/>
      </c>
    </row>
    <row r="40" spans="1:8" ht="14.25" customHeight="1" x14ac:dyDescent="0.3">
      <c r="A40" s="7"/>
      <c r="B40" s="7"/>
      <c r="C40" s="7"/>
      <c r="D40" s="7"/>
      <c r="E40" s="7"/>
      <c r="F40" s="9" t="str">
        <f>IFERROR(INDEX($A$2:$A$1000,MATCH(ROWS($F$2:F40),$G$2:$G$1000,0)),"")</f>
        <v/>
      </c>
      <c r="G40" s="9" t="str">
        <f>IF($E40="Yes",COUNTIF($E$2:$E40,"Yes"),"")</f>
        <v/>
      </c>
      <c r="H40" s="3" t="str">
        <f t="shared" si="0"/>
        <v/>
      </c>
    </row>
    <row r="41" spans="1:8" ht="14.25" customHeight="1" x14ac:dyDescent="0.3">
      <c r="A41" s="7"/>
      <c r="B41" s="7"/>
      <c r="C41" s="7"/>
      <c r="D41" s="7"/>
      <c r="E41" s="7"/>
      <c r="F41" s="9" t="str">
        <f>IFERROR(INDEX($A$2:$A$1000,MATCH(ROWS($F$2:F41),$G$2:$G$1000,0)),"")</f>
        <v/>
      </c>
      <c r="G41" s="9" t="str">
        <f>IF($E41="Yes",COUNTIF($E$2:$E41,"Yes"),"")</f>
        <v/>
      </c>
      <c r="H41" s="3" t="str">
        <f t="shared" si="0"/>
        <v/>
      </c>
    </row>
    <row r="42" spans="1:8" ht="14.25" customHeight="1" x14ac:dyDescent="0.3">
      <c r="A42" s="7"/>
      <c r="B42" s="7"/>
      <c r="C42" s="7"/>
      <c r="D42" s="7"/>
      <c r="E42" s="7"/>
      <c r="F42" s="9" t="str">
        <f>IFERROR(INDEX($A$2:$A$1000,MATCH(ROWS($F$2:F42),$G$2:$G$1000,0)),"")</f>
        <v/>
      </c>
      <c r="G42" s="9" t="str">
        <f>IF($E42="Yes",COUNTIF($E$2:$E42,"Yes"),"")</f>
        <v/>
      </c>
      <c r="H42" s="3" t="str">
        <f t="shared" si="0"/>
        <v/>
      </c>
    </row>
    <row r="43" spans="1:8" ht="14.25" customHeight="1" x14ac:dyDescent="0.3">
      <c r="A43" s="7"/>
      <c r="B43" s="7"/>
      <c r="C43" s="7"/>
      <c r="D43" s="7"/>
      <c r="E43" s="7"/>
      <c r="F43" s="9" t="str">
        <f>IFERROR(INDEX($A$2:$A$1000,MATCH(ROWS($F$2:F43),$G$2:$G$1000,0)),"")</f>
        <v/>
      </c>
      <c r="G43" s="9" t="str">
        <f>IF($E43="Yes",COUNTIF($E$2:$E43,"Yes"),"")</f>
        <v/>
      </c>
      <c r="H43" s="3" t="str">
        <f t="shared" si="0"/>
        <v/>
      </c>
    </row>
    <row r="44" spans="1:8" ht="14.25" customHeight="1" x14ac:dyDescent="0.3">
      <c r="A44" s="7"/>
      <c r="B44" s="7"/>
      <c r="C44" s="7"/>
      <c r="D44" s="7"/>
      <c r="E44" s="7"/>
      <c r="F44" s="9" t="str">
        <f>IFERROR(INDEX($A$2:$A$1000,MATCH(ROWS($F$2:F44),$G$2:$G$1000,0)),"")</f>
        <v/>
      </c>
      <c r="G44" s="9" t="str">
        <f>IF($E44="Yes",COUNTIF($E$2:$E44,"Yes"),"")</f>
        <v/>
      </c>
      <c r="H44" s="3" t="str">
        <f t="shared" si="0"/>
        <v/>
      </c>
    </row>
    <row r="45" spans="1:8" ht="14.25" customHeight="1" x14ac:dyDescent="0.3">
      <c r="A45" s="7"/>
      <c r="B45" s="7"/>
      <c r="C45" s="7"/>
      <c r="D45" s="7"/>
      <c r="E45" s="7"/>
      <c r="F45" s="9" t="str">
        <f>IFERROR(INDEX($A$2:$A$1000,MATCH(ROWS($F$2:F45),$G$2:$G$1000,0)),"")</f>
        <v/>
      </c>
      <c r="G45" s="9" t="str">
        <f>IF($E45="Yes",COUNTIF($E$2:$E45,"Yes"),"")</f>
        <v/>
      </c>
      <c r="H45" s="3" t="str">
        <f t="shared" si="0"/>
        <v/>
      </c>
    </row>
    <row r="46" spans="1:8" ht="14.25" customHeight="1" x14ac:dyDescent="0.3">
      <c r="A46" s="7"/>
      <c r="B46" s="7"/>
      <c r="C46" s="7"/>
      <c r="D46" s="7"/>
      <c r="E46" s="7"/>
      <c r="F46" s="9" t="str">
        <f>IFERROR(INDEX($A$2:$A$1000,MATCH(ROWS($F$2:F46),$G$2:$G$1000,0)),"")</f>
        <v/>
      </c>
      <c r="G46" s="9" t="str">
        <f>IF($E46="Yes",COUNTIF($E$2:$E46,"Yes"),"")</f>
        <v/>
      </c>
      <c r="H46" s="3" t="str">
        <f t="shared" si="0"/>
        <v/>
      </c>
    </row>
    <row r="47" spans="1:8" ht="14.25" customHeight="1" x14ac:dyDescent="0.3">
      <c r="A47" s="7"/>
      <c r="B47" s="7"/>
      <c r="C47" s="7"/>
      <c r="D47" s="7"/>
      <c r="E47" s="7"/>
      <c r="F47" s="9" t="str">
        <f>IFERROR(INDEX($A$2:$A$1000,MATCH(ROWS($F$2:F47),$G$2:$G$1000,0)),"")</f>
        <v/>
      </c>
      <c r="G47" s="9" t="str">
        <f>IF($E47="Yes",COUNTIF($E$2:$E47,"Yes"),"")</f>
        <v/>
      </c>
      <c r="H47" s="3" t="str">
        <f t="shared" si="0"/>
        <v/>
      </c>
    </row>
    <row r="48" spans="1:8" ht="14.25" customHeight="1" x14ac:dyDescent="0.3">
      <c r="A48" s="7"/>
      <c r="B48" s="7"/>
      <c r="C48" s="7"/>
      <c r="D48" s="7"/>
      <c r="E48" s="7"/>
      <c r="F48" s="9" t="str">
        <f>IFERROR(INDEX($A$2:$A$1000,MATCH(ROWS($F$2:F48),$G$2:$G$1000,0)),"")</f>
        <v/>
      </c>
      <c r="G48" s="9" t="str">
        <f>IF($E48="Yes",COUNTIF($E$2:$E48,"Yes"),"")</f>
        <v/>
      </c>
      <c r="H48" s="3" t="str">
        <f t="shared" si="0"/>
        <v/>
      </c>
    </row>
    <row r="49" spans="1:8" ht="14.25" customHeight="1" x14ac:dyDescent="0.3">
      <c r="A49" s="7"/>
      <c r="B49" s="7"/>
      <c r="C49" s="7"/>
      <c r="D49" s="7"/>
      <c r="E49" s="7"/>
      <c r="F49" s="9" t="str">
        <f>IFERROR(INDEX($A$2:$A$1000,MATCH(ROWS($F$2:F49),$G$2:$G$1000,0)),"")</f>
        <v/>
      </c>
      <c r="G49" s="9" t="str">
        <f>IF($E49="Yes",COUNTIF($E$2:$E49,"Yes"),"")</f>
        <v/>
      </c>
      <c r="H49" s="3" t="str">
        <f t="shared" si="0"/>
        <v/>
      </c>
    </row>
    <row r="50" spans="1:8" ht="14.25" customHeight="1" x14ac:dyDescent="0.3">
      <c r="A50" s="7"/>
      <c r="B50" s="7"/>
      <c r="C50" s="7"/>
      <c r="D50" s="7"/>
      <c r="E50" s="7"/>
      <c r="F50" s="9" t="str">
        <f>IFERROR(INDEX($A$2:$A$1000,MATCH(ROWS($F$2:F50),$G$2:$G$1000,0)),"")</f>
        <v/>
      </c>
      <c r="G50" s="9" t="str">
        <f>IF($E50="Yes",COUNTIF($E$2:$E50,"Yes"),"")</f>
        <v/>
      </c>
      <c r="H50" s="3" t="str">
        <f t="shared" si="0"/>
        <v/>
      </c>
    </row>
    <row r="51" spans="1:8" ht="14.25" customHeight="1" x14ac:dyDescent="0.3">
      <c r="A51" s="7"/>
      <c r="B51" s="7"/>
      <c r="C51" s="7"/>
      <c r="D51" s="7"/>
      <c r="E51" s="7"/>
      <c r="F51" s="9" t="str">
        <f>IFERROR(INDEX($A$2:$A$1000,MATCH(ROWS($F$2:F51),$G$2:$G$1000,0)),"")</f>
        <v/>
      </c>
      <c r="G51" s="9" t="str">
        <f>IF($E51="Yes",COUNTIF($E$2:$E51,"Yes"),"")</f>
        <v/>
      </c>
      <c r="H51" s="3" t="str">
        <f t="shared" si="0"/>
        <v/>
      </c>
    </row>
    <row r="52" spans="1:8" ht="14.25" customHeight="1" x14ac:dyDescent="0.3">
      <c r="A52" s="7"/>
      <c r="B52" s="7"/>
      <c r="C52" s="7"/>
      <c r="D52" s="7"/>
      <c r="E52" s="7"/>
      <c r="F52" s="9" t="str">
        <f>IFERROR(INDEX($A$2:$A$1000,MATCH(ROWS($F$2:F52),$G$2:$G$1000,0)),"")</f>
        <v/>
      </c>
      <c r="G52" s="9" t="str">
        <f>IF($E52="Yes",COUNTIF($E$2:$E52,"Yes"),"")</f>
        <v/>
      </c>
      <c r="H52" s="3" t="str">
        <f t="shared" si="0"/>
        <v/>
      </c>
    </row>
    <row r="53" spans="1:8" ht="14.25" customHeight="1" x14ac:dyDescent="0.3">
      <c r="A53" s="7"/>
      <c r="B53" s="7"/>
      <c r="C53" s="7"/>
      <c r="D53" s="7"/>
      <c r="E53" s="7"/>
      <c r="F53" s="9" t="str">
        <f>IFERROR(INDEX($A$2:$A$1000,MATCH(ROWS($F$2:F53),$G$2:$G$1000,0)),"")</f>
        <v/>
      </c>
      <c r="G53" s="9" t="str">
        <f>IF($E53="Yes",COUNTIF($E$2:$E53,"Yes"),"")</f>
        <v/>
      </c>
      <c r="H53" s="3" t="str">
        <f t="shared" si="0"/>
        <v/>
      </c>
    </row>
    <row r="54" spans="1:8" ht="14.25" customHeight="1" x14ac:dyDescent="0.3">
      <c r="A54" s="7"/>
      <c r="B54" s="7"/>
      <c r="C54" s="7"/>
      <c r="D54" s="7"/>
      <c r="E54" s="7"/>
      <c r="F54" s="9" t="str">
        <f>IFERROR(INDEX($A$2:$A$1000,MATCH(ROWS($F$2:F54),$G$2:$G$1000,0)),"")</f>
        <v/>
      </c>
      <c r="G54" s="9" t="str">
        <f>IF($E54="Yes",COUNTIF($E$2:$E54,"Yes"),"")</f>
        <v/>
      </c>
      <c r="H54" s="3" t="str">
        <f t="shared" si="0"/>
        <v/>
      </c>
    </row>
    <row r="55" spans="1:8" ht="14.25" customHeight="1" x14ac:dyDescent="0.3">
      <c r="A55" s="7"/>
      <c r="B55" s="7"/>
      <c r="C55" s="7"/>
      <c r="D55" s="7"/>
      <c r="E55" s="7"/>
      <c r="F55" s="9" t="str">
        <f>IFERROR(INDEX($A$2:$A$1000,MATCH(ROWS($F$2:F55),$G$2:$G$1000,0)),"")</f>
        <v/>
      </c>
      <c r="G55" s="9" t="str">
        <f>IF($E55="Yes",COUNTIF($E$2:$E55,"Yes"),"")</f>
        <v/>
      </c>
      <c r="H55" s="3" t="str">
        <f t="shared" si="0"/>
        <v/>
      </c>
    </row>
    <row r="56" spans="1:8" ht="14.25" customHeight="1" x14ac:dyDescent="0.3">
      <c r="A56" s="7"/>
      <c r="B56" s="7"/>
      <c r="C56" s="7"/>
      <c r="D56" s="7"/>
      <c r="E56" s="7"/>
      <c r="F56" s="9" t="str">
        <f>IFERROR(INDEX($A$2:$A$1000,MATCH(ROWS($F$2:F56),$G$2:$G$1000,0)),"")</f>
        <v/>
      </c>
      <c r="G56" s="9" t="str">
        <f>IF($E56="Yes",COUNTIF($E$2:$E56,"Yes"),"")</f>
        <v/>
      </c>
      <c r="H56" s="3" t="str">
        <f t="shared" si="0"/>
        <v/>
      </c>
    </row>
    <row r="57" spans="1:8" ht="14.25" customHeight="1" x14ac:dyDescent="0.3">
      <c r="A57" s="7"/>
      <c r="B57" s="7"/>
      <c r="C57" s="7"/>
      <c r="D57" s="7"/>
      <c r="E57" s="7"/>
      <c r="F57" s="9" t="str">
        <f>IFERROR(INDEX($A$2:$A$1000,MATCH(ROWS($F$2:F57),$G$2:$G$1000,0)),"")</f>
        <v/>
      </c>
      <c r="G57" s="9" t="str">
        <f>IF($E57="Yes",COUNTIF($E$2:$E57,"Yes"),"")</f>
        <v/>
      </c>
      <c r="H57" s="3" t="str">
        <f t="shared" si="0"/>
        <v/>
      </c>
    </row>
    <row r="58" spans="1:8" ht="14.25" customHeight="1" x14ac:dyDescent="0.3">
      <c r="A58" s="7"/>
      <c r="B58" s="7"/>
      <c r="C58" s="7"/>
      <c r="D58" s="7"/>
      <c r="E58" s="7"/>
      <c r="F58" s="9" t="str">
        <f>IFERROR(INDEX($A$2:$A$1000,MATCH(ROWS($F$2:F58),$G$2:$G$1000,0)),"")</f>
        <v/>
      </c>
      <c r="G58" s="9" t="str">
        <f>IF($E58="Yes",COUNTIF($E$2:$E58,"Yes"),"")</f>
        <v/>
      </c>
      <c r="H58" s="3" t="str">
        <f t="shared" si="0"/>
        <v/>
      </c>
    </row>
    <row r="59" spans="1:8" ht="14.25" customHeight="1" x14ac:dyDescent="0.3">
      <c r="A59" s="7"/>
      <c r="B59" s="7"/>
      <c r="C59" s="7"/>
      <c r="D59" s="7"/>
      <c r="E59" s="7"/>
      <c r="F59" s="9" t="str">
        <f>IFERROR(INDEX($A$2:$A$1000,MATCH(ROWS($F$2:F59),$G$2:$G$1000,0)),"")</f>
        <v/>
      </c>
      <c r="G59" s="9" t="str">
        <f>IF($E59="Yes",COUNTIF($E$2:$E59,"Yes"),"")</f>
        <v/>
      </c>
      <c r="H59" s="3" t="str">
        <f t="shared" si="0"/>
        <v/>
      </c>
    </row>
    <row r="60" spans="1:8" ht="14.25" customHeight="1" x14ac:dyDescent="0.3">
      <c r="A60" s="7"/>
      <c r="B60" s="7"/>
      <c r="C60" s="7"/>
      <c r="D60" s="7"/>
      <c r="E60" s="7"/>
      <c r="F60" s="9" t="str">
        <f>IFERROR(INDEX($A$2:$A$1000,MATCH(ROWS($F$2:F60),$G$2:$G$1000,0)),"")</f>
        <v/>
      </c>
      <c r="G60" s="9" t="str">
        <f>IF($E60="Yes",COUNTIF($E$2:$E60,"Yes"),"")</f>
        <v/>
      </c>
      <c r="H60" s="3" t="str">
        <f t="shared" si="0"/>
        <v/>
      </c>
    </row>
    <row r="61" spans="1:8" ht="14.25" customHeight="1" x14ac:dyDescent="0.3">
      <c r="A61" s="7"/>
      <c r="B61" s="7"/>
      <c r="C61" s="7"/>
      <c r="D61" s="7"/>
      <c r="E61" s="7"/>
      <c r="F61" s="9" t="str">
        <f>IFERROR(INDEX($A$2:$A$1000,MATCH(ROWS($F$2:F61),$G$2:$G$1000,0)),"")</f>
        <v/>
      </c>
      <c r="G61" s="9" t="str">
        <f>IF($E61="Yes",COUNTIF($E$2:$E61,"Yes"),"")</f>
        <v/>
      </c>
      <c r="H61" s="3" t="str">
        <f t="shared" si="0"/>
        <v/>
      </c>
    </row>
    <row r="62" spans="1:8" ht="14.25" customHeight="1" x14ac:dyDescent="0.3">
      <c r="A62" s="7"/>
      <c r="B62" s="7"/>
      <c r="C62" s="7"/>
      <c r="D62" s="7"/>
      <c r="E62" s="7"/>
      <c r="F62" s="9" t="str">
        <f>IFERROR(INDEX($A$2:$A$1000,MATCH(ROWS($F$2:F62),$G$2:$G$1000,0)),"")</f>
        <v/>
      </c>
      <c r="G62" s="9" t="str">
        <f>IF($E62="Yes",COUNTIF($E$2:$E62,"Yes"),"")</f>
        <v/>
      </c>
      <c r="H62" s="3" t="str">
        <f t="shared" si="0"/>
        <v/>
      </c>
    </row>
    <row r="63" spans="1:8" ht="14.25" customHeight="1" x14ac:dyDescent="0.3">
      <c r="A63" s="7"/>
      <c r="B63" s="7"/>
      <c r="C63" s="7"/>
      <c r="D63" s="7"/>
      <c r="E63" s="7"/>
      <c r="F63" s="9" t="str">
        <f>IFERROR(INDEX($A$2:$A$1000,MATCH(ROWS($F$2:F63),$G$2:$G$1000,0)),"")</f>
        <v/>
      </c>
      <c r="G63" s="9" t="str">
        <f>IF($E63="Yes",COUNTIF($E$2:$E63,"Yes"),"")</f>
        <v/>
      </c>
      <c r="H63" s="3" t="str">
        <f t="shared" si="0"/>
        <v/>
      </c>
    </row>
    <row r="64" spans="1:8" ht="14.25" customHeight="1" x14ac:dyDescent="0.3">
      <c r="A64" s="7"/>
      <c r="B64" s="7"/>
      <c r="C64" s="7"/>
      <c r="D64" s="7"/>
      <c r="E64" s="7"/>
      <c r="F64" s="9" t="str">
        <f>IFERROR(INDEX($A$2:$A$1000,MATCH(ROWS($F$2:F64),$G$2:$G$1000,0)),"")</f>
        <v/>
      </c>
      <c r="G64" s="9" t="str">
        <f>IF($E64="Yes",COUNTIF($E$2:$E64,"Yes"),"")</f>
        <v/>
      </c>
      <c r="H64" s="3" t="str">
        <f t="shared" si="0"/>
        <v/>
      </c>
    </row>
    <row r="65" spans="1:8" ht="14.25" customHeight="1" x14ac:dyDescent="0.3">
      <c r="A65" s="7"/>
      <c r="B65" s="7"/>
      <c r="C65" s="7"/>
      <c r="D65" s="7"/>
      <c r="E65" s="7"/>
      <c r="F65" s="9" t="str">
        <f>IFERROR(INDEX($A$2:$A$1000,MATCH(ROWS($F$2:F65),$G$2:$G$1000,0)),"")</f>
        <v/>
      </c>
      <c r="G65" s="9" t="str">
        <f>IF($E65="Yes",COUNTIF($E$2:$E65,"Yes"),"")</f>
        <v/>
      </c>
      <c r="H65" s="3" t="str">
        <f t="shared" si="0"/>
        <v/>
      </c>
    </row>
    <row r="66" spans="1:8" ht="14.25" customHeight="1" x14ac:dyDescent="0.3">
      <c r="A66" s="7"/>
      <c r="B66" s="7"/>
      <c r="C66" s="7"/>
      <c r="D66" s="7"/>
      <c r="E66" s="7"/>
      <c r="F66" s="9" t="str">
        <f>IFERROR(INDEX($A$2:$A$1000,MATCH(ROWS($F$2:F66),$G$2:$G$1000,0)),"")</f>
        <v/>
      </c>
      <c r="G66" s="9" t="str">
        <f>IF($E66="Yes",COUNTIF($E$2:$E66,"Yes"),"")</f>
        <v/>
      </c>
      <c r="H66" s="3" t="str">
        <f t="shared" ref="H66:H129" si="1">IF(COUNTA(A66:E66)=0,"",IF(COUNTIF($A$2:$A$1000,A66)&gt;1,"DUPLICATE YEAR_SEM",IF(OR(B66&lt;1,B66&gt;4,C66&lt;1,C66&gt;2),"INVALID YEAR/SEMESTER","OK")))</f>
        <v/>
      </c>
    </row>
    <row r="67" spans="1:8" ht="14.25" customHeight="1" x14ac:dyDescent="0.3">
      <c r="A67" s="7"/>
      <c r="B67" s="7"/>
      <c r="C67" s="7"/>
      <c r="D67" s="7"/>
      <c r="E67" s="7"/>
      <c r="F67" s="9" t="str">
        <f>IFERROR(INDEX($A$2:$A$1000,MATCH(ROWS($F$2:F67),$G$2:$G$1000,0)),"")</f>
        <v/>
      </c>
      <c r="G67" s="9" t="str">
        <f>IF($E67="Yes",COUNTIF($E$2:$E67,"Yes"),"")</f>
        <v/>
      </c>
      <c r="H67" s="3" t="str">
        <f t="shared" si="1"/>
        <v/>
      </c>
    </row>
    <row r="68" spans="1:8" ht="14.25" customHeight="1" x14ac:dyDescent="0.3">
      <c r="A68" s="7"/>
      <c r="B68" s="7"/>
      <c r="C68" s="7"/>
      <c r="D68" s="7"/>
      <c r="E68" s="7"/>
      <c r="F68" s="9" t="str">
        <f>IFERROR(INDEX($A$2:$A$1000,MATCH(ROWS($F$2:F68),$G$2:$G$1000,0)),"")</f>
        <v/>
      </c>
      <c r="G68" s="9" t="str">
        <f>IF($E68="Yes",COUNTIF($E$2:$E68,"Yes"),"")</f>
        <v/>
      </c>
      <c r="H68" s="3" t="str">
        <f t="shared" si="1"/>
        <v/>
      </c>
    </row>
    <row r="69" spans="1:8" ht="14.25" customHeight="1" x14ac:dyDescent="0.3">
      <c r="A69" s="7"/>
      <c r="B69" s="7"/>
      <c r="C69" s="7"/>
      <c r="D69" s="7"/>
      <c r="E69" s="7"/>
      <c r="F69" s="9" t="str">
        <f>IFERROR(INDEX($A$2:$A$1000,MATCH(ROWS($F$2:F69),$G$2:$G$1000,0)),"")</f>
        <v/>
      </c>
      <c r="G69" s="9" t="str">
        <f>IF($E69="Yes",COUNTIF($E$2:$E69,"Yes"),"")</f>
        <v/>
      </c>
      <c r="H69" s="3" t="str">
        <f t="shared" si="1"/>
        <v/>
      </c>
    </row>
    <row r="70" spans="1:8" ht="14.25" customHeight="1" x14ac:dyDescent="0.3">
      <c r="A70" s="7"/>
      <c r="B70" s="7"/>
      <c r="C70" s="7"/>
      <c r="D70" s="7"/>
      <c r="E70" s="7"/>
      <c r="F70" s="9" t="str">
        <f>IFERROR(INDEX($A$2:$A$1000,MATCH(ROWS($F$2:F70),$G$2:$G$1000,0)),"")</f>
        <v/>
      </c>
      <c r="G70" s="9" t="str">
        <f>IF($E70="Yes",COUNTIF($E$2:$E70,"Yes"),"")</f>
        <v/>
      </c>
      <c r="H70" s="3" t="str">
        <f t="shared" si="1"/>
        <v/>
      </c>
    </row>
    <row r="71" spans="1:8" ht="14.25" customHeight="1" x14ac:dyDescent="0.3">
      <c r="A71" s="7"/>
      <c r="B71" s="7"/>
      <c r="C71" s="7"/>
      <c r="D71" s="7"/>
      <c r="E71" s="7"/>
      <c r="F71" s="9" t="str">
        <f>IFERROR(INDEX($A$2:$A$1000,MATCH(ROWS($F$2:F71),$G$2:$G$1000,0)),"")</f>
        <v/>
      </c>
      <c r="G71" s="9" t="str">
        <f>IF($E71="Yes",COUNTIF($E$2:$E71,"Yes"),"")</f>
        <v/>
      </c>
      <c r="H71" s="3" t="str">
        <f t="shared" si="1"/>
        <v/>
      </c>
    </row>
    <row r="72" spans="1:8" ht="14.25" customHeight="1" x14ac:dyDescent="0.3">
      <c r="A72" s="7"/>
      <c r="B72" s="7"/>
      <c r="C72" s="7"/>
      <c r="D72" s="7"/>
      <c r="E72" s="7"/>
      <c r="F72" s="9" t="str">
        <f>IFERROR(INDEX($A$2:$A$1000,MATCH(ROWS($F$2:F72),$G$2:$G$1000,0)),"")</f>
        <v/>
      </c>
      <c r="G72" s="9" t="str">
        <f>IF($E72="Yes",COUNTIF($E$2:$E72,"Yes"),"")</f>
        <v/>
      </c>
      <c r="H72" s="3" t="str">
        <f t="shared" si="1"/>
        <v/>
      </c>
    </row>
    <row r="73" spans="1:8" ht="14.25" customHeight="1" x14ac:dyDescent="0.3">
      <c r="A73" s="7"/>
      <c r="B73" s="7"/>
      <c r="C73" s="7"/>
      <c r="D73" s="7"/>
      <c r="E73" s="7"/>
      <c r="F73" s="9" t="str">
        <f>IFERROR(INDEX($A$2:$A$1000,MATCH(ROWS($F$2:F73),$G$2:$G$1000,0)),"")</f>
        <v/>
      </c>
      <c r="G73" s="9" t="str">
        <f>IF($E73="Yes",COUNTIF($E$2:$E73,"Yes"),"")</f>
        <v/>
      </c>
      <c r="H73" s="3" t="str">
        <f t="shared" si="1"/>
        <v/>
      </c>
    </row>
    <row r="74" spans="1:8" ht="14.25" customHeight="1" x14ac:dyDescent="0.3">
      <c r="A74" s="7"/>
      <c r="B74" s="7"/>
      <c r="C74" s="7"/>
      <c r="D74" s="7"/>
      <c r="E74" s="7"/>
      <c r="F74" s="9" t="str">
        <f>IFERROR(INDEX($A$2:$A$1000,MATCH(ROWS($F$2:F74),$G$2:$G$1000,0)),"")</f>
        <v/>
      </c>
      <c r="G74" s="9" t="str">
        <f>IF($E74="Yes",COUNTIF($E$2:$E74,"Yes"),"")</f>
        <v/>
      </c>
      <c r="H74" s="3" t="str">
        <f t="shared" si="1"/>
        <v/>
      </c>
    </row>
    <row r="75" spans="1:8" ht="14.25" customHeight="1" x14ac:dyDescent="0.3">
      <c r="A75" s="7"/>
      <c r="B75" s="7"/>
      <c r="C75" s="7"/>
      <c r="D75" s="7"/>
      <c r="E75" s="7"/>
      <c r="F75" s="9" t="str">
        <f>IFERROR(INDEX($A$2:$A$1000,MATCH(ROWS($F$2:F75),$G$2:$G$1000,0)),"")</f>
        <v/>
      </c>
      <c r="G75" s="9" t="str">
        <f>IF($E75="Yes",COUNTIF($E$2:$E75,"Yes"),"")</f>
        <v/>
      </c>
      <c r="H75" s="3" t="str">
        <f t="shared" si="1"/>
        <v/>
      </c>
    </row>
    <row r="76" spans="1:8" ht="14.25" customHeight="1" x14ac:dyDescent="0.3">
      <c r="A76" s="7"/>
      <c r="B76" s="7"/>
      <c r="C76" s="7"/>
      <c r="D76" s="7"/>
      <c r="E76" s="7"/>
      <c r="F76" s="9" t="str">
        <f>IFERROR(INDEX($A$2:$A$1000,MATCH(ROWS($F$2:F76),$G$2:$G$1000,0)),"")</f>
        <v/>
      </c>
      <c r="G76" s="9" t="str">
        <f>IF($E76="Yes",COUNTIF($E$2:$E76,"Yes"),"")</f>
        <v/>
      </c>
      <c r="H76" s="3" t="str">
        <f t="shared" si="1"/>
        <v/>
      </c>
    </row>
    <row r="77" spans="1:8" ht="14.25" customHeight="1" x14ac:dyDescent="0.3">
      <c r="A77" s="7"/>
      <c r="B77" s="7"/>
      <c r="C77" s="7"/>
      <c r="D77" s="7"/>
      <c r="E77" s="7"/>
      <c r="F77" s="9" t="str">
        <f>IFERROR(INDEX($A$2:$A$1000,MATCH(ROWS($F$2:F77),$G$2:$G$1000,0)),"")</f>
        <v/>
      </c>
      <c r="G77" s="9" t="str">
        <f>IF($E77="Yes",COUNTIF($E$2:$E77,"Yes"),"")</f>
        <v/>
      </c>
      <c r="H77" s="3" t="str">
        <f t="shared" si="1"/>
        <v/>
      </c>
    </row>
    <row r="78" spans="1:8" ht="14.25" customHeight="1" x14ac:dyDescent="0.3">
      <c r="A78" s="7"/>
      <c r="B78" s="7"/>
      <c r="C78" s="7"/>
      <c r="D78" s="7"/>
      <c r="E78" s="7"/>
      <c r="F78" s="9" t="str">
        <f>IFERROR(INDEX($A$2:$A$1000,MATCH(ROWS($F$2:F78),$G$2:$G$1000,0)),"")</f>
        <v/>
      </c>
      <c r="G78" s="9" t="str">
        <f>IF($E78="Yes",COUNTIF($E$2:$E78,"Yes"),"")</f>
        <v/>
      </c>
      <c r="H78" s="3" t="str">
        <f t="shared" si="1"/>
        <v/>
      </c>
    </row>
    <row r="79" spans="1:8" ht="14.25" customHeight="1" x14ac:dyDescent="0.3">
      <c r="A79" s="7"/>
      <c r="B79" s="7"/>
      <c r="C79" s="7"/>
      <c r="D79" s="7"/>
      <c r="E79" s="7"/>
      <c r="F79" s="9" t="str">
        <f>IFERROR(INDEX($A$2:$A$1000,MATCH(ROWS($F$2:F79),$G$2:$G$1000,0)),"")</f>
        <v/>
      </c>
      <c r="G79" s="9" t="str">
        <f>IF($E79="Yes",COUNTIF($E$2:$E79,"Yes"),"")</f>
        <v/>
      </c>
      <c r="H79" s="3" t="str">
        <f t="shared" si="1"/>
        <v/>
      </c>
    </row>
    <row r="80" spans="1:8" ht="14.25" customHeight="1" x14ac:dyDescent="0.3">
      <c r="A80" s="7"/>
      <c r="B80" s="7"/>
      <c r="C80" s="7"/>
      <c r="D80" s="7"/>
      <c r="E80" s="7"/>
      <c r="F80" s="9" t="str">
        <f>IFERROR(INDEX($A$2:$A$1000,MATCH(ROWS($F$2:F80),$G$2:$G$1000,0)),"")</f>
        <v/>
      </c>
      <c r="G80" s="9" t="str">
        <f>IF($E80="Yes",COUNTIF($E$2:$E80,"Yes"),"")</f>
        <v/>
      </c>
      <c r="H80" s="3" t="str">
        <f t="shared" si="1"/>
        <v/>
      </c>
    </row>
    <row r="81" spans="1:8" ht="14.25" customHeight="1" x14ac:dyDescent="0.3">
      <c r="A81" s="7"/>
      <c r="B81" s="7"/>
      <c r="C81" s="7"/>
      <c r="D81" s="7"/>
      <c r="E81" s="7"/>
      <c r="F81" s="9" t="str">
        <f>IFERROR(INDEX($A$2:$A$1000,MATCH(ROWS($F$2:F81),$G$2:$G$1000,0)),"")</f>
        <v/>
      </c>
      <c r="G81" s="9" t="str">
        <f>IF($E81="Yes",COUNTIF($E$2:$E81,"Yes"),"")</f>
        <v/>
      </c>
      <c r="H81" s="3" t="str">
        <f t="shared" si="1"/>
        <v/>
      </c>
    </row>
    <row r="82" spans="1:8" ht="14.25" customHeight="1" x14ac:dyDescent="0.3">
      <c r="A82" s="7"/>
      <c r="B82" s="7"/>
      <c r="C82" s="7"/>
      <c r="D82" s="7"/>
      <c r="E82" s="7"/>
      <c r="F82" s="9" t="str">
        <f>IFERROR(INDEX($A$2:$A$1000,MATCH(ROWS($F$2:F82),$G$2:$G$1000,0)),"")</f>
        <v/>
      </c>
      <c r="G82" s="9" t="str">
        <f>IF($E82="Yes",COUNTIF($E$2:$E82,"Yes"),"")</f>
        <v/>
      </c>
      <c r="H82" s="3" t="str">
        <f t="shared" si="1"/>
        <v/>
      </c>
    </row>
    <row r="83" spans="1:8" ht="14.25" customHeight="1" x14ac:dyDescent="0.3">
      <c r="A83" s="7"/>
      <c r="B83" s="7"/>
      <c r="C83" s="7"/>
      <c r="D83" s="7"/>
      <c r="E83" s="7"/>
      <c r="F83" s="9" t="str">
        <f>IFERROR(INDEX($A$2:$A$1000,MATCH(ROWS($F$2:F83),$G$2:$G$1000,0)),"")</f>
        <v/>
      </c>
      <c r="G83" s="9" t="str">
        <f>IF($E83="Yes",COUNTIF($E$2:$E83,"Yes"),"")</f>
        <v/>
      </c>
      <c r="H83" s="3" t="str">
        <f t="shared" si="1"/>
        <v/>
      </c>
    </row>
    <row r="84" spans="1:8" ht="14.25" customHeight="1" x14ac:dyDescent="0.3">
      <c r="A84" s="7"/>
      <c r="B84" s="7"/>
      <c r="C84" s="7"/>
      <c r="D84" s="7"/>
      <c r="E84" s="7"/>
      <c r="F84" s="9" t="str">
        <f>IFERROR(INDEX($A$2:$A$1000,MATCH(ROWS($F$2:F84),$G$2:$G$1000,0)),"")</f>
        <v/>
      </c>
      <c r="G84" s="9" t="str">
        <f>IF($E84="Yes",COUNTIF($E$2:$E84,"Yes"),"")</f>
        <v/>
      </c>
      <c r="H84" s="3" t="str">
        <f t="shared" si="1"/>
        <v/>
      </c>
    </row>
    <row r="85" spans="1:8" ht="14.25" customHeight="1" x14ac:dyDescent="0.3">
      <c r="A85" s="7"/>
      <c r="B85" s="7"/>
      <c r="C85" s="7"/>
      <c r="D85" s="7"/>
      <c r="E85" s="7"/>
      <c r="F85" s="9" t="str">
        <f>IFERROR(INDEX($A$2:$A$1000,MATCH(ROWS($F$2:F85),$G$2:$G$1000,0)),"")</f>
        <v/>
      </c>
      <c r="G85" s="9" t="str">
        <f>IF($E85="Yes",COUNTIF($E$2:$E85,"Yes"),"")</f>
        <v/>
      </c>
      <c r="H85" s="3" t="str">
        <f t="shared" si="1"/>
        <v/>
      </c>
    </row>
    <row r="86" spans="1:8" ht="14.25" customHeight="1" x14ac:dyDescent="0.3">
      <c r="A86" s="7"/>
      <c r="B86" s="7"/>
      <c r="C86" s="7"/>
      <c r="D86" s="7"/>
      <c r="E86" s="7"/>
      <c r="F86" s="9" t="str">
        <f>IFERROR(INDEX($A$2:$A$1000,MATCH(ROWS($F$2:F86),$G$2:$G$1000,0)),"")</f>
        <v/>
      </c>
      <c r="G86" s="9" t="str">
        <f>IF($E86="Yes",COUNTIF($E$2:$E86,"Yes"),"")</f>
        <v/>
      </c>
      <c r="H86" s="3" t="str">
        <f t="shared" si="1"/>
        <v/>
      </c>
    </row>
    <row r="87" spans="1:8" ht="14.25" customHeight="1" x14ac:dyDescent="0.3">
      <c r="A87" s="7"/>
      <c r="B87" s="7"/>
      <c r="C87" s="7"/>
      <c r="D87" s="7"/>
      <c r="E87" s="7"/>
      <c r="F87" s="9" t="str">
        <f>IFERROR(INDEX($A$2:$A$1000,MATCH(ROWS($F$2:F87),$G$2:$G$1000,0)),"")</f>
        <v/>
      </c>
      <c r="G87" s="9" t="str">
        <f>IF($E87="Yes",COUNTIF($E$2:$E87,"Yes"),"")</f>
        <v/>
      </c>
      <c r="H87" s="3" t="str">
        <f t="shared" si="1"/>
        <v/>
      </c>
    </row>
    <row r="88" spans="1:8" ht="14.25" customHeight="1" x14ac:dyDescent="0.3">
      <c r="A88" s="7"/>
      <c r="B88" s="7"/>
      <c r="C88" s="7"/>
      <c r="D88" s="7"/>
      <c r="E88" s="7"/>
      <c r="F88" s="9" t="str">
        <f>IFERROR(INDEX($A$2:$A$1000,MATCH(ROWS($F$2:F88),$G$2:$G$1000,0)),"")</f>
        <v/>
      </c>
      <c r="G88" s="9" t="str">
        <f>IF($E88="Yes",COUNTIF($E$2:$E88,"Yes"),"")</f>
        <v/>
      </c>
      <c r="H88" s="3" t="str">
        <f t="shared" si="1"/>
        <v/>
      </c>
    </row>
    <row r="89" spans="1:8" ht="14.25" customHeight="1" x14ac:dyDescent="0.3">
      <c r="A89" s="7"/>
      <c r="B89" s="7"/>
      <c r="C89" s="7"/>
      <c r="D89" s="7"/>
      <c r="E89" s="7"/>
      <c r="F89" s="9" t="str">
        <f>IFERROR(INDEX($A$2:$A$1000,MATCH(ROWS($F$2:F89),$G$2:$G$1000,0)),"")</f>
        <v/>
      </c>
      <c r="G89" s="9" t="str">
        <f>IF($E89="Yes",COUNTIF($E$2:$E89,"Yes"),"")</f>
        <v/>
      </c>
      <c r="H89" s="3" t="str">
        <f t="shared" si="1"/>
        <v/>
      </c>
    </row>
    <row r="90" spans="1:8" ht="14.25" customHeight="1" x14ac:dyDescent="0.3">
      <c r="A90" s="7"/>
      <c r="B90" s="7"/>
      <c r="C90" s="7"/>
      <c r="D90" s="7"/>
      <c r="E90" s="7"/>
      <c r="F90" s="9" t="str">
        <f>IFERROR(INDEX($A$2:$A$1000,MATCH(ROWS($F$2:F90),$G$2:$G$1000,0)),"")</f>
        <v/>
      </c>
      <c r="G90" s="9" t="str">
        <f>IF($E90="Yes",COUNTIF($E$2:$E90,"Yes"),"")</f>
        <v/>
      </c>
      <c r="H90" s="3" t="str">
        <f t="shared" si="1"/>
        <v/>
      </c>
    </row>
    <row r="91" spans="1:8" ht="14.25" customHeight="1" x14ac:dyDescent="0.3">
      <c r="A91" s="7"/>
      <c r="B91" s="7"/>
      <c r="C91" s="7"/>
      <c r="D91" s="7"/>
      <c r="E91" s="7"/>
      <c r="F91" s="9" t="str">
        <f>IFERROR(INDEX($A$2:$A$1000,MATCH(ROWS($F$2:F91),$G$2:$G$1000,0)),"")</f>
        <v/>
      </c>
      <c r="G91" s="9" t="str">
        <f>IF($E91="Yes",COUNTIF($E$2:$E91,"Yes"),"")</f>
        <v/>
      </c>
      <c r="H91" s="3" t="str">
        <f t="shared" si="1"/>
        <v/>
      </c>
    </row>
    <row r="92" spans="1:8" ht="14.25" customHeight="1" x14ac:dyDescent="0.3">
      <c r="A92" s="7"/>
      <c r="B92" s="7"/>
      <c r="C92" s="7"/>
      <c r="D92" s="7"/>
      <c r="E92" s="7"/>
      <c r="F92" s="9" t="str">
        <f>IFERROR(INDEX($A$2:$A$1000,MATCH(ROWS($F$2:F92),$G$2:$G$1000,0)),"")</f>
        <v/>
      </c>
      <c r="G92" s="9" t="str">
        <f>IF($E92="Yes",COUNTIF($E$2:$E92,"Yes"),"")</f>
        <v/>
      </c>
      <c r="H92" s="3" t="str">
        <f t="shared" si="1"/>
        <v/>
      </c>
    </row>
    <row r="93" spans="1:8" ht="14.25" customHeight="1" x14ac:dyDescent="0.3">
      <c r="A93" s="7"/>
      <c r="B93" s="7"/>
      <c r="C93" s="7"/>
      <c r="D93" s="7"/>
      <c r="E93" s="7"/>
      <c r="F93" s="9" t="str">
        <f>IFERROR(INDEX($A$2:$A$1000,MATCH(ROWS($F$2:F93),$G$2:$G$1000,0)),"")</f>
        <v/>
      </c>
      <c r="G93" s="9" t="str">
        <f>IF($E93="Yes",COUNTIF($E$2:$E93,"Yes"),"")</f>
        <v/>
      </c>
      <c r="H93" s="3" t="str">
        <f t="shared" si="1"/>
        <v/>
      </c>
    </row>
    <row r="94" spans="1:8" ht="14.25" customHeight="1" x14ac:dyDescent="0.3">
      <c r="A94" s="7"/>
      <c r="B94" s="7"/>
      <c r="C94" s="7"/>
      <c r="D94" s="7"/>
      <c r="E94" s="7"/>
      <c r="F94" s="9" t="str">
        <f>IFERROR(INDEX($A$2:$A$1000,MATCH(ROWS($F$2:F94),$G$2:$G$1000,0)),"")</f>
        <v/>
      </c>
      <c r="G94" s="9" t="str">
        <f>IF($E94="Yes",COUNTIF($E$2:$E94,"Yes"),"")</f>
        <v/>
      </c>
      <c r="H94" s="3" t="str">
        <f t="shared" si="1"/>
        <v/>
      </c>
    </row>
    <row r="95" spans="1:8" ht="14.25" customHeight="1" x14ac:dyDescent="0.3">
      <c r="A95" s="7"/>
      <c r="B95" s="7"/>
      <c r="C95" s="7"/>
      <c r="D95" s="7"/>
      <c r="E95" s="7"/>
      <c r="F95" s="9" t="str">
        <f>IFERROR(INDEX($A$2:$A$1000,MATCH(ROWS($F$2:F95),$G$2:$G$1000,0)),"")</f>
        <v/>
      </c>
      <c r="G95" s="9" t="str">
        <f>IF($E95="Yes",COUNTIF($E$2:$E95,"Yes"),"")</f>
        <v/>
      </c>
      <c r="H95" s="3" t="str">
        <f t="shared" si="1"/>
        <v/>
      </c>
    </row>
    <row r="96" spans="1:8" ht="14.25" customHeight="1" x14ac:dyDescent="0.3">
      <c r="A96" s="7"/>
      <c r="B96" s="7"/>
      <c r="C96" s="7"/>
      <c r="D96" s="7"/>
      <c r="E96" s="7"/>
      <c r="F96" s="9" t="str">
        <f>IFERROR(INDEX($A$2:$A$1000,MATCH(ROWS($F$2:F96),$G$2:$G$1000,0)),"")</f>
        <v/>
      </c>
      <c r="G96" s="9" t="str">
        <f>IF($E96="Yes",COUNTIF($E$2:$E96,"Yes"),"")</f>
        <v/>
      </c>
      <c r="H96" s="3" t="str">
        <f t="shared" si="1"/>
        <v/>
      </c>
    </row>
    <row r="97" spans="1:8" ht="14.25" customHeight="1" x14ac:dyDescent="0.3">
      <c r="A97" s="7"/>
      <c r="B97" s="7"/>
      <c r="C97" s="7"/>
      <c r="D97" s="7"/>
      <c r="E97" s="7"/>
      <c r="F97" s="9" t="str">
        <f>IFERROR(INDEX($A$2:$A$1000,MATCH(ROWS($F$2:F97),$G$2:$G$1000,0)),"")</f>
        <v/>
      </c>
      <c r="G97" s="9" t="str">
        <f>IF($E97="Yes",COUNTIF($E$2:$E97,"Yes"),"")</f>
        <v/>
      </c>
      <c r="H97" s="3" t="str">
        <f t="shared" si="1"/>
        <v/>
      </c>
    </row>
    <row r="98" spans="1:8" ht="14.25" customHeight="1" x14ac:dyDescent="0.3">
      <c r="A98" s="7"/>
      <c r="B98" s="7"/>
      <c r="C98" s="7"/>
      <c r="D98" s="7"/>
      <c r="E98" s="7"/>
      <c r="F98" s="9" t="str">
        <f>IFERROR(INDEX($A$2:$A$1000,MATCH(ROWS($F$2:F98),$G$2:$G$1000,0)),"")</f>
        <v/>
      </c>
      <c r="G98" s="9" t="str">
        <f>IF($E98="Yes",COUNTIF($E$2:$E98,"Yes"),"")</f>
        <v/>
      </c>
      <c r="H98" s="3" t="str">
        <f t="shared" si="1"/>
        <v/>
      </c>
    </row>
    <row r="99" spans="1:8" ht="14.25" customHeight="1" x14ac:dyDescent="0.3">
      <c r="A99" s="7"/>
      <c r="B99" s="7"/>
      <c r="C99" s="7"/>
      <c r="D99" s="7"/>
      <c r="E99" s="7"/>
      <c r="F99" s="9" t="str">
        <f>IFERROR(INDEX($A$2:$A$1000,MATCH(ROWS($F$2:F99),$G$2:$G$1000,0)),"")</f>
        <v/>
      </c>
      <c r="G99" s="9" t="str">
        <f>IF($E99="Yes",COUNTIF($E$2:$E99,"Yes"),"")</f>
        <v/>
      </c>
      <c r="H99" s="3" t="str">
        <f t="shared" si="1"/>
        <v/>
      </c>
    </row>
    <row r="100" spans="1:8" ht="14.25" customHeight="1" x14ac:dyDescent="0.3">
      <c r="A100" s="7"/>
      <c r="B100" s="7"/>
      <c r="C100" s="7"/>
      <c r="D100" s="7"/>
      <c r="E100" s="7"/>
      <c r="F100" s="9" t="str">
        <f>IFERROR(INDEX($A$2:$A$1000,MATCH(ROWS($F$2:F100),$G$2:$G$1000,0)),"")</f>
        <v/>
      </c>
      <c r="G100" s="9" t="str">
        <f>IF($E100="Yes",COUNTIF($E$2:$E100,"Yes"),"")</f>
        <v/>
      </c>
      <c r="H100" s="3" t="str">
        <f t="shared" si="1"/>
        <v/>
      </c>
    </row>
    <row r="101" spans="1:8" ht="14.25" customHeight="1" x14ac:dyDescent="0.3">
      <c r="A101" s="7"/>
      <c r="B101" s="7"/>
      <c r="C101" s="7"/>
      <c r="D101" s="7"/>
      <c r="E101" s="7"/>
      <c r="F101" s="9" t="str">
        <f>IFERROR(INDEX($A$2:$A$1000,MATCH(ROWS($F$2:F101),$G$2:$G$1000,0)),"")</f>
        <v/>
      </c>
      <c r="G101" s="9" t="str">
        <f>IF($E101="Yes",COUNTIF($E$2:$E101,"Yes"),"")</f>
        <v/>
      </c>
      <c r="H101" s="3" t="str">
        <f t="shared" si="1"/>
        <v/>
      </c>
    </row>
    <row r="102" spans="1:8" ht="14.25" customHeight="1" x14ac:dyDescent="0.3">
      <c r="A102" s="7"/>
      <c r="B102" s="7"/>
      <c r="C102" s="7"/>
      <c r="D102" s="7"/>
      <c r="E102" s="7"/>
      <c r="F102" s="9" t="str">
        <f>IFERROR(INDEX($A$2:$A$1000,MATCH(ROWS($F$2:F102),$G$2:$G$1000,0)),"")</f>
        <v/>
      </c>
      <c r="G102" s="9" t="str">
        <f>IF($E102="Yes",COUNTIF($E$2:$E102,"Yes"),"")</f>
        <v/>
      </c>
      <c r="H102" s="3" t="str">
        <f t="shared" si="1"/>
        <v/>
      </c>
    </row>
    <row r="103" spans="1:8" ht="14.25" customHeight="1" x14ac:dyDescent="0.3">
      <c r="A103" s="7"/>
      <c r="B103" s="7"/>
      <c r="C103" s="7"/>
      <c r="D103" s="7"/>
      <c r="E103" s="7"/>
      <c r="F103" s="9" t="str">
        <f>IFERROR(INDEX($A$2:$A$1000,MATCH(ROWS($F$2:F103),$G$2:$G$1000,0)),"")</f>
        <v/>
      </c>
      <c r="G103" s="9" t="str">
        <f>IF($E103="Yes",COUNTIF($E$2:$E103,"Yes"),"")</f>
        <v/>
      </c>
      <c r="H103" s="3" t="str">
        <f t="shared" si="1"/>
        <v/>
      </c>
    </row>
    <row r="104" spans="1:8" ht="14.25" customHeight="1" x14ac:dyDescent="0.3">
      <c r="A104" s="7"/>
      <c r="B104" s="7"/>
      <c r="C104" s="7"/>
      <c r="D104" s="7"/>
      <c r="E104" s="7"/>
      <c r="F104" s="9" t="str">
        <f>IFERROR(INDEX($A$2:$A$1000,MATCH(ROWS($F$2:F104),$G$2:$G$1000,0)),"")</f>
        <v/>
      </c>
      <c r="G104" s="9" t="str">
        <f>IF($E104="Yes",COUNTIF($E$2:$E104,"Yes"),"")</f>
        <v/>
      </c>
      <c r="H104" s="3" t="str">
        <f t="shared" si="1"/>
        <v/>
      </c>
    </row>
    <row r="105" spans="1:8" ht="14.25" customHeight="1" x14ac:dyDescent="0.3">
      <c r="A105" s="7"/>
      <c r="B105" s="7"/>
      <c r="C105" s="7"/>
      <c r="D105" s="7"/>
      <c r="E105" s="7"/>
      <c r="F105" s="9" t="str">
        <f>IFERROR(INDEX($A$2:$A$1000,MATCH(ROWS($F$2:F105),$G$2:$G$1000,0)),"")</f>
        <v/>
      </c>
      <c r="G105" s="9" t="str">
        <f>IF($E105="Yes",COUNTIF($E$2:$E105,"Yes"),"")</f>
        <v/>
      </c>
      <c r="H105" s="3" t="str">
        <f t="shared" si="1"/>
        <v/>
      </c>
    </row>
    <row r="106" spans="1:8" ht="14.25" customHeight="1" x14ac:dyDescent="0.3">
      <c r="A106" s="7"/>
      <c r="B106" s="7"/>
      <c r="C106" s="7"/>
      <c r="D106" s="7"/>
      <c r="E106" s="7"/>
      <c r="F106" s="9" t="str">
        <f>IFERROR(INDEX($A$2:$A$1000,MATCH(ROWS($F$2:F106),$G$2:$G$1000,0)),"")</f>
        <v/>
      </c>
      <c r="G106" s="9" t="str">
        <f>IF($E106="Yes",COUNTIF($E$2:$E106,"Yes"),"")</f>
        <v/>
      </c>
      <c r="H106" s="3" t="str">
        <f t="shared" si="1"/>
        <v/>
      </c>
    </row>
    <row r="107" spans="1:8" ht="14.25" customHeight="1" x14ac:dyDescent="0.3">
      <c r="A107" s="7"/>
      <c r="B107" s="7"/>
      <c r="C107" s="7"/>
      <c r="D107" s="7"/>
      <c r="E107" s="7"/>
      <c r="F107" s="9" t="str">
        <f>IFERROR(INDEX($A$2:$A$1000,MATCH(ROWS($F$2:F107),$G$2:$G$1000,0)),"")</f>
        <v/>
      </c>
      <c r="G107" s="9" t="str">
        <f>IF($E107="Yes",COUNTIF($E$2:$E107,"Yes"),"")</f>
        <v/>
      </c>
      <c r="H107" s="3" t="str">
        <f t="shared" si="1"/>
        <v/>
      </c>
    </row>
    <row r="108" spans="1:8" ht="14.25" customHeight="1" x14ac:dyDescent="0.3">
      <c r="A108" s="7"/>
      <c r="B108" s="7"/>
      <c r="C108" s="7"/>
      <c r="D108" s="7"/>
      <c r="E108" s="7"/>
      <c r="F108" s="9" t="str">
        <f>IFERROR(INDEX($A$2:$A$1000,MATCH(ROWS($F$2:F108),$G$2:$G$1000,0)),"")</f>
        <v/>
      </c>
      <c r="G108" s="9" t="str">
        <f>IF($E108="Yes",COUNTIF($E$2:$E108,"Yes"),"")</f>
        <v/>
      </c>
      <c r="H108" s="3" t="str">
        <f t="shared" si="1"/>
        <v/>
      </c>
    </row>
    <row r="109" spans="1:8" ht="14.25" customHeight="1" x14ac:dyDescent="0.3">
      <c r="A109" s="7"/>
      <c r="B109" s="7"/>
      <c r="C109" s="7"/>
      <c r="D109" s="7"/>
      <c r="E109" s="7"/>
      <c r="F109" s="9" t="str">
        <f>IFERROR(INDEX($A$2:$A$1000,MATCH(ROWS($F$2:F109),$G$2:$G$1000,0)),"")</f>
        <v/>
      </c>
      <c r="G109" s="9" t="str">
        <f>IF($E109="Yes",COUNTIF($E$2:$E109,"Yes"),"")</f>
        <v/>
      </c>
      <c r="H109" s="3" t="str">
        <f t="shared" si="1"/>
        <v/>
      </c>
    </row>
    <row r="110" spans="1:8" ht="14.25" customHeight="1" x14ac:dyDescent="0.3">
      <c r="A110" s="7"/>
      <c r="B110" s="7"/>
      <c r="C110" s="7"/>
      <c r="D110" s="7"/>
      <c r="E110" s="7"/>
      <c r="F110" s="9" t="str">
        <f>IFERROR(INDEX($A$2:$A$1000,MATCH(ROWS($F$2:F110),$G$2:$G$1000,0)),"")</f>
        <v/>
      </c>
      <c r="G110" s="9" t="str">
        <f>IF($E110="Yes",COUNTIF($E$2:$E110,"Yes"),"")</f>
        <v/>
      </c>
      <c r="H110" s="3" t="str">
        <f t="shared" si="1"/>
        <v/>
      </c>
    </row>
    <row r="111" spans="1:8" ht="14.25" customHeight="1" x14ac:dyDescent="0.3">
      <c r="A111" s="7"/>
      <c r="B111" s="7"/>
      <c r="C111" s="7"/>
      <c r="D111" s="7"/>
      <c r="E111" s="7"/>
      <c r="F111" s="9" t="str">
        <f>IFERROR(INDEX($A$2:$A$1000,MATCH(ROWS($F$2:F111),$G$2:$G$1000,0)),"")</f>
        <v/>
      </c>
      <c r="G111" s="9" t="str">
        <f>IF($E111="Yes",COUNTIF($E$2:$E111,"Yes"),"")</f>
        <v/>
      </c>
      <c r="H111" s="3" t="str">
        <f t="shared" si="1"/>
        <v/>
      </c>
    </row>
    <row r="112" spans="1:8" ht="14.25" customHeight="1" x14ac:dyDescent="0.3">
      <c r="A112" s="7"/>
      <c r="B112" s="7"/>
      <c r="C112" s="7"/>
      <c r="D112" s="7"/>
      <c r="E112" s="7"/>
      <c r="F112" s="9" t="str">
        <f>IFERROR(INDEX($A$2:$A$1000,MATCH(ROWS($F$2:F112),$G$2:$G$1000,0)),"")</f>
        <v/>
      </c>
      <c r="G112" s="9" t="str">
        <f>IF($E112="Yes",COUNTIF($E$2:$E112,"Yes"),"")</f>
        <v/>
      </c>
      <c r="H112" s="3" t="str">
        <f t="shared" si="1"/>
        <v/>
      </c>
    </row>
    <row r="113" spans="1:8" ht="14.25" customHeight="1" x14ac:dyDescent="0.3">
      <c r="A113" s="7"/>
      <c r="B113" s="7"/>
      <c r="C113" s="7"/>
      <c r="D113" s="7"/>
      <c r="E113" s="7"/>
      <c r="F113" s="9" t="str">
        <f>IFERROR(INDEX($A$2:$A$1000,MATCH(ROWS($F$2:F113),$G$2:$G$1000,0)),"")</f>
        <v/>
      </c>
      <c r="G113" s="9" t="str">
        <f>IF($E113="Yes",COUNTIF($E$2:$E113,"Yes"),"")</f>
        <v/>
      </c>
      <c r="H113" s="3" t="str">
        <f t="shared" si="1"/>
        <v/>
      </c>
    </row>
    <row r="114" spans="1:8" ht="14.25" customHeight="1" x14ac:dyDescent="0.3">
      <c r="A114" s="7"/>
      <c r="B114" s="7"/>
      <c r="C114" s="7"/>
      <c r="D114" s="7"/>
      <c r="E114" s="7"/>
      <c r="F114" s="9" t="str">
        <f>IFERROR(INDEX($A$2:$A$1000,MATCH(ROWS($F$2:F114),$G$2:$G$1000,0)),"")</f>
        <v/>
      </c>
      <c r="G114" s="9" t="str">
        <f>IF($E114="Yes",COUNTIF($E$2:$E114,"Yes"),"")</f>
        <v/>
      </c>
      <c r="H114" s="3" t="str">
        <f t="shared" si="1"/>
        <v/>
      </c>
    </row>
    <row r="115" spans="1:8" ht="14.25" customHeight="1" x14ac:dyDescent="0.3">
      <c r="A115" s="7"/>
      <c r="B115" s="7"/>
      <c r="C115" s="7"/>
      <c r="D115" s="7"/>
      <c r="E115" s="7"/>
      <c r="F115" s="9" t="str">
        <f>IFERROR(INDEX($A$2:$A$1000,MATCH(ROWS($F$2:F115),$G$2:$G$1000,0)),"")</f>
        <v/>
      </c>
      <c r="G115" s="9" t="str">
        <f>IF($E115="Yes",COUNTIF($E$2:$E115,"Yes"),"")</f>
        <v/>
      </c>
      <c r="H115" s="3" t="str">
        <f t="shared" si="1"/>
        <v/>
      </c>
    </row>
    <row r="116" spans="1:8" ht="14.25" customHeight="1" x14ac:dyDescent="0.3">
      <c r="A116" s="7"/>
      <c r="B116" s="7"/>
      <c r="C116" s="7"/>
      <c r="D116" s="7"/>
      <c r="E116" s="7"/>
      <c r="F116" s="9" t="str">
        <f>IFERROR(INDEX($A$2:$A$1000,MATCH(ROWS($F$2:F116),$G$2:$G$1000,0)),"")</f>
        <v/>
      </c>
      <c r="G116" s="9" t="str">
        <f>IF($E116="Yes",COUNTIF($E$2:$E116,"Yes"),"")</f>
        <v/>
      </c>
      <c r="H116" s="3" t="str">
        <f t="shared" si="1"/>
        <v/>
      </c>
    </row>
    <row r="117" spans="1:8" ht="14.25" customHeight="1" x14ac:dyDescent="0.3">
      <c r="A117" s="7"/>
      <c r="B117" s="7"/>
      <c r="C117" s="7"/>
      <c r="D117" s="7"/>
      <c r="E117" s="7"/>
      <c r="F117" s="9" t="str">
        <f>IFERROR(INDEX($A$2:$A$1000,MATCH(ROWS($F$2:F117),$G$2:$G$1000,0)),"")</f>
        <v/>
      </c>
      <c r="G117" s="9" t="str">
        <f>IF($E117="Yes",COUNTIF($E$2:$E117,"Yes"),"")</f>
        <v/>
      </c>
      <c r="H117" s="3" t="str">
        <f t="shared" si="1"/>
        <v/>
      </c>
    </row>
    <row r="118" spans="1:8" ht="14.25" customHeight="1" x14ac:dyDescent="0.3">
      <c r="A118" s="7"/>
      <c r="B118" s="7"/>
      <c r="C118" s="7"/>
      <c r="D118" s="7"/>
      <c r="E118" s="7"/>
      <c r="F118" s="9" t="str">
        <f>IFERROR(INDEX($A$2:$A$1000,MATCH(ROWS($F$2:F118),$G$2:$G$1000,0)),"")</f>
        <v/>
      </c>
      <c r="G118" s="9" t="str">
        <f>IF($E118="Yes",COUNTIF($E$2:$E118,"Yes"),"")</f>
        <v/>
      </c>
      <c r="H118" s="3" t="str">
        <f t="shared" si="1"/>
        <v/>
      </c>
    </row>
    <row r="119" spans="1:8" ht="14.25" customHeight="1" x14ac:dyDescent="0.3">
      <c r="A119" s="7"/>
      <c r="B119" s="7"/>
      <c r="C119" s="7"/>
      <c r="D119" s="7"/>
      <c r="E119" s="7"/>
      <c r="F119" s="9" t="str">
        <f>IFERROR(INDEX($A$2:$A$1000,MATCH(ROWS($F$2:F119),$G$2:$G$1000,0)),"")</f>
        <v/>
      </c>
      <c r="G119" s="9" t="str">
        <f>IF($E119="Yes",COUNTIF($E$2:$E119,"Yes"),"")</f>
        <v/>
      </c>
      <c r="H119" s="3" t="str">
        <f t="shared" si="1"/>
        <v/>
      </c>
    </row>
    <row r="120" spans="1:8" ht="14.25" customHeight="1" x14ac:dyDescent="0.3">
      <c r="A120" s="7"/>
      <c r="B120" s="7"/>
      <c r="C120" s="7"/>
      <c r="D120" s="7"/>
      <c r="E120" s="7"/>
      <c r="F120" s="9" t="str">
        <f>IFERROR(INDEX($A$2:$A$1000,MATCH(ROWS($F$2:F120),$G$2:$G$1000,0)),"")</f>
        <v/>
      </c>
      <c r="G120" s="9" t="str">
        <f>IF($E120="Yes",COUNTIF($E$2:$E120,"Yes"),"")</f>
        <v/>
      </c>
      <c r="H120" s="3" t="str">
        <f t="shared" si="1"/>
        <v/>
      </c>
    </row>
    <row r="121" spans="1:8" ht="14.25" customHeight="1" x14ac:dyDescent="0.3">
      <c r="A121" s="7"/>
      <c r="B121" s="7"/>
      <c r="C121" s="7"/>
      <c r="D121" s="7"/>
      <c r="E121" s="7"/>
      <c r="F121" s="9" t="str">
        <f>IFERROR(INDEX($A$2:$A$1000,MATCH(ROWS($F$2:F121),$G$2:$G$1000,0)),"")</f>
        <v/>
      </c>
      <c r="G121" s="9" t="str">
        <f>IF($E121="Yes",COUNTIF($E$2:$E121,"Yes"),"")</f>
        <v/>
      </c>
      <c r="H121" s="3" t="str">
        <f t="shared" si="1"/>
        <v/>
      </c>
    </row>
    <row r="122" spans="1:8" ht="14.25" customHeight="1" x14ac:dyDescent="0.3">
      <c r="A122" s="7"/>
      <c r="B122" s="7"/>
      <c r="C122" s="7"/>
      <c r="D122" s="7"/>
      <c r="E122" s="7"/>
      <c r="F122" s="9" t="str">
        <f>IFERROR(INDEX($A$2:$A$1000,MATCH(ROWS($F$2:F122),$G$2:$G$1000,0)),"")</f>
        <v/>
      </c>
      <c r="G122" s="9" t="str">
        <f>IF($E122="Yes",COUNTIF($E$2:$E122,"Yes"),"")</f>
        <v/>
      </c>
      <c r="H122" s="3" t="str">
        <f t="shared" si="1"/>
        <v/>
      </c>
    </row>
    <row r="123" spans="1:8" ht="14.25" customHeight="1" x14ac:dyDescent="0.3">
      <c r="A123" s="7"/>
      <c r="B123" s="7"/>
      <c r="C123" s="7"/>
      <c r="D123" s="7"/>
      <c r="E123" s="7"/>
      <c r="F123" s="9" t="str">
        <f>IFERROR(INDEX($A$2:$A$1000,MATCH(ROWS($F$2:F123),$G$2:$G$1000,0)),"")</f>
        <v/>
      </c>
      <c r="G123" s="9" t="str">
        <f>IF($E123="Yes",COUNTIF($E$2:$E123,"Yes"),"")</f>
        <v/>
      </c>
      <c r="H123" s="3" t="str">
        <f t="shared" si="1"/>
        <v/>
      </c>
    </row>
    <row r="124" spans="1:8" ht="14.25" customHeight="1" x14ac:dyDescent="0.3">
      <c r="A124" s="7"/>
      <c r="B124" s="7"/>
      <c r="C124" s="7"/>
      <c r="D124" s="7"/>
      <c r="E124" s="7"/>
      <c r="F124" s="9" t="str">
        <f>IFERROR(INDEX($A$2:$A$1000,MATCH(ROWS($F$2:F124),$G$2:$G$1000,0)),"")</f>
        <v/>
      </c>
      <c r="G124" s="9" t="str">
        <f>IF($E124="Yes",COUNTIF($E$2:$E124,"Yes"),"")</f>
        <v/>
      </c>
      <c r="H124" s="3" t="str">
        <f t="shared" si="1"/>
        <v/>
      </c>
    </row>
    <row r="125" spans="1:8" ht="14.25" customHeight="1" x14ac:dyDescent="0.3">
      <c r="A125" s="7"/>
      <c r="B125" s="7"/>
      <c r="C125" s="7"/>
      <c r="D125" s="7"/>
      <c r="E125" s="7"/>
      <c r="F125" s="9" t="str">
        <f>IFERROR(INDEX($A$2:$A$1000,MATCH(ROWS($F$2:F125),$G$2:$G$1000,0)),"")</f>
        <v/>
      </c>
      <c r="G125" s="9" t="str">
        <f>IF($E125="Yes",COUNTIF($E$2:$E125,"Yes"),"")</f>
        <v/>
      </c>
      <c r="H125" s="3" t="str">
        <f t="shared" si="1"/>
        <v/>
      </c>
    </row>
    <row r="126" spans="1:8" ht="14.25" customHeight="1" x14ac:dyDescent="0.3">
      <c r="A126" s="7"/>
      <c r="B126" s="7"/>
      <c r="C126" s="7"/>
      <c r="D126" s="7"/>
      <c r="E126" s="7"/>
      <c r="F126" s="9" t="str">
        <f>IFERROR(INDEX($A$2:$A$1000,MATCH(ROWS($F$2:F126),$G$2:$G$1000,0)),"")</f>
        <v/>
      </c>
      <c r="G126" s="9" t="str">
        <f>IF($E126="Yes",COUNTIF($E$2:$E126,"Yes"),"")</f>
        <v/>
      </c>
      <c r="H126" s="3" t="str">
        <f t="shared" si="1"/>
        <v/>
      </c>
    </row>
    <row r="127" spans="1:8" ht="14.25" customHeight="1" x14ac:dyDescent="0.3">
      <c r="A127" s="7"/>
      <c r="B127" s="7"/>
      <c r="C127" s="7"/>
      <c r="D127" s="7"/>
      <c r="E127" s="7"/>
      <c r="F127" s="9" t="str">
        <f>IFERROR(INDEX($A$2:$A$1000,MATCH(ROWS($F$2:F127),$G$2:$G$1000,0)),"")</f>
        <v/>
      </c>
      <c r="G127" s="9" t="str">
        <f>IF($E127="Yes",COUNTIF($E$2:$E127,"Yes"),"")</f>
        <v/>
      </c>
      <c r="H127" s="3" t="str">
        <f t="shared" si="1"/>
        <v/>
      </c>
    </row>
    <row r="128" spans="1:8" ht="14.25" customHeight="1" x14ac:dyDescent="0.3">
      <c r="A128" s="7"/>
      <c r="B128" s="7"/>
      <c r="C128" s="7"/>
      <c r="D128" s="7"/>
      <c r="E128" s="7"/>
      <c r="F128" s="9" t="str">
        <f>IFERROR(INDEX($A$2:$A$1000,MATCH(ROWS($F$2:F128),$G$2:$G$1000,0)),"")</f>
        <v/>
      </c>
      <c r="G128" s="9" t="str">
        <f>IF($E128="Yes",COUNTIF($E$2:$E128,"Yes"),"")</f>
        <v/>
      </c>
      <c r="H128" s="3" t="str">
        <f t="shared" si="1"/>
        <v/>
      </c>
    </row>
    <row r="129" spans="1:8" ht="14.25" customHeight="1" x14ac:dyDescent="0.3">
      <c r="A129" s="7"/>
      <c r="B129" s="7"/>
      <c r="C129" s="7"/>
      <c r="D129" s="7"/>
      <c r="E129" s="7"/>
      <c r="F129" s="9" t="str">
        <f>IFERROR(INDEX($A$2:$A$1000,MATCH(ROWS($F$2:F129),$G$2:$G$1000,0)),"")</f>
        <v/>
      </c>
      <c r="G129" s="9" t="str">
        <f>IF($E129="Yes",COUNTIF($E$2:$E129,"Yes"),"")</f>
        <v/>
      </c>
      <c r="H129" s="3" t="str">
        <f t="shared" si="1"/>
        <v/>
      </c>
    </row>
    <row r="130" spans="1:8" ht="14.25" customHeight="1" x14ac:dyDescent="0.3">
      <c r="A130" s="7"/>
      <c r="B130" s="7"/>
      <c r="C130" s="7"/>
      <c r="D130" s="7"/>
      <c r="E130" s="7"/>
      <c r="F130" s="9" t="str">
        <f>IFERROR(INDEX($A$2:$A$1000,MATCH(ROWS($F$2:F130),$G$2:$G$1000,0)),"")</f>
        <v/>
      </c>
      <c r="G130" s="9" t="str">
        <f>IF($E130="Yes",COUNTIF($E$2:$E130,"Yes"),"")</f>
        <v/>
      </c>
      <c r="H130" s="3" t="str">
        <f t="shared" ref="H130:H193" si="2">IF(COUNTA(A130:E130)=0,"",IF(COUNTIF($A$2:$A$1000,A130)&gt;1,"DUPLICATE YEAR_SEM",IF(OR(B130&lt;1,B130&gt;4,C130&lt;1,C130&gt;2),"INVALID YEAR/SEMESTER","OK")))</f>
        <v/>
      </c>
    </row>
    <row r="131" spans="1:8" ht="14.25" customHeight="1" x14ac:dyDescent="0.3">
      <c r="A131" s="7"/>
      <c r="B131" s="7"/>
      <c r="C131" s="7"/>
      <c r="D131" s="7"/>
      <c r="E131" s="7"/>
      <c r="F131" s="9" t="str">
        <f>IFERROR(INDEX($A$2:$A$1000,MATCH(ROWS($F$2:F131),$G$2:$G$1000,0)),"")</f>
        <v/>
      </c>
      <c r="G131" s="9" t="str">
        <f>IF($E131="Yes",COUNTIF($E$2:$E131,"Yes"),"")</f>
        <v/>
      </c>
      <c r="H131" s="3" t="str">
        <f t="shared" si="2"/>
        <v/>
      </c>
    </row>
    <row r="132" spans="1:8" ht="14.25" customHeight="1" x14ac:dyDescent="0.3">
      <c r="A132" s="7"/>
      <c r="B132" s="7"/>
      <c r="C132" s="7"/>
      <c r="D132" s="7"/>
      <c r="E132" s="7"/>
      <c r="F132" s="9" t="str">
        <f>IFERROR(INDEX($A$2:$A$1000,MATCH(ROWS($F$2:F132),$G$2:$G$1000,0)),"")</f>
        <v/>
      </c>
      <c r="G132" s="9" t="str">
        <f>IF($E132="Yes",COUNTIF($E$2:$E132,"Yes"),"")</f>
        <v/>
      </c>
      <c r="H132" s="3" t="str">
        <f t="shared" si="2"/>
        <v/>
      </c>
    </row>
    <row r="133" spans="1:8" ht="14.25" customHeight="1" x14ac:dyDescent="0.3">
      <c r="A133" s="7"/>
      <c r="B133" s="7"/>
      <c r="C133" s="7"/>
      <c r="D133" s="7"/>
      <c r="E133" s="7"/>
      <c r="F133" s="9" t="str">
        <f>IFERROR(INDEX($A$2:$A$1000,MATCH(ROWS($F$2:F133),$G$2:$G$1000,0)),"")</f>
        <v/>
      </c>
      <c r="G133" s="9" t="str">
        <f>IF($E133="Yes",COUNTIF($E$2:$E133,"Yes"),"")</f>
        <v/>
      </c>
      <c r="H133" s="3" t="str">
        <f t="shared" si="2"/>
        <v/>
      </c>
    </row>
    <row r="134" spans="1:8" ht="14.25" customHeight="1" x14ac:dyDescent="0.3">
      <c r="A134" s="7"/>
      <c r="B134" s="7"/>
      <c r="C134" s="7"/>
      <c r="D134" s="7"/>
      <c r="E134" s="7"/>
      <c r="F134" s="9" t="str">
        <f>IFERROR(INDEX($A$2:$A$1000,MATCH(ROWS($F$2:F134),$G$2:$G$1000,0)),"")</f>
        <v/>
      </c>
      <c r="G134" s="9" t="str">
        <f>IF($E134="Yes",COUNTIF($E$2:$E134,"Yes"),"")</f>
        <v/>
      </c>
      <c r="H134" s="3" t="str">
        <f t="shared" si="2"/>
        <v/>
      </c>
    </row>
    <row r="135" spans="1:8" ht="14.25" customHeight="1" x14ac:dyDescent="0.3">
      <c r="A135" s="7"/>
      <c r="B135" s="7"/>
      <c r="C135" s="7"/>
      <c r="D135" s="7"/>
      <c r="E135" s="7"/>
      <c r="F135" s="9" t="str">
        <f>IFERROR(INDEX($A$2:$A$1000,MATCH(ROWS($F$2:F135),$G$2:$G$1000,0)),"")</f>
        <v/>
      </c>
      <c r="G135" s="9" t="str">
        <f>IF($E135="Yes",COUNTIF($E$2:$E135,"Yes"),"")</f>
        <v/>
      </c>
      <c r="H135" s="3" t="str">
        <f t="shared" si="2"/>
        <v/>
      </c>
    </row>
    <row r="136" spans="1:8" ht="14.25" customHeight="1" x14ac:dyDescent="0.3">
      <c r="A136" s="7"/>
      <c r="B136" s="7"/>
      <c r="C136" s="7"/>
      <c r="D136" s="7"/>
      <c r="E136" s="7"/>
      <c r="F136" s="9" t="str">
        <f>IFERROR(INDEX($A$2:$A$1000,MATCH(ROWS($F$2:F136),$G$2:$G$1000,0)),"")</f>
        <v/>
      </c>
      <c r="G136" s="9" t="str">
        <f>IF($E136="Yes",COUNTIF($E$2:$E136,"Yes"),"")</f>
        <v/>
      </c>
      <c r="H136" s="3" t="str">
        <f t="shared" si="2"/>
        <v/>
      </c>
    </row>
    <row r="137" spans="1:8" ht="14.25" customHeight="1" x14ac:dyDescent="0.3">
      <c r="A137" s="7"/>
      <c r="B137" s="7"/>
      <c r="C137" s="7"/>
      <c r="D137" s="7"/>
      <c r="E137" s="7"/>
      <c r="F137" s="9" t="str">
        <f>IFERROR(INDEX($A$2:$A$1000,MATCH(ROWS($F$2:F137),$G$2:$G$1000,0)),"")</f>
        <v/>
      </c>
      <c r="G137" s="9" t="str">
        <f>IF($E137="Yes",COUNTIF($E$2:$E137,"Yes"),"")</f>
        <v/>
      </c>
      <c r="H137" s="3" t="str">
        <f t="shared" si="2"/>
        <v/>
      </c>
    </row>
    <row r="138" spans="1:8" ht="14.25" customHeight="1" x14ac:dyDescent="0.3">
      <c r="A138" s="7"/>
      <c r="B138" s="7"/>
      <c r="C138" s="7"/>
      <c r="D138" s="7"/>
      <c r="E138" s="7"/>
      <c r="F138" s="9" t="str">
        <f>IFERROR(INDEX($A$2:$A$1000,MATCH(ROWS($F$2:F138),$G$2:$G$1000,0)),"")</f>
        <v/>
      </c>
      <c r="G138" s="9" t="str">
        <f>IF($E138="Yes",COUNTIF($E$2:$E138,"Yes"),"")</f>
        <v/>
      </c>
      <c r="H138" s="3" t="str">
        <f t="shared" si="2"/>
        <v/>
      </c>
    </row>
    <row r="139" spans="1:8" ht="14.25" customHeight="1" x14ac:dyDescent="0.3">
      <c r="A139" s="7"/>
      <c r="B139" s="7"/>
      <c r="C139" s="7"/>
      <c r="D139" s="7"/>
      <c r="E139" s="7"/>
      <c r="F139" s="9" t="str">
        <f>IFERROR(INDEX($A$2:$A$1000,MATCH(ROWS($F$2:F139),$G$2:$G$1000,0)),"")</f>
        <v/>
      </c>
      <c r="G139" s="9" t="str">
        <f>IF($E139="Yes",COUNTIF($E$2:$E139,"Yes"),"")</f>
        <v/>
      </c>
      <c r="H139" s="3" t="str">
        <f t="shared" si="2"/>
        <v/>
      </c>
    </row>
    <row r="140" spans="1:8" ht="14.25" customHeight="1" x14ac:dyDescent="0.3">
      <c r="A140" s="7"/>
      <c r="B140" s="7"/>
      <c r="C140" s="7"/>
      <c r="D140" s="7"/>
      <c r="E140" s="7"/>
      <c r="F140" s="9" t="str">
        <f>IFERROR(INDEX($A$2:$A$1000,MATCH(ROWS($F$2:F140),$G$2:$G$1000,0)),"")</f>
        <v/>
      </c>
      <c r="G140" s="9" t="str">
        <f>IF($E140="Yes",COUNTIF($E$2:$E140,"Yes"),"")</f>
        <v/>
      </c>
      <c r="H140" s="3" t="str">
        <f t="shared" si="2"/>
        <v/>
      </c>
    </row>
    <row r="141" spans="1:8" ht="14.25" customHeight="1" x14ac:dyDescent="0.3">
      <c r="A141" s="7"/>
      <c r="B141" s="7"/>
      <c r="C141" s="7"/>
      <c r="D141" s="7"/>
      <c r="E141" s="7"/>
      <c r="F141" s="9" t="str">
        <f>IFERROR(INDEX($A$2:$A$1000,MATCH(ROWS($F$2:F141),$G$2:$G$1000,0)),"")</f>
        <v/>
      </c>
      <c r="G141" s="9" t="str">
        <f>IF($E141="Yes",COUNTIF($E$2:$E141,"Yes"),"")</f>
        <v/>
      </c>
      <c r="H141" s="3" t="str">
        <f t="shared" si="2"/>
        <v/>
      </c>
    </row>
    <row r="142" spans="1:8" ht="14.25" customHeight="1" x14ac:dyDescent="0.3">
      <c r="A142" s="7"/>
      <c r="B142" s="7"/>
      <c r="C142" s="7"/>
      <c r="D142" s="7"/>
      <c r="E142" s="7"/>
      <c r="F142" s="9" t="str">
        <f>IFERROR(INDEX($A$2:$A$1000,MATCH(ROWS($F$2:F142),$G$2:$G$1000,0)),"")</f>
        <v/>
      </c>
      <c r="G142" s="9" t="str">
        <f>IF($E142="Yes",COUNTIF($E$2:$E142,"Yes"),"")</f>
        <v/>
      </c>
      <c r="H142" s="3" t="str">
        <f t="shared" si="2"/>
        <v/>
      </c>
    </row>
    <row r="143" spans="1:8" ht="14.25" customHeight="1" x14ac:dyDescent="0.3">
      <c r="A143" s="7"/>
      <c r="B143" s="7"/>
      <c r="C143" s="7"/>
      <c r="D143" s="7"/>
      <c r="E143" s="7"/>
      <c r="F143" s="9" t="str">
        <f>IFERROR(INDEX($A$2:$A$1000,MATCH(ROWS($F$2:F143),$G$2:$G$1000,0)),"")</f>
        <v/>
      </c>
      <c r="G143" s="9" t="str">
        <f>IF($E143="Yes",COUNTIF($E$2:$E143,"Yes"),"")</f>
        <v/>
      </c>
      <c r="H143" s="3" t="str">
        <f t="shared" si="2"/>
        <v/>
      </c>
    </row>
    <row r="144" spans="1:8" ht="14.25" customHeight="1" x14ac:dyDescent="0.3">
      <c r="A144" s="7"/>
      <c r="B144" s="7"/>
      <c r="C144" s="7"/>
      <c r="D144" s="7"/>
      <c r="E144" s="7"/>
      <c r="F144" s="9" t="str">
        <f>IFERROR(INDEX($A$2:$A$1000,MATCH(ROWS($F$2:F144),$G$2:$G$1000,0)),"")</f>
        <v/>
      </c>
      <c r="G144" s="9" t="str">
        <f>IF($E144="Yes",COUNTIF($E$2:$E144,"Yes"),"")</f>
        <v/>
      </c>
      <c r="H144" s="3" t="str">
        <f t="shared" si="2"/>
        <v/>
      </c>
    </row>
    <row r="145" spans="1:8" ht="14.25" customHeight="1" x14ac:dyDescent="0.3">
      <c r="A145" s="7"/>
      <c r="B145" s="7"/>
      <c r="C145" s="7"/>
      <c r="D145" s="7"/>
      <c r="E145" s="7"/>
      <c r="F145" s="9" t="str">
        <f>IFERROR(INDEX($A$2:$A$1000,MATCH(ROWS($F$2:F145),$G$2:$G$1000,0)),"")</f>
        <v/>
      </c>
      <c r="G145" s="9" t="str">
        <f>IF($E145="Yes",COUNTIF($E$2:$E145,"Yes"),"")</f>
        <v/>
      </c>
      <c r="H145" s="3" t="str">
        <f t="shared" si="2"/>
        <v/>
      </c>
    </row>
    <row r="146" spans="1:8" ht="14.25" customHeight="1" x14ac:dyDescent="0.3">
      <c r="A146" s="7"/>
      <c r="B146" s="7"/>
      <c r="C146" s="7"/>
      <c r="D146" s="7"/>
      <c r="E146" s="7"/>
      <c r="F146" s="9" t="str">
        <f>IFERROR(INDEX($A$2:$A$1000,MATCH(ROWS($F$2:F146),$G$2:$G$1000,0)),"")</f>
        <v/>
      </c>
      <c r="G146" s="9" t="str">
        <f>IF($E146="Yes",COUNTIF($E$2:$E146,"Yes"),"")</f>
        <v/>
      </c>
      <c r="H146" s="3" t="str">
        <f t="shared" si="2"/>
        <v/>
      </c>
    </row>
    <row r="147" spans="1:8" ht="14.25" customHeight="1" x14ac:dyDescent="0.3">
      <c r="A147" s="7"/>
      <c r="B147" s="7"/>
      <c r="C147" s="7"/>
      <c r="D147" s="7"/>
      <c r="E147" s="7"/>
      <c r="F147" s="9" t="str">
        <f>IFERROR(INDEX($A$2:$A$1000,MATCH(ROWS($F$2:F147),$G$2:$G$1000,0)),"")</f>
        <v/>
      </c>
      <c r="G147" s="9" t="str">
        <f>IF($E147="Yes",COUNTIF($E$2:$E147,"Yes"),"")</f>
        <v/>
      </c>
      <c r="H147" s="3" t="str">
        <f t="shared" si="2"/>
        <v/>
      </c>
    </row>
    <row r="148" spans="1:8" ht="14.25" customHeight="1" x14ac:dyDescent="0.3">
      <c r="A148" s="7"/>
      <c r="B148" s="7"/>
      <c r="C148" s="7"/>
      <c r="D148" s="7"/>
      <c r="E148" s="7"/>
      <c r="F148" s="9" t="str">
        <f>IFERROR(INDEX($A$2:$A$1000,MATCH(ROWS($F$2:F148),$G$2:$G$1000,0)),"")</f>
        <v/>
      </c>
      <c r="G148" s="9" t="str">
        <f>IF($E148="Yes",COUNTIF($E$2:$E148,"Yes"),"")</f>
        <v/>
      </c>
      <c r="H148" s="3" t="str">
        <f t="shared" si="2"/>
        <v/>
      </c>
    </row>
    <row r="149" spans="1:8" ht="14.25" customHeight="1" x14ac:dyDescent="0.3">
      <c r="A149" s="7"/>
      <c r="B149" s="7"/>
      <c r="C149" s="7"/>
      <c r="D149" s="7"/>
      <c r="E149" s="7"/>
      <c r="F149" s="9" t="str">
        <f>IFERROR(INDEX($A$2:$A$1000,MATCH(ROWS($F$2:F149),$G$2:$G$1000,0)),"")</f>
        <v/>
      </c>
      <c r="G149" s="9" t="str">
        <f>IF($E149="Yes",COUNTIF($E$2:$E149,"Yes"),"")</f>
        <v/>
      </c>
      <c r="H149" s="3" t="str">
        <f t="shared" si="2"/>
        <v/>
      </c>
    </row>
    <row r="150" spans="1:8" ht="14.25" customHeight="1" x14ac:dyDescent="0.3">
      <c r="A150" s="7"/>
      <c r="B150" s="7"/>
      <c r="C150" s="7"/>
      <c r="D150" s="7"/>
      <c r="E150" s="7"/>
      <c r="F150" s="9" t="str">
        <f>IFERROR(INDEX($A$2:$A$1000,MATCH(ROWS($F$2:F150),$G$2:$G$1000,0)),"")</f>
        <v/>
      </c>
      <c r="G150" s="9" t="str">
        <f>IF($E150="Yes",COUNTIF($E$2:$E150,"Yes"),"")</f>
        <v/>
      </c>
      <c r="H150" s="3" t="str">
        <f t="shared" si="2"/>
        <v/>
      </c>
    </row>
    <row r="151" spans="1:8" ht="14.25" customHeight="1" x14ac:dyDescent="0.3">
      <c r="A151" s="7"/>
      <c r="B151" s="7"/>
      <c r="C151" s="7"/>
      <c r="D151" s="7"/>
      <c r="E151" s="7"/>
      <c r="F151" s="9" t="str">
        <f>IFERROR(INDEX($A$2:$A$1000,MATCH(ROWS($F$2:F151),$G$2:$G$1000,0)),"")</f>
        <v/>
      </c>
      <c r="G151" s="9" t="str">
        <f>IF($E151="Yes",COUNTIF($E$2:$E151,"Yes"),"")</f>
        <v/>
      </c>
      <c r="H151" s="3" t="str">
        <f t="shared" si="2"/>
        <v/>
      </c>
    </row>
    <row r="152" spans="1:8" ht="14.25" customHeight="1" x14ac:dyDescent="0.3">
      <c r="A152" s="7"/>
      <c r="B152" s="7"/>
      <c r="C152" s="7"/>
      <c r="D152" s="7"/>
      <c r="E152" s="7"/>
      <c r="F152" s="9" t="str">
        <f>IFERROR(INDEX($A$2:$A$1000,MATCH(ROWS($F$2:F152),$G$2:$G$1000,0)),"")</f>
        <v/>
      </c>
      <c r="G152" s="9" t="str">
        <f>IF($E152="Yes",COUNTIF($E$2:$E152,"Yes"),"")</f>
        <v/>
      </c>
      <c r="H152" s="3" t="str">
        <f t="shared" si="2"/>
        <v/>
      </c>
    </row>
    <row r="153" spans="1:8" ht="14.25" customHeight="1" x14ac:dyDescent="0.3">
      <c r="A153" s="7"/>
      <c r="B153" s="7"/>
      <c r="C153" s="7"/>
      <c r="D153" s="7"/>
      <c r="E153" s="7"/>
      <c r="F153" s="9" t="str">
        <f>IFERROR(INDEX($A$2:$A$1000,MATCH(ROWS($F$2:F153),$G$2:$G$1000,0)),"")</f>
        <v/>
      </c>
      <c r="G153" s="9" t="str">
        <f>IF($E153="Yes",COUNTIF($E$2:$E153,"Yes"),"")</f>
        <v/>
      </c>
      <c r="H153" s="3" t="str">
        <f t="shared" si="2"/>
        <v/>
      </c>
    </row>
    <row r="154" spans="1:8" ht="14.25" customHeight="1" x14ac:dyDescent="0.3">
      <c r="A154" s="7"/>
      <c r="B154" s="7"/>
      <c r="C154" s="7"/>
      <c r="D154" s="7"/>
      <c r="E154" s="7"/>
      <c r="F154" s="9" t="str">
        <f>IFERROR(INDEX($A$2:$A$1000,MATCH(ROWS($F$2:F154),$G$2:$G$1000,0)),"")</f>
        <v/>
      </c>
      <c r="G154" s="9" t="str">
        <f>IF($E154="Yes",COUNTIF($E$2:$E154,"Yes"),"")</f>
        <v/>
      </c>
      <c r="H154" s="3" t="str">
        <f t="shared" si="2"/>
        <v/>
      </c>
    </row>
    <row r="155" spans="1:8" ht="14.25" customHeight="1" x14ac:dyDescent="0.3">
      <c r="A155" s="7"/>
      <c r="B155" s="7"/>
      <c r="C155" s="7"/>
      <c r="D155" s="7"/>
      <c r="E155" s="7"/>
      <c r="F155" s="9" t="str">
        <f>IFERROR(INDEX($A$2:$A$1000,MATCH(ROWS($F$2:F155),$G$2:$G$1000,0)),"")</f>
        <v/>
      </c>
      <c r="G155" s="9" t="str">
        <f>IF($E155="Yes",COUNTIF($E$2:$E155,"Yes"),"")</f>
        <v/>
      </c>
      <c r="H155" s="3" t="str">
        <f t="shared" si="2"/>
        <v/>
      </c>
    </row>
    <row r="156" spans="1:8" ht="14.25" customHeight="1" x14ac:dyDescent="0.3">
      <c r="A156" s="7"/>
      <c r="B156" s="7"/>
      <c r="C156" s="7"/>
      <c r="D156" s="7"/>
      <c r="E156" s="7"/>
      <c r="F156" s="9" t="str">
        <f>IFERROR(INDEX($A$2:$A$1000,MATCH(ROWS($F$2:F156),$G$2:$G$1000,0)),"")</f>
        <v/>
      </c>
      <c r="G156" s="9" t="str">
        <f>IF($E156="Yes",COUNTIF($E$2:$E156,"Yes"),"")</f>
        <v/>
      </c>
      <c r="H156" s="3" t="str">
        <f t="shared" si="2"/>
        <v/>
      </c>
    </row>
    <row r="157" spans="1:8" ht="14.25" customHeight="1" x14ac:dyDescent="0.3">
      <c r="A157" s="7"/>
      <c r="B157" s="7"/>
      <c r="C157" s="7"/>
      <c r="D157" s="7"/>
      <c r="E157" s="7"/>
      <c r="F157" s="9" t="str">
        <f>IFERROR(INDEX($A$2:$A$1000,MATCH(ROWS($F$2:F157),$G$2:$G$1000,0)),"")</f>
        <v/>
      </c>
      <c r="G157" s="9" t="str">
        <f>IF($E157="Yes",COUNTIF($E$2:$E157,"Yes"),"")</f>
        <v/>
      </c>
      <c r="H157" s="3" t="str">
        <f t="shared" si="2"/>
        <v/>
      </c>
    </row>
    <row r="158" spans="1:8" ht="14.25" customHeight="1" x14ac:dyDescent="0.3">
      <c r="A158" s="7"/>
      <c r="B158" s="7"/>
      <c r="C158" s="7"/>
      <c r="D158" s="7"/>
      <c r="E158" s="7"/>
      <c r="F158" s="9" t="str">
        <f>IFERROR(INDEX($A$2:$A$1000,MATCH(ROWS($F$2:F158),$G$2:$G$1000,0)),"")</f>
        <v/>
      </c>
      <c r="G158" s="9" t="str">
        <f>IF($E158="Yes",COUNTIF($E$2:$E158,"Yes"),"")</f>
        <v/>
      </c>
      <c r="H158" s="3" t="str">
        <f t="shared" si="2"/>
        <v/>
      </c>
    </row>
    <row r="159" spans="1:8" ht="14.25" customHeight="1" x14ac:dyDescent="0.3">
      <c r="A159" s="7"/>
      <c r="B159" s="7"/>
      <c r="C159" s="7"/>
      <c r="D159" s="7"/>
      <c r="E159" s="7"/>
      <c r="F159" s="9" t="str">
        <f>IFERROR(INDEX($A$2:$A$1000,MATCH(ROWS($F$2:F159),$G$2:$G$1000,0)),"")</f>
        <v/>
      </c>
      <c r="G159" s="9" t="str">
        <f>IF($E159="Yes",COUNTIF($E$2:$E159,"Yes"),"")</f>
        <v/>
      </c>
      <c r="H159" s="3" t="str">
        <f t="shared" si="2"/>
        <v/>
      </c>
    </row>
    <row r="160" spans="1:8" ht="14.25" customHeight="1" x14ac:dyDescent="0.3">
      <c r="A160" s="7"/>
      <c r="B160" s="7"/>
      <c r="C160" s="7"/>
      <c r="D160" s="7"/>
      <c r="E160" s="7"/>
      <c r="F160" s="9" t="str">
        <f>IFERROR(INDEX($A$2:$A$1000,MATCH(ROWS($F$2:F160),$G$2:$G$1000,0)),"")</f>
        <v/>
      </c>
      <c r="G160" s="9" t="str">
        <f>IF($E160="Yes",COUNTIF($E$2:$E160,"Yes"),"")</f>
        <v/>
      </c>
      <c r="H160" s="3" t="str">
        <f t="shared" si="2"/>
        <v/>
      </c>
    </row>
    <row r="161" spans="1:8" ht="14.25" customHeight="1" x14ac:dyDescent="0.3">
      <c r="A161" s="7"/>
      <c r="B161" s="7"/>
      <c r="C161" s="7"/>
      <c r="D161" s="7"/>
      <c r="E161" s="7"/>
      <c r="F161" s="9" t="str">
        <f>IFERROR(INDEX($A$2:$A$1000,MATCH(ROWS($F$2:F161),$G$2:$G$1000,0)),"")</f>
        <v/>
      </c>
      <c r="G161" s="9" t="str">
        <f>IF($E161="Yes",COUNTIF($E$2:$E161,"Yes"),"")</f>
        <v/>
      </c>
      <c r="H161" s="3" t="str">
        <f t="shared" si="2"/>
        <v/>
      </c>
    </row>
    <row r="162" spans="1:8" ht="14.25" customHeight="1" x14ac:dyDescent="0.3">
      <c r="A162" s="7"/>
      <c r="B162" s="7"/>
      <c r="C162" s="7"/>
      <c r="D162" s="7"/>
      <c r="E162" s="7"/>
      <c r="F162" s="9" t="str">
        <f>IFERROR(INDEX($A$2:$A$1000,MATCH(ROWS($F$2:F162),$G$2:$G$1000,0)),"")</f>
        <v/>
      </c>
      <c r="G162" s="9" t="str">
        <f>IF($E162="Yes",COUNTIF($E$2:$E162,"Yes"),"")</f>
        <v/>
      </c>
      <c r="H162" s="3" t="str">
        <f t="shared" si="2"/>
        <v/>
      </c>
    </row>
    <row r="163" spans="1:8" ht="14.25" customHeight="1" x14ac:dyDescent="0.3">
      <c r="A163" s="7"/>
      <c r="B163" s="7"/>
      <c r="C163" s="7"/>
      <c r="D163" s="7"/>
      <c r="E163" s="7"/>
      <c r="F163" s="9" t="str">
        <f>IFERROR(INDEX($A$2:$A$1000,MATCH(ROWS($F$2:F163),$G$2:$G$1000,0)),"")</f>
        <v/>
      </c>
      <c r="G163" s="9" t="str">
        <f>IF($E163="Yes",COUNTIF($E$2:$E163,"Yes"),"")</f>
        <v/>
      </c>
      <c r="H163" s="3" t="str">
        <f t="shared" si="2"/>
        <v/>
      </c>
    </row>
    <row r="164" spans="1:8" ht="14.25" customHeight="1" x14ac:dyDescent="0.3">
      <c r="A164" s="7"/>
      <c r="B164" s="7"/>
      <c r="C164" s="7"/>
      <c r="D164" s="7"/>
      <c r="E164" s="7"/>
      <c r="F164" s="9" t="str">
        <f>IFERROR(INDEX($A$2:$A$1000,MATCH(ROWS($F$2:F164),$G$2:$G$1000,0)),"")</f>
        <v/>
      </c>
      <c r="G164" s="9" t="str">
        <f>IF($E164="Yes",COUNTIF($E$2:$E164,"Yes"),"")</f>
        <v/>
      </c>
      <c r="H164" s="3" t="str">
        <f t="shared" si="2"/>
        <v/>
      </c>
    </row>
    <row r="165" spans="1:8" ht="14.25" customHeight="1" x14ac:dyDescent="0.3">
      <c r="A165" s="7"/>
      <c r="B165" s="7"/>
      <c r="C165" s="7"/>
      <c r="D165" s="7"/>
      <c r="E165" s="7"/>
      <c r="F165" s="9" t="str">
        <f>IFERROR(INDEX($A$2:$A$1000,MATCH(ROWS($F$2:F165),$G$2:$G$1000,0)),"")</f>
        <v/>
      </c>
      <c r="G165" s="9" t="str">
        <f>IF($E165="Yes",COUNTIF($E$2:$E165,"Yes"),"")</f>
        <v/>
      </c>
      <c r="H165" s="3" t="str">
        <f t="shared" si="2"/>
        <v/>
      </c>
    </row>
    <row r="166" spans="1:8" ht="14.25" customHeight="1" x14ac:dyDescent="0.3">
      <c r="A166" s="7"/>
      <c r="B166" s="7"/>
      <c r="C166" s="7"/>
      <c r="D166" s="7"/>
      <c r="E166" s="7"/>
      <c r="F166" s="9" t="str">
        <f>IFERROR(INDEX($A$2:$A$1000,MATCH(ROWS($F$2:F166),$G$2:$G$1000,0)),"")</f>
        <v/>
      </c>
      <c r="G166" s="9" t="str">
        <f>IF($E166="Yes",COUNTIF($E$2:$E166,"Yes"),"")</f>
        <v/>
      </c>
      <c r="H166" s="3" t="str">
        <f t="shared" si="2"/>
        <v/>
      </c>
    </row>
    <row r="167" spans="1:8" ht="14.25" customHeight="1" x14ac:dyDescent="0.3">
      <c r="A167" s="7"/>
      <c r="B167" s="7"/>
      <c r="C167" s="7"/>
      <c r="D167" s="7"/>
      <c r="E167" s="7"/>
      <c r="F167" s="9" t="str">
        <f>IFERROR(INDEX($A$2:$A$1000,MATCH(ROWS($F$2:F167),$G$2:$G$1000,0)),"")</f>
        <v/>
      </c>
      <c r="G167" s="9" t="str">
        <f>IF($E167="Yes",COUNTIF($E$2:$E167,"Yes"),"")</f>
        <v/>
      </c>
      <c r="H167" s="3" t="str">
        <f t="shared" si="2"/>
        <v/>
      </c>
    </row>
    <row r="168" spans="1:8" ht="14.25" customHeight="1" x14ac:dyDescent="0.3">
      <c r="A168" s="7"/>
      <c r="B168" s="7"/>
      <c r="C168" s="7"/>
      <c r="D168" s="7"/>
      <c r="E168" s="7"/>
      <c r="F168" s="9" t="str">
        <f>IFERROR(INDEX($A$2:$A$1000,MATCH(ROWS($F$2:F168),$G$2:$G$1000,0)),"")</f>
        <v/>
      </c>
      <c r="G168" s="9" t="str">
        <f>IF($E168="Yes",COUNTIF($E$2:$E168,"Yes"),"")</f>
        <v/>
      </c>
      <c r="H168" s="3" t="str">
        <f t="shared" si="2"/>
        <v/>
      </c>
    </row>
    <row r="169" spans="1:8" ht="14.25" customHeight="1" x14ac:dyDescent="0.3">
      <c r="A169" s="7"/>
      <c r="B169" s="7"/>
      <c r="C169" s="7"/>
      <c r="D169" s="7"/>
      <c r="E169" s="7"/>
      <c r="F169" s="9" t="str">
        <f>IFERROR(INDEX($A$2:$A$1000,MATCH(ROWS($F$2:F169),$G$2:$G$1000,0)),"")</f>
        <v/>
      </c>
      <c r="G169" s="9" t="str">
        <f>IF($E169="Yes",COUNTIF($E$2:$E169,"Yes"),"")</f>
        <v/>
      </c>
      <c r="H169" s="3" t="str">
        <f t="shared" si="2"/>
        <v/>
      </c>
    </row>
    <row r="170" spans="1:8" ht="14.25" customHeight="1" x14ac:dyDescent="0.3">
      <c r="A170" s="7"/>
      <c r="B170" s="7"/>
      <c r="C170" s="7"/>
      <c r="D170" s="7"/>
      <c r="E170" s="7"/>
      <c r="F170" s="9" t="str">
        <f>IFERROR(INDEX($A$2:$A$1000,MATCH(ROWS($F$2:F170),$G$2:$G$1000,0)),"")</f>
        <v/>
      </c>
      <c r="G170" s="9" t="str">
        <f>IF($E170="Yes",COUNTIF($E$2:$E170,"Yes"),"")</f>
        <v/>
      </c>
      <c r="H170" s="3" t="str">
        <f t="shared" si="2"/>
        <v/>
      </c>
    </row>
    <row r="171" spans="1:8" ht="14.25" customHeight="1" x14ac:dyDescent="0.3">
      <c r="A171" s="7"/>
      <c r="B171" s="7"/>
      <c r="C171" s="7"/>
      <c r="D171" s="7"/>
      <c r="E171" s="7"/>
      <c r="F171" s="9" t="str">
        <f>IFERROR(INDEX($A$2:$A$1000,MATCH(ROWS($F$2:F171),$G$2:$G$1000,0)),"")</f>
        <v/>
      </c>
      <c r="G171" s="9" t="str">
        <f>IF($E171="Yes",COUNTIF($E$2:$E171,"Yes"),"")</f>
        <v/>
      </c>
      <c r="H171" s="3" t="str">
        <f t="shared" si="2"/>
        <v/>
      </c>
    </row>
    <row r="172" spans="1:8" ht="14.25" customHeight="1" x14ac:dyDescent="0.3">
      <c r="A172" s="7"/>
      <c r="B172" s="7"/>
      <c r="C172" s="7"/>
      <c r="D172" s="7"/>
      <c r="E172" s="7"/>
      <c r="F172" s="9" t="str">
        <f>IFERROR(INDEX($A$2:$A$1000,MATCH(ROWS($F$2:F172),$G$2:$G$1000,0)),"")</f>
        <v/>
      </c>
      <c r="G172" s="9" t="str">
        <f>IF($E172="Yes",COUNTIF($E$2:$E172,"Yes"),"")</f>
        <v/>
      </c>
      <c r="H172" s="3" t="str">
        <f t="shared" si="2"/>
        <v/>
      </c>
    </row>
    <row r="173" spans="1:8" ht="14.25" customHeight="1" x14ac:dyDescent="0.3">
      <c r="A173" s="7"/>
      <c r="B173" s="7"/>
      <c r="C173" s="7"/>
      <c r="D173" s="7"/>
      <c r="E173" s="7"/>
      <c r="F173" s="9" t="str">
        <f>IFERROR(INDEX($A$2:$A$1000,MATCH(ROWS($F$2:F173),$G$2:$G$1000,0)),"")</f>
        <v/>
      </c>
      <c r="G173" s="9" t="str">
        <f>IF($E173="Yes",COUNTIF($E$2:$E173,"Yes"),"")</f>
        <v/>
      </c>
      <c r="H173" s="3" t="str">
        <f t="shared" si="2"/>
        <v/>
      </c>
    </row>
    <row r="174" spans="1:8" ht="14.25" customHeight="1" x14ac:dyDescent="0.3">
      <c r="A174" s="7"/>
      <c r="B174" s="7"/>
      <c r="C174" s="7"/>
      <c r="D174" s="7"/>
      <c r="E174" s="7"/>
      <c r="F174" s="9" t="str">
        <f>IFERROR(INDEX($A$2:$A$1000,MATCH(ROWS($F$2:F174),$G$2:$G$1000,0)),"")</f>
        <v/>
      </c>
      <c r="G174" s="9" t="str">
        <f>IF($E174="Yes",COUNTIF($E$2:$E174,"Yes"),"")</f>
        <v/>
      </c>
      <c r="H174" s="3" t="str">
        <f t="shared" si="2"/>
        <v/>
      </c>
    </row>
    <row r="175" spans="1:8" ht="14.25" customHeight="1" x14ac:dyDescent="0.3">
      <c r="A175" s="7"/>
      <c r="B175" s="7"/>
      <c r="C175" s="7"/>
      <c r="D175" s="7"/>
      <c r="E175" s="7"/>
      <c r="F175" s="9" t="str">
        <f>IFERROR(INDEX($A$2:$A$1000,MATCH(ROWS($F$2:F175),$G$2:$G$1000,0)),"")</f>
        <v/>
      </c>
      <c r="G175" s="9" t="str">
        <f>IF($E175="Yes",COUNTIF($E$2:$E175,"Yes"),"")</f>
        <v/>
      </c>
      <c r="H175" s="3" t="str">
        <f t="shared" si="2"/>
        <v/>
      </c>
    </row>
    <row r="176" spans="1:8" ht="14.25" customHeight="1" x14ac:dyDescent="0.3">
      <c r="A176" s="7"/>
      <c r="B176" s="7"/>
      <c r="C176" s="7"/>
      <c r="D176" s="7"/>
      <c r="E176" s="7"/>
      <c r="F176" s="9" t="str">
        <f>IFERROR(INDEX($A$2:$A$1000,MATCH(ROWS($F$2:F176),$G$2:$G$1000,0)),"")</f>
        <v/>
      </c>
      <c r="G176" s="9" t="str">
        <f>IF($E176="Yes",COUNTIF($E$2:$E176,"Yes"),"")</f>
        <v/>
      </c>
      <c r="H176" s="3" t="str">
        <f t="shared" si="2"/>
        <v/>
      </c>
    </row>
    <row r="177" spans="1:8" ht="14.25" customHeight="1" x14ac:dyDescent="0.3">
      <c r="A177" s="7"/>
      <c r="B177" s="7"/>
      <c r="C177" s="7"/>
      <c r="D177" s="7"/>
      <c r="E177" s="7"/>
      <c r="F177" s="9" t="str">
        <f>IFERROR(INDEX($A$2:$A$1000,MATCH(ROWS($F$2:F177),$G$2:$G$1000,0)),"")</f>
        <v/>
      </c>
      <c r="G177" s="9" t="str">
        <f>IF($E177="Yes",COUNTIF($E$2:$E177,"Yes"),"")</f>
        <v/>
      </c>
      <c r="H177" s="3" t="str">
        <f t="shared" si="2"/>
        <v/>
      </c>
    </row>
    <row r="178" spans="1:8" ht="14.25" customHeight="1" x14ac:dyDescent="0.3">
      <c r="A178" s="7"/>
      <c r="B178" s="7"/>
      <c r="C178" s="7"/>
      <c r="D178" s="7"/>
      <c r="E178" s="7"/>
      <c r="F178" s="9" t="str">
        <f>IFERROR(INDEX($A$2:$A$1000,MATCH(ROWS($F$2:F178),$G$2:$G$1000,0)),"")</f>
        <v/>
      </c>
      <c r="G178" s="9" t="str">
        <f>IF($E178="Yes",COUNTIF($E$2:$E178,"Yes"),"")</f>
        <v/>
      </c>
      <c r="H178" s="3" t="str">
        <f t="shared" si="2"/>
        <v/>
      </c>
    </row>
    <row r="179" spans="1:8" ht="14.25" customHeight="1" x14ac:dyDescent="0.3">
      <c r="A179" s="7"/>
      <c r="B179" s="7"/>
      <c r="C179" s="7"/>
      <c r="D179" s="7"/>
      <c r="E179" s="7"/>
      <c r="F179" s="9" t="str">
        <f>IFERROR(INDEX($A$2:$A$1000,MATCH(ROWS($F$2:F179),$G$2:$G$1000,0)),"")</f>
        <v/>
      </c>
      <c r="G179" s="9" t="str">
        <f>IF($E179="Yes",COUNTIF($E$2:$E179,"Yes"),"")</f>
        <v/>
      </c>
      <c r="H179" s="3" t="str">
        <f t="shared" si="2"/>
        <v/>
      </c>
    </row>
    <row r="180" spans="1:8" ht="14.25" customHeight="1" x14ac:dyDescent="0.3">
      <c r="A180" s="7"/>
      <c r="B180" s="7"/>
      <c r="C180" s="7"/>
      <c r="D180" s="7"/>
      <c r="E180" s="7"/>
      <c r="F180" s="9" t="str">
        <f>IFERROR(INDEX($A$2:$A$1000,MATCH(ROWS($F$2:F180),$G$2:$G$1000,0)),"")</f>
        <v/>
      </c>
      <c r="G180" s="9" t="str">
        <f>IF($E180="Yes",COUNTIF($E$2:$E180,"Yes"),"")</f>
        <v/>
      </c>
      <c r="H180" s="3" t="str">
        <f t="shared" si="2"/>
        <v/>
      </c>
    </row>
    <row r="181" spans="1:8" ht="14.25" customHeight="1" x14ac:dyDescent="0.3">
      <c r="A181" s="7"/>
      <c r="B181" s="7"/>
      <c r="C181" s="7"/>
      <c r="D181" s="7"/>
      <c r="E181" s="7"/>
      <c r="F181" s="9" t="str">
        <f>IFERROR(INDEX($A$2:$A$1000,MATCH(ROWS($F$2:F181),$G$2:$G$1000,0)),"")</f>
        <v/>
      </c>
      <c r="G181" s="9" t="str">
        <f>IF($E181="Yes",COUNTIF($E$2:$E181,"Yes"),"")</f>
        <v/>
      </c>
      <c r="H181" s="3" t="str">
        <f t="shared" si="2"/>
        <v/>
      </c>
    </row>
    <row r="182" spans="1:8" ht="14.25" customHeight="1" x14ac:dyDescent="0.3">
      <c r="A182" s="7"/>
      <c r="B182" s="7"/>
      <c r="C182" s="7"/>
      <c r="D182" s="7"/>
      <c r="E182" s="7"/>
      <c r="F182" s="9" t="str">
        <f>IFERROR(INDEX($A$2:$A$1000,MATCH(ROWS($F$2:F182),$G$2:$G$1000,0)),"")</f>
        <v/>
      </c>
      <c r="G182" s="9" t="str">
        <f>IF($E182="Yes",COUNTIF($E$2:$E182,"Yes"),"")</f>
        <v/>
      </c>
      <c r="H182" s="3" t="str">
        <f t="shared" si="2"/>
        <v/>
      </c>
    </row>
    <row r="183" spans="1:8" ht="14.25" customHeight="1" x14ac:dyDescent="0.3">
      <c r="A183" s="7"/>
      <c r="B183" s="7"/>
      <c r="C183" s="7"/>
      <c r="D183" s="7"/>
      <c r="E183" s="7"/>
      <c r="F183" s="9" t="str">
        <f>IFERROR(INDEX($A$2:$A$1000,MATCH(ROWS($F$2:F183),$G$2:$G$1000,0)),"")</f>
        <v/>
      </c>
      <c r="G183" s="9" t="str">
        <f>IF($E183="Yes",COUNTIF($E$2:$E183,"Yes"),"")</f>
        <v/>
      </c>
      <c r="H183" s="3" t="str">
        <f t="shared" si="2"/>
        <v/>
      </c>
    </row>
    <row r="184" spans="1:8" ht="14.25" customHeight="1" x14ac:dyDescent="0.3">
      <c r="A184" s="7"/>
      <c r="B184" s="7"/>
      <c r="C184" s="7"/>
      <c r="D184" s="7"/>
      <c r="E184" s="7"/>
      <c r="F184" s="9" t="str">
        <f>IFERROR(INDEX($A$2:$A$1000,MATCH(ROWS($F$2:F184),$G$2:$G$1000,0)),"")</f>
        <v/>
      </c>
      <c r="G184" s="9" t="str">
        <f>IF($E184="Yes",COUNTIF($E$2:$E184,"Yes"),"")</f>
        <v/>
      </c>
      <c r="H184" s="3" t="str">
        <f t="shared" si="2"/>
        <v/>
      </c>
    </row>
    <row r="185" spans="1:8" ht="14.25" customHeight="1" x14ac:dyDescent="0.3">
      <c r="A185" s="7"/>
      <c r="B185" s="7"/>
      <c r="C185" s="7"/>
      <c r="D185" s="7"/>
      <c r="E185" s="7"/>
      <c r="F185" s="9" t="str">
        <f>IFERROR(INDEX($A$2:$A$1000,MATCH(ROWS($F$2:F185),$G$2:$G$1000,0)),"")</f>
        <v/>
      </c>
      <c r="G185" s="9" t="str">
        <f>IF($E185="Yes",COUNTIF($E$2:$E185,"Yes"),"")</f>
        <v/>
      </c>
      <c r="H185" s="3" t="str">
        <f t="shared" si="2"/>
        <v/>
      </c>
    </row>
    <row r="186" spans="1:8" ht="14.25" customHeight="1" x14ac:dyDescent="0.3">
      <c r="A186" s="7"/>
      <c r="B186" s="7"/>
      <c r="C186" s="7"/>
      <c r="D186" s="7"/>
      <c r="E186" s="7"/>
      <c r="F186" s="9" t="str">
        <f>IFERROR(INDEX($A$2:$A$1000,MATCH(ROWS($F$2:F186),$G$2:$G$1000,0)),"")</f>
        <v/>
      </c>
      <c r="G186" s="9" t="str">
        <f>IF($E186="Yes",COUNTIF($E$2:$E186,"Yes"),"")</f>
        <v/>
      </c>
      <c r="H186" s="3" t="str">
        <f t="shared" si="2"/>
        <v/>
      </c>
    </row>
    <row r="187" spans="1:8" ht="14.25" customHeight="1" x14ac:dyDescent="0.3">
      <c r="A187" s="7"/>
      <c r="B187" s="7"/>
      <c r="C187" s="7"/>
      <c r="D187" s="7"/>
      <c r="E187" s="7"/>
      <c r="F187" s="9" t="str">
        <f>IFERROR(INDEX($A$2:$A$1000,MATCH(ROWS($F$2:F187),$G$2:$G$1000,0)),"")</f>
        <v/>
      </c>
      <c r="G187" s="9" t="str">
        <f>IF($E187="Yes",COUNTIF($E$2:$E187,"Yes"),"")</f>
        <v/>
      </c>
      <c r="H187" s="3" t="str">
        <f t="shared" si="2"/>
        <v/>
      </c>
    </row>
    <row r="188" spans="1:8" ht="14.25" customHeight="1" x14ac:dyDescent="0.3">
      <c r="A188" s="7"/>
      <c r="B188" s="7"/>
      <c r="C188" s="7"/>
      <c r="D188" s="7"/>
      <c r="E188" s="7"/>
      <c r="F188" s="9" t="str">
        <f>IFERROR(INDEX($A$2:$A$1000,MATCH(ROWS($F$2:F188),$G$2:$G$1000,0)),"")</f>
        <v/>
      </c>
      <c r="G188" s="9" t="str">
        <f>IF($E188="Yes",COUNTIF($E$2:$E188,"Yes"),"")</f>
        <v/>
      </c>
      <c r="H188" s="3" t="str">
        <f t="shared" si="2"/>
        <v/>
      </c>
    </row>
    <row r="189" spans="1:8" ht="14.25" customHeight="1" x14ac:dyDescent="0.3">
      <c r="A189" s="7"/>
      <c r="B189" s="7"/>
      <c r="C189" s="7"/>
      <c r="D189" s="7"/>
      <c r="E189" s="7"/>
      <c r="F189" s="9" t="str">
        <f>IFERROR(INDEX($A$2:$A$1000,MATCH(ROWS($F$2:F189),$G$2:$G$1000,0)),"")</f>
        <v/>
      </c>
      <c r="G189" s="9" t="str">
        <f>IF($E189="Yes",COUNTIF($E$2:$E189,"Yes"),"")</f>
        <v/>
      </c>
      <c r="H189" s="3" t="str">
        <f t="shared" si="2"/>
        <v/>
      </c>
    </row>
    <row r="190" spans="1:8" ht="14.25" customHeight="1" x14ac:dyDescent="0.3">
      <c r="A190" s="7"/>
      <c r="B190" s="7"/>
      <c r="C190" s="7"/>
      <c r="D190" s="7"/>
      <c r="E190" s="7"/>
      <c r="F190" s="9" t="str">
        <f>IFERROR(INDEX($A$2:$A$1000,MATCH(ROWS($F$2:F190),$G$2:$G$1000,0)),"")</f>
        <v/>
      </c>
      <c r="G190" s="9" t="str">
        <f>IF($E190="Yes",COUNTIF($E$2:$E190,"Yes"),"")</f>
        <v/>
      </c>
      <c r="H190" s="3" t="str">
        <f t="shared" si="2"/>
        <v/>
      </c>
    </row>
    <row r="191" spans="1:8" ht="14.25" customHeight="1" x14ac:dyDescent="0.3">
      <c r="A191" s="7"/>
      <c r="B191" s="7"/>
      <c r="C191" s="7"/>
      <c r="D191" s="7"/>
      <c r="E191" s="7"/>
      <c r="F191" s="9" t="str">
        <f>IFERROR(INDEX($A$2:$A$1000,MATCH(ROWS($F$2:F191),$G$2:$G$1000,0)),"")</f>
        <v/>
      </c>
      <c r="G191" s="9" t="str">
        <f>IF($E191="Yes",COUNTIF($E$2:$E191,"Yes"),"")</f>
        <v/>
      </c>
      <c r="H191" s="3" t="str">
        <f t="shared" si="2"/>
        <v/>
      </c>
    </row>
    <row r="192" spans="1:8" ht="14.25" customHeight="1" x14ac:dyDescent="0.3">
      <c r="A192" s="7"/>
      <c r="B192" s="7"/>
      <c r="C192" s="7"/>
      <c r="D192" s="7"/>
      <c r="E192" s="7"/>
      <c r="F192" s="9" t="str">
        <f>IFERROR(INDEX($A$2:$A$1000,MATCH(ROWS($F$2:F192),$G$2:$G$1000,0)),"")</f>
        <v/>
      </c>
      <c r="G192" s="9" t="str">
        <f>IF($E192="Yes",COUNTIF($E$2:$E192,"Yes"),"")</f>
        <v/>
      </c>
      <c r="H192" s="3" t="str">
        <f t="shared" si="2"/>
        <v/>
      </c>
    </row>
    <row r="193" spans="1:8" ht="14.25" customHeight="1" x14ac:dyDescent="0.3">
      <c r="A193" s="7"/>
      <c r="B193" s="7"/>
      <c r="C193" s="7"/>
      <c r="D193" s="7"/>
      <c r="E193" s="7"/>
      <c r="F193" s="9" t="str">
        <f>IFERROR(INDEX($A$2:$A$1000,MATCH(ROWS($F$2:F193),$G$2:$G$1000,0)),"")</f>
        <v/>
      </c>
      <c r="G193" s="9" t="str">
        <f>IF($E193="Yes",COUNTIF($E$2:$E193,"Yes"),"")</f>
        <v/>
      </c>
      <c r="H193" s="3" t="str">
        <f t="shared" si="2"/>
        <v/>
      </c>
    </row>
    <row r="194" spans="1:8" ht="14.25" customHeight="1" x14ac:dyDescent="0.3">
      <c r="A194" s="7"/>
      <c r="B194" s="7"/>
      <c r="C194" s="7"/>
      <c r="D194" s="7"/>
      <c r="E194" s="7"/>
      <c r="F194" s="9" t="str">
        <f>IFERROR(INDEX($A$2:$A$1000,MATCH(ROWS($F$2:F194),$G$2:$G$1000,0)),"")</f>
        <v/>
      </c>
      <c r="G194" s="9" t="str">
        <f>IF($E194="Yes",COUNTIF($E$2:$E194,"Yes"),"")</f>
        <v/>
      </c>
      <c r="H194" s="3" t="str">
        <f t="shared" ref="H194:H257" si="3">IF(COUNTA(A194:E194)=0,"",IF(COUNTIF($A$2:$A$1000,A194)&gt;1,"DUPLICATE YEAR_SEM",IF(OR(B194&lt;1,B194&gt;4,C194&lt;1,C194&gt;2),"INVALID YEAR/SEMESTER","OK")))</f>
        <v/>
      </c>
    </row>
    <row r="195" spans="1:8" ht="14.25" customHeight="1" x14ac:dyDescent="0.3">
      <c r="A195" s="7"/>
      <c r="B195" s="7"/>
      <c r="C195" s="7"/>
      <c r="D195" s="7"/>
      <c r="E195" s="7"/>
      <c r="F195" s="9" t="str">
        <f>IFERROR(INDEX($A$2:$A$1000,MATCH(ROWS($F$2:F195),$G$2:$G$1000,0)),"")</f>
        <v/>
      </c>
      <c r="G195" s="9" t="str">
        <f>IF($E195="Yes",COUNTIF($E$2:$E195,"Yes"),"")</f>
        <v/>
      </c>
      <c r="H195" s="3" t="str">
        <f t="shared" si="3"/>
        <v/>
      </c>
    </row>
    <row r="196" spans="1:8" ht="14.25" customHeight="1" x14ac:dyDescent="0.3">
      <c r="A196" s="7"/>
      <c r="B196" s="7"/>
      <c r="C196" s="7"/>
      <c r="D196" s="7"/>
      <c r="E196" s="7"/>
      <c r="F196" s="9" t="str">
        <f>IFERROR(INDEX($A$2:$A$1000,MATCH(ROWS($F$2:F196),$G$2:$G$1000,0)),"")</f>
        <v/>
      </c>
      <c r="G196" s="9" t="str">
        <f>IF($E196="Yes",COUNTIF($E$2:$E196,"Yes"),"")</f>
        <v/>
      </c>
      <c r="H196" s="3" t="str">
        <f t="shared" si="3"/>
        <v/>
      </c>
    </row>
    <row r="197" spans="1:8" ht="14.25" customHeight="1" x14ac:dyDescent="0.3">
      <c r="A197" s="7"/>
      <c r="B197" s="7"/>
      <c r="C197" s="7"/>
      <c r="D197" s="7"/>
      <c r="E197" s="7"/>
      <c r="F197" s="9" t="str">
        <f>IFERROR(INDEX($A$2:$A$1000,MATCH(ROWS($F$2:F197),$G$2:$G$1000,0)),"")</f>
        <v/>
      </c>
      <c r="G197" s="9" t="str">
        <f>IF($E197="Yes",COUNTIF($E$2:$E197,"Yes"),"")</f>
        <v/>
      </c>
      <c r="H197" s="3" t="str">
        <f t="shared" si="3"/>
        <v/>
      </c>
    </row>
    <row r="198" spans="1:8" ht="14.25" customHeight="1" x14ac:dyDescent="0.3">
      <c r="A198" s="7"/>
      <c r="B198" s="7"/>
      <c r="C198" s="7"/>
      <c r="D198" s="7"/>
      <c r="E198" s="7"/>
      <c r="F198" s="9" t="str">
        <f>IFERROR(INDEX($A$2:$A$1000,MATCH(ROWS($F$2:F198),$G$2:$G$1000,0)),"")</f>
        <v/>
      </c>
      <c r="G198" s="9" t="str">
        <f>IF($E198="Yes",COUNTIF($E$2:$E198,"Yes"),"")</f>
        <v/>
      </c>
      <c r="H198" s="3" t="str">
        <f t="shared" si="3"/>
        <v/>
      </c>
    </row>
    <row r="199" spans="1:8" ht="14.25" customHeight="1" x14ac:dyDescent="0.3">
      <c r="A199" s="7"/>
      <c r="B199" s="7"/>
      <c r="C199" s="7"/>
      <c r="D199" s="7"/>
      <c r="E199" s="7"/>
      <c r="F199" s="9" t="str">
        <f>IFERROR(INDEX($A$2:$A$1000,MATCH(ROWS($F$2:F199),$G$2:$G$1000,0)),"")</f>
        <v/>
      </c>
      <c r="G199" s="9" t="str">
        <f>IF($E199="Yes",COUNTIF($E$2:$E199,"Yes"),"")</f>
        <v/>
      </c>
      <c r="H199" s="3" t="str">
        <f t="shared" si="3"/>
        <v/>
      </c>
    </row>
    <row r="200" spans="1:8" ht="14.25" customHeight="1" x14ac:dyDescent="0.3">
      <c r="A200" s="7"/>
      <c r="B200" s="7"/>
      <c r="C200" s="7"/>
      <c r="D200" s="7"/>
      <c r="E200" s="7"/>
      <c r="F200" s="9" t="str">
        <f>IFERROR(INDEX($A$2:$A$1000,MATCH(ROWS($F$2:F200),$G$2:$G$1000,0)),"")</f>
        <v/>
      </c>
      <c r="G200" s="9" t="str">
        <f>IF($E200="Yes",COUNTIF($E$2:$E200,"Yes"),"")</f>
        <v/>
      </c>
      <c r="H200" s="3" t="str">
        <f t="shared" si="3"/>
        <v/>
      </c>
    </row>
    <row r="201" spans="1:8" ht="14.25" customHeight="1" x14ac:dyDescent="0.3">
      <c r="A201" s="7"/>
      <c r="B201" s="7"/>
      <c r="C201" s="7"/>
      <c r="D201" s="7"/>
      <c r="E201" s="7"/>
      <c r="F201" s="9" t="str">
        <f>IFERROR(INDEX($A$2:$A$1000,MATCH(ROWS($F$2:F201),$G$2:$G$1000,0)),"")</f>
        <v/>
      </c>
      <c r="G201" s="9" t="str">
        <f>IF($E201="Yes",COUNTIF($E$2:$E201,"Yes"),"")</f>
        <v/>
      </c>
      <c r="H201" s="3" t="str">
        <f t="shared" si="3"/>
        <v/>
      </c>
    </row>
    <row r="202" spans="1:8" ht="14.25" customHeight="1" x14ac:dyDescent="0.3">
      <c r="A202" s="7"/>
      <c r="B202" s="7"/>
      <c r="C202" s="7"/>
      <c r="D202" s="7"/>
      <c r="E202" s="7"/>
      <c r="F202" s="9" t="str">
        <f>IFERROR(INDEX($A$2:$A$1000,MATCH(ROWS($F$2:F202),$G$2:$G$1000,0)),"")</f>
        <v/>
      </c>
      <c r="G202" s="9" t="str">
        <f>IF($E202="Yes",COUNTIF($E$2:$E202,"Yes"),"")</f>
        <v/>
      </c>
      <c r="H202" s="3" t="str">
        <f t="shared" si="3"/>
        <v/>
      </c>
    </row>
    <row r="203" spans="1:8" ht="14.25" customHeight="1" x14ac:dyDescent="0.3">
      <c r="A203" s="7"/>
      <c r="B203" s="7"/>
      <c r="C203" s="7"/>
      <c r="D203" s="7"/>
      <c r="E203" s="7"/>
      <c r="F203" s="9" t="str">
        <f>IFERROR(INDEX($A$2:$A$1000,MATCH(ROWS($F$2:F203),$G$2:$G$1000,0)),"")</f>
        <v/>
      </c>
      <c r="G203" s="9" t="str">
        <f>IF($E203="Yes",COUNTIF($E$2:$E203,"Yes"),"")</f>
        <v/>
      </c>
      <c r="H203" s="3" t="str">
        <f t="shared" si="3"/>
        <v/>
      </c>
    </row>
    <row r="204" spans="1:8" ht="14.25" customHeight="1" x14ac:dyDescent="0.3">
      <c r="A204" s="7"/>
      <c r="B204" s="7"/>
      <c r="C204" s="7"/>
      <c r="D204" s="7"/>
      <c r="E204" s="7"/>
      <c r="F204" s="9" t="str">
        <f>IFERROR(INDEX($A$2:$A$1000,MATCH(ROWS($F$2:F204),$G$2:$G$1000,0)),"")</f>
        <v/>
      </c>
      <c r="G204" s="9" t="str">
        <f>IF($E204="Yes",COUNTIF($E$2:$E204,"Yes"),"")</f>
        <v/>
      </c>
      <c r="H204" s="3" t="str">
        <f t="shared" si="3"/>
        <v/>
      </c>
    </row>
    <row r="205" spans="1:8" ht="14.25" customHeight="1" x14ac:dyDescent="0.3">
      <c r="A205" s="7"/>
      <c r="B205" s="7"/>
      <c r="C205" s="7"/>
      <c r="D205" s="7"/>
      <c r="E205" s="7"/>
      <c r="F205" s="9" t="str">
        <f>IFERROR(INDEX($A$2:$A$1000,MATCH(ROWS($F$2:F205),$G$2:$G$1000,0)),"")</f>
        <v/>
      </c>
      <c r="G205" s="9" t="str">
        <f>IF($E205="Yes",COUNTIF($E$2:$E205,"Yes"),"")</f>
        <v/>
      </c>
      <c r="H205" s="3" t="str">
        <f t="shared" si="3"/>
        <v/>
      </c>
    </row>
    <row r="206" spans="1:8" ht="14.25" customHeight="1" x14ac:dyDescent="0.3">
      <c r="A206" s="7"/>
      <c r="B206" s="7"/>
      <c r="C206" s="7"/>
      <c r="D206" s="7"/>
      <c r="E206" s="7"/>
      <c r="F206" s="9" t="str">
        <f>IFERROR(INDEX($A$2:$A$1000,MATCH(ROWS($F$2:F206),$G$2:$G$1000,0)),"")</f>
        <v/>
      </c>
      <c r="G206" s="9" t="str">
        <f>IF($E206="Yes",COUNTIF($E$2:$E206,"Yes"),"")</f>
        <v/>
      </c>
      <c r="H206" s="3" t="str">
        <f t="shared" si="3"/>
        <v/>
      </c>
    </row>
    <row r="207" spans="1:8" ht="14.25" customHeight="1" x14ac:dyDescent="0.3">
      <c r="A207" s="7"/>
      <c r="B207" s="7"/>
      <c r="C207" s="7"/>
      <c r="D207" s="7"/>
      <c r="E207" s="7"/>
      <c r="F207" s="9" t="str">
        <f>IFERROR(INDEX($A$2:$A$1000,MATCH(ROWS($F$2:F207),$G$2:$G$1000,0)),"")</f>
        <v/>
      </c>
      <c r="G207" s="9" t="str">
        <f>IF($E207="Yes",COUNTIF($E$2:$E207,"Yes"),"")</f>
        <v/>
      </c>
      <c r="H207" s="3" t="str">
        <f t="shared" si="3"/>
        <v/>
      </c>
    </row>
    <row r="208" spans="1:8" ht="14.25" customHeight="1" x14ac:dyDescent="0.3">
      <c r="A208" s="7"/>
      <c r="B208" s="7"/>
      <c r="C208" s="7"/>
      <c r="D208" s="7"/>
      <c r="E208" s="7"/>
      <c r="F208" s="9" t="str">
        <f>IFERROR(INDEX($A$2:$A$1000,MATCH(ROWS($F$2:F208),$G$2:$G$1000,0)),"")</f>
        <v/>
      </c>
      <c r="G208" s="9" t="str">
        <f>IF($E208="Yes",COUNTIF($E$2:$E208,"Yes"),"")</f>
        <v/>
      </c>
      <c r="H208" s="3" t="str">
        <f t="shared" si="3"/>
        <v/>
      </c>
    </row>
    <row r="209" spans="1:8" ht="14.25" customHeight="1" x14ac:dyDescent="0.3">
      <c r="A209" s="7"/>
      <c r="B209" s="7"/>
      <c r="C209" s="7"/>
      <c r="D209" s="7"/>
      <c r="E209" s="7"/>
      <c r="F209" s="9" t="str">
        <f>IFERROR(INDEX($A$2:$A$1000,MATCH(ROWS($F$2:F209),$G$2:$G$1000,0)),"")</f>
        <v/>
      </c>
      <c r="G209" s="9" t="str">
        <f>IF($E209="Yes",COUNTIF($E$2:$E209,"Yes"),"")</f>
        <v/>
      </c>
      <c r="H209" s="3" t="str">
        <f t="shared" si="3"/>
        <v/>
      </c>
    </row>
    <row r="210" spans="1:8" ht="14.25" customHeight="1" x14ac:dyDescent="0.3">
      <c r="A210" s="7"/>
      <c r="B210" s="7"/>
      <c r="C210" s="7"/>
      <c r="D210" s="7"/>
      <c r="E210" s="7"/>
      <c r="F210" s="9" t="str">
        <f>IFERROR(INDEX($A$2:$A$1000,MATCH(ROWS($F$2:F210),$G$2:$G$1000,0)),"")</f>
        <v/>
      </c>
      <c r="G210" s="9" t="str">
        <f>IF($E210="Yes",COUNTIF($E$2:$E210,"Yes"),"")</f>
        <v/>
      </c>
      <c r="H210" s="3" t="str">
        <f t="shared" si="3"/>
        <v/>
      </c>
    </row>
    <row r="211" spans="1:8" ht="14.25" customHeight="1" x14ac:dyDescent="0.3">
      <c r="A211" s="7"/>
      <c r="B211" s="7"/>
      <c r="C211" s="7"/>
      <c r="D211" s="7"/>
      <c r="E211" s="7"/>
      <c r="F211" s="9" t="str">
        <f>IFERROR(INDEX($A$2:$A$1000,MATCH(ROWS($F$2:F211),$G$2:$G$1000,0)),"")</f>
        <v/>
      </c>
      <c r="G211" s="9" t="str">
        <f>IF($E211="Yes",COUNTIF($E$2:$E211,"Yes"),"")</f>
        <v/>
      </c>
      <c r="H211" s="3" t="str">
        <f t="shared" si="3"/>
        <v/>
      </c>
    </row>
    <row r="212" spans="1:8" ht="14.25" customHeight="1" x14ac:dyDescent="0.3">
      <c r="A212" s="7"/>
      <c r="B212" s="7"/>
      <c r="C212" s="7"/>
      <c r="D212" s="7"/>
      <c r="E212" s="7"/>
      <c r="F212" s="9" t="str">
        <f>IFERROR(INDEX($A$2:$A$1000,MATCH(ROWS($F$2:F212),$G$2:$G$1000,0)),"")</f>
        <v/>
      </c>
      <c r="G212" s="9" t="str">
        <f>IF($E212="Yes",COUNTIF($E$2:$E212,"Yes"),"")</f>
        <v/>
      </c>
      <c r="H212" s="3" t="str">
        <f t="shared" si="3"/>
        <v/>
      </c>
    </row>
    <row r="213" spans="1:8" ht="14.25" customHeight="1" x14ac:dyDescent="0.3">
      <c r="A213" s="7"/>
      <c r="B213" s="7"/>
      <c r="C213" s="7"/>
      <c r="D213" s="7"/>
      <c r="E213" s="7"/>
      <c r="F213" s="9" t="str">
        <f>IFERROR(INDEX($A$2:$A$1000,MATCH(ROWS($F$2:F213),$G$2:$G$1000,0)),"")</f>
        <v/>
      </c>
      <c r="G213" s="9" t="str">
        <f>IF($E213="Yes",COUNTIF($E$2:$E213,"Yes"),"")</f>
        <v/>
      </c>
      <c r="H213" s="3" t="str">
        <f t="shared" si="3"/>
        <v/>
      </c>
    </row>
    <row r="214" spans="1:8" ht="14.25" customHeight="1" x14ac:dyDescent="0.3">
      <c r="A214" s="7"/>
      <c r="B214" s="7"/>
      <c r="C214" s="7"/>
      <c r="D214" s="7"/>
      <c r="E214" s="7"/>
      <c r="F214" s="9" t="str">
        <f>IFERROR(INDEX($A$2:$A$1000,MATCH(ROWS($F$2:F214),$G$2:$G$1000,0)),"")</f>
        <v/>
      </c>
      <c r="G214" s="9" t="str">
        <f>IF($E214="Yes",COUNTIF($E$2:$E214,"Yes"),"")</f>
        <v/>
      </c>
      <c r="H214" s="3" t="str">
        <f t="shared" si="3"/>
        <v/>
      </c>
    </row>
    <row r="215" spans="1:8" ht="14.25" customHeight="1" x14ac:dyDescent="0.3">
      <c r="A215" s="7"/>
      <c r="B215" s="7"/>
      <c r="C215" s="7"/>
      <c r="D215" s="7"/>
      <c r="E215" s="7"/>
      <c r="F215" s="9" t="str">
        <f>IFERROR(INDEX($A$2:$A$1000,MATCH(ROWS($F$2:F215),$G$2:$G$1000,0)),"")</f>
        <v/>
      </c>
      <c r="G215" s="9" t="str">
        <f>IF($E215="Yes",COUNTIF($E$2:$E215,"Yes"),"")</f>
        <v/>
      </c>
      <c r="H215" s="3" t="str">
        <f t="shared" si="3"/>
        <v/>
      </c>
    </row>
    <row r="216" spans="1:8" ht="14.25" customHeight="1" x14ac:dyDescent="0.3">
      <c r="A216" s="7"/>
      <c r="B216" s="7"/>
      <c r="C216" s="7"/>
      <c r="D216" s="7"/>
      <c r="E216" s="7"/>
      <c r="F216" s="9" t="str">
        <f>IFERROR(INDEX($A$2:$A$1000,MATCH(ROWS($F$2:F216),$G$2:$G$1000,0)),"")</f>
        <v/>
      </c>
      <c r="G216" s="9" t="str">
        <f>IF($E216="Yes",COUNTIF($E$2:$E216,"Yes"),"")</f>
        <v/>
      </c>
      <c r="H216" s="3" t="str">
        <f t="shared" si="3"/>
        <v/>
      </c>
    </row>
    <row r="217" spans="1:8" ht="14.25" customHeight="1" x14ac:dyDescent="0.3">
      <c r="A217" s="7"/>
      <c r="B217" s="7"/>
      <c r="C217" s="7"/>
      <c r="D217" s="7"/>
      <c r="E217" s="7"/>
      <c r="F217" s="9" t="str">
        <f>IFERROR(INDEX($A$2:$A$1000,MATCH(ROWS($F$2:F217),$G$2:$G$1000,0)),"")</f>
        <v/>
      </c>
      <c r="G217" s="9" t="str">
        <f>IF($E217="Yes",COUNTIF($E$2:$E217,"Yes"),"")</f>
        <v/>
      </c>
      <c r="H217" s="3" t="str">
        <f t="shared" si="3"/>
        <v/>
      </c>
    </row>
    <row r="218" spans="1:8" ht="14.25" customHeight="1" x14ac:dyDescent="0.3">
      <c r="A218" s="7"/>
      <c r="B218" s="7"/>
      <c r="C218" s="7"/>
      <c r="D218" s="7"/>
      <c r="E218" s="7"/>
      <c r="F218" s="9" t="str">
        <f>IFERROR(INDEX($A$2:$A$1000,MATCH(ROWS($F$2:F218),$G$2:$G$1000,0)),"")</f>
        <v/>
      </c>
      <c r="G218" s="9" t="str">
        <f>IF($E218="Yes",COUNTIF($E$2:$E218,"Yes"),"")</f>
        <v/>
      </c>
      <c r="H218" s="3" t="str">
        <f t="shared" si="3"/>
        <v/>
      </c>
    </row>
    <row r="219" spans="1:8" ht="14.25" customHeight="1" x14ac:dyDescent="0.3">
      <c r="A219" s="7"/>
      <c r="B219" s="7"/>
      <c r="C219" s="7"/>
      <c r="D219" s="7"/>
      <c r="E219" s="7"/>
      <c r="F219" s="9" t="str">
        <f>IFERROR(INDEX($A$2:$A$1000,MATCH(ROWS($F$2:F219),$G$2:$G$1000,0)),"")</f>
        <v/>
      </c>
      <c r="G219" s="9" t="str">
        <f>IF($E219="Yes",COUNTIF($E$2:$E219,"Yes"),"")</f>
        <v/>
      </c>
      <c r="H219" s="3" t="str">
        <f t="shared" si="3"/>
        <v/>
      </c>
    </row>
    <row r="220" spans="1:8" ht="14.25" customHeight="1" x14ac:dyDescent="0.3">
      <c r="A220" s="7"/>
      <c r="B220" s="7"/>
      <c r="C220" s="7"/>
      <c r="D220" s="7"/>
      <c r="E220" s="7"/>
      <c r="F220" s="9" t="str">
        <f>IFERROR(INDEX($A$2:$A$1000,MATCH(ROWS($F$2:F220),$G$2:$G$1000,0)),"")</f>
        <v/>
      </c>
      <c r="G220" s="9" t="str">
        <f>IF($E220="Yes",COUNTIF($E$2:$E220,"Yes"),"")</f>
        <v/>
      </c>
      <c r="H220" s="3" t="str">
        <f t="shared" si="3"/>
        <v/>
      </c>
    </row>
    <row r="221" spans="1:8" ht="14.25" customHeight="1" x14ac:dyDescent="0.3">
      <c r="A221" s="7"/>
      <c r="B221" s="7"/>
      <c r="C221" s="7"/>
      <c r="D221" s="7"/>
      <c r="E221" s="7"/>
      <c r="F221" s="9" t="str">
        <f>IFERROR(INDEX($A$2:$A$1000,MATCH(ROWS($F$2:F221),$G$2:$G$1000,0)),"")</f>
        <v/>
      </c>
      <c r="G221" s="9" t="str">
        <f>IF($E221="Yes",COUNTIF($E$2:$E221,"Yes"),"")</f>
        <v/>
      </c>
      <c r="H221" s="3" t="str">
        <f t="shared" si="3"/>
        <v/>
      </c>
    </row>
    <row r="222" spans="1:8" ht="14.25" customHeight="1" x14ac:dyDescent="0.3">
      <c r="A222" s="7"/>
      <c r="B222" s="7"/>
      <c r="C222" s="7"/>
      <c r="D222" s="7"/>
      <c r="E222" s="7"/>
      <c r="F222" s="9" t="str">
        <f>IFERROR(INDEX($A$2:$A$1000,MATCH(ROWS($F$2:F222),$G$2:$G$1000,0)),"")</f>
        <v/>
      </c>
      <c r="G222" s="9" t="str">
        <f>IF($E222="Yes",COUNTIF($E$2:$E222,"Yes"),"")</f>
        <v/>
      </c>
      <c r="H222" s="3" t="str">
        <f t="shared" si="3"/>
        <v/>
      </c>
    </row>
    <row r="223" spans="1:8" ht="14.25" customHeight="1" x14ac:dyDescent="0.3">
      <c r="A223" s="7"/>
      <c r="B223" s="7"/>
      <c r="C223" s="7"/>
      <c r="D223" s="7"/>
      <c r="E223" s="7"/>
      <c r="F223" s="9" t="str">
        <f>IFERROR(INDEX($A$2:$A$1000,MATCH(ROWS($F$2:F223),$G$2:$G$1000,0)),"")</f>
        <v/>
      </c>
      <c r="G223" s="9" t="str">
        <f>IF($E223="Yes",COUNTIF($E$2:$E223,"Yes"),"")</f>
        <v/>
      </c>
      <c r="H223" s="3" t="str">
        <f t="shared" si="3"/>
        <v/>
      </c>
    </row>
    <row r="224" spans="1:8" ht="14.25" customHeight="1" x14ac:dyDescent="0.3">
      <c r="A224" s="7"/>
      <c r="B224" s="7"/>
      <c r="C224" s="7"/>
      <c r="D224" s="7"/>
      <c r="E224" s="7"/>
      <c r="F224" s="9" t="str">
        <f>IFERROR(INDEX($A$2:$A$1000,MATCH(ROWS($F$2:F224),$G$2:$G$1000,0)),"")</f>
        <v/>
      </c>
      <c r="G224" s="9" t="str">
        <f>IF($E224="Yes",COUNTIF($E$2:$E224,"Yes"),"")</f>
        <v/>
      </c>
      <c r="H224" s="3" t="str">
        <f t="shared" si="3"/>
        <v/>
      </c>
    </row>
    <row r="225" spans="1:8" ht="14.25" customHeight="1" x14ac:dyDescent="0.3">
      <c r="A225" s="7"/>
      <c r="B225" s="7"/>
      <c r="C225" s="7"/>
      <c r="D225" s="7"/>
      <c r="E225" s="7"/>
      <c r="F225" s="9" t="str">
        <f>IFERROR(INDEX($A$2:$A$1000,MATCH(ROWS($F$2:F225),$G$2:$G$1000,0)),"")</f>
        <v/>
      </c>
      <c r="G225" s="9" t="str">
        <f>IF($E225="Yes",COUNTIF($E$2:$E225,"Yes"),"")</f>
        <v/>
      </c>
      <c r="H225" s="3" t="str">
        <f t="shared" si="3"/>
        <v/>
      </c>
    </row>
    <row r="226" spans="1:8" ht="14.25" customHeight="1" x14ac:dyDescent="0.3">
      <c r="A226" s="7"/>
      <c r="B226" s="7"/>
      <c r="C226" s="7"/>
      <c r="D226" s="7"/>
      <c r="E226" s="7"/>
      <c r="F226" s="9" t="str">
        <f>IFERROR(INDEX($A$2:$A$1000,MATCH(ROWS($F$2:F226),$G$2:$G$1000,0)),"")</f>
        <v/>
      </c>
      <c r="G226" s="9" t="str">
        <f>IF($E226="Yes",COUNTIF($E$2:$E226,"Yes"),"")</f>
        <v/>
      </c>
      <c r="H226" s="3" t="str">
        <f t="shared" si="3"/>
        <v/>
      </c>
    </row>
    <row r="227" spans="1:8" ht="14.25" customHeight="1" x14ac:dyDescent="0.3">
      <c r="A227" s="7"/>
      <c r="B227" s="7"/>
      <c r="C227" s="7"/>
      <c r="D227" s="7"/>
      <c r="E227" s="7"/>
      <c r="F227" s="9" t="str">
        <f>IFERROR(INDEX($A$2:$A$1000,MATCH(ROWS($F$2:F227),$G$2:$G$1000,0)),"")</f>
        <v/>
      </c>
      <c r="G227" s="9" t="str">
        <f>IF($E227="Yes",COUNTIF($E$2:$E227,"Yes"),"")</f>
        <v/>
      </c>
      <c r="H227" s="3" t="str">
        <f t="shared" si="3"/>
        <v/>
      </c>
    </row>
    <row r="228" spans="1:8" ht="14.25" customHeight="1" x14ac:dyDescent="0.3">
      <c r="A228" s="7"/>
      <c r="B228" s="7"/>
      <c r="C228" s="7"/>
      <c r="D228" s="7"/>
      <c r="E228" s="7"/>
      <c r="F228" s="9" t="str">
        <f>IFERROR(INDEX($A$2:$A$1000,MATCH(ROWS($F$2:F228),$G$2:$G$1000,0)),"")</f>
        <v/>
      </c>
      <c r="G228" s="9" t="str">
        <f>IF($E228="Yes",COUNTIF($E$2:$E228,"Yes"),"")</f>
        <v/>
      </c>
      <c r="H228" s="3" t="str">
        <f t="shared" si="3"/>
        <v/>
      </c>
    </row>
    <row r="229" spans="1:8" ht="14.25" customHeight="1" x14ac:dyDescent="0.3">
      <c r="A229" s="7"/>
      <c r="B229" s="7"/>
      <c r="C229" s="7"/>
      <c r="D229" s="7"/>
      <c r="E229" s="7"/>
      <c r="F229" s="9" t="str">
        <f>IFERROR(INDEX($A$2:$A$1000,MATCH(ROWS($F$2:F229),$G$2:$G$1000,0)),"")</f>
        <v/>
      </c>
      <c r="G229" s="9" t="str">
        <f>IF($E229="Yes",COUNTIF($E$2:$E229,"Yes"),"")</f>
        <v/>
      </c>
      <c r="H229" s="3" t="str">
        <f t="shared" si="3"/>
        <v/>
      </c>
    </row>
    <row r="230" spans="1:8" ht="14.25" customHeight="1" x14ac:dyDescent="0.3">
      <c r="A230" s="7"/>
      <c r="B230" s="7"/>
      <c r="C230" s="7"/>
      <c r="D230" s="7"/>
      <c r="E230" s="7"/>
      <c r="F230" s="9" t="str">
        <f>IFERROR(INDEX($A$2:$A$1000,MATCH(ROWS($F$2:F230),$G$2:$G$1000,0)),"")</f>
        <v/>
      </c>
      <c r="G230" s="9" t="str">
        <f>IF($E230="Yes",COUNTIF($E$2:$E230,"Yes"),"")</f>
        <v/>
      </c>
      <c r="H230" s="3" t="str">
        <f t="shared" si="3"/>
        <v/>
      </c>
    </row>
    <row r="231" spans="1:8" ht="14.25" customHeight="1" x14ac:dyDescent="0.3">
      <c r="A231" s="7"/>
      <c r="B231" s="7"/>
      <c r="C231" s="7"/>
      <c r="D231" s="7"/>
      <c r="E231" s="7"/>
      <c r="F231" s="9" t="str">
        <f>IFERROR(INDEX($A$2:$A$1000,MATCH(ROWS($F$2:F231),$G$2:$G$1000,0)),"")</f>
        <v/>
      </c>
      <c r="G231" s="9" t="str">
        <f>IF($E231="Yes",COUNTIF($E$2:$E231,"Yes"),"")</f>
        <v/>
      </c>
      <c r="H231" s="3" t="str">
        <f t="shared" si="3"/>
        <v/>
      </c>
    </row>
    <row r="232" spans="1:8" ht="14.25" customHeight="1" x14ac:dyDescent="0.3">
      <c r="A232" s="7"/>
      <c r="B232" s="7"/>
      <c r="C232" s="7"/>
      <c r="D232" s="7"/>
      <c r="E232" s="7"/>
      <c r="F232" s="9" t="str">
        <f>IFERROR(INDEX($A$2:$A$1000,MATCH(ROWS($F$2:F232),$G$2:$G$1000,0)),"")</f>
        <v/>
      </c>
      <c r="G232" s="9" t="str">
        <f>IF($E232="Yes",COUNTIF($E$2:$E232,"Yes"),"")</f>
        <v/>
      </c>
      <c r="H232" s="3" t="str">
        <f t="shared" si="3"/>
        <v/>
      </c>
    </row>
    <row r="233" spans="1:8" ht="14.25" customHeight="1" x14ac:dyDescent="0.3">
      <c r="A233" s="7"/>
      <c r="B233" s="7"/>
      <c r="C233" s="7"/>
      <c r="D233" s="7"/>
      <c r="E233" s="7"/>
      <c r="F233" s="9" t="str">
        <f>IFERROR(INDEX($A$2:$A$1000,MATCH(ROWS($F$2:F233),$G$2:$G$1000,0)),"")</f>
        <v/>
      </c>
      <c r="G233" s="9" t="str">
        <f>IF($E233="Yes",COUNTIF($E$2:$E233,"Yes"),"")</f>
        <v/>
      </c>
      <c r="H233" s="3" t="str">
        <f t="shared" si="3"/>
        <v/>
      </c>
    </row>
    <row r="234" spans="1:8" ht="14.25" customHeight="1" x14ac:dyDescent="0.3">
      <c r="A234" s="7"/>
      <c r="B234" s="7"/>
      <c r="C234" s="7"/>
      <c r="D234" s="7"/>
      <c r="E234" s="7"/>
      <c r="F234" s="9" t="str">
        <f>IFERROR(INDEX($A$2:$A$1000,MATCH(ROWS($F$2:F234),$G$2:$G$1000,0)),"")</f>
        <v/>
      </c>
      <c r="G234" s="9" t="str">
        <f>IF($E234="Yes",COUNTIF($E$2:$E234,"Yes"),"")</f>
        <v/>
      </c>
      <c r="H234" s="3" t="str">
        <f t="shared" si="3"/>
        <v/>
      </c>
    </row>
    <row r="235" spans="1:8" ht="14.25" customHeight="1" x14ac:dyDescent="0.3">
      <c r="A235" s="7"/>
      <c r="B235" s="7"/>
      <c r="C235" s="7"/>
      <c r="D235" s="7"/>
      <c r="E235" s="7"/>
      <c r="F235" s="9" t="str">
        <f>IFERROR(INDEX($A$2:$A$1000,MATCH(ROWS($F$2:F235),$G$2:$G$1000,0)),"")</f>
        <v/>
      </c>
      <c r="G235" s="9" t="str">
        <f>IF($E235="Yes",COUNTIF($E$2:$E235,"Yes"),"")</f>
        <v/>
      </c>
      <c r="H235" s="3" t="str">
        <f t="shared" si="3"/>
        <v/>
      </c>
    </row>
    <row r="236" spans="1:8" ht="14.25" customHeight="1" x14ac:dyDescent="0.3">
      <c r="A236" s="7"/>
      <c r="B236" s="7"/>
      <c r="C236" s="7"/>
      <c r="D236" s="7"/>
      <c r="E236" s="7"/>
      <c r="F236" s="9" t="str">
        <f>IFERROR(INDEX($A$2:$A$1000,MATCH(ROWS($F$2:F236),$G$2:$G$1000,0)),"")</f>
        <v/>
      </c>
      <c r="G236" s="9" t="str">
        <f>IF($E236="Yes",COUNTIF($E$2:$E236,"Yes"),"")</f>
        <v/>
      </c>
      <c r="H236" s="3" t="str">
        <f t="shared" si="3"/>
        <v/>
      </c>
    </row>
    <row r="237" spans="1:8" ht="14.25" customHeight="1" x14ac:dyDescent="0.3">
      <c r="A237" s="7"/>
      <c r="B237" s="7"/>
      <c r="C237" s="7"/>
      <c r="D237" s="7"/>
      <c r="E237" s="7"/>
      <c r="F237" s="9" t="str">
        <f>IFERROR(INDEX($A$2:$A$1000,MATCH(ROWS($F$2:F237),$G$2:$G$1000,0)),"")</f>
        <v/>
      </c>
      <c r="G237" s="9" t="str">
        <f>IF($E237="Yes",COUNTIF($E$2:$E237,"Yes"),"")</f>
        <v/>
      </c>
      <c r="H237" s="3" t="str">
        <f t="shared" si="3"/>
        <v/>
      </c>
    </row>
    <row r="238" spans="1:8" ht="14.25" customHeight="1" x14ac:dyDescent="0.3">
      <c r="A238" s="7"/>
      <c r="B238" s="7"/>
      <c r="C238" s="7"/>
      <c r="D238" s="7"/>
      <c r="E238" s="7"/>
      <c r="F238" s="9" t="str">
        <f>IFERROR(INDEX($A$2:$A$1000,MATCH(ROWS($F$2:F238),$G$2:$G$1000,0)),"")</f>
        <v/>
      </c>
      <c r="G238" s="9" t="str">
        <f>IF($E238="Yes",COUNTIF($E$2:$E238,"Yes"),"")</f>
        <v/>
      </c>
      <c r="H238" s="3" t="str">
        <f t="shared" si="3"/>
        <v/>
      </c>
    </row>
    <row r="239" spans="1:8" ht="14.25" customHeight="1" x14ac:dyDescent="0.3">
      <c r="A239" s="7"/>
      <c r="B239" s="7"/>
      <c r="C239" s="7"/>
      <c r="D239" s="7"/>
      <c r="E239" s="7"/>
      <c r="F239" s="9" t="str">
        <f>IFERROR(INDEX($A$2:$A$1000,MATCH(ROWS($F$2:F239),$G$2:$G$1000,0)),"")</f>
        <v/>
      </c>
      <c r="G239" s="9" t="str">
        <f>IF($E239="Yes",COUNTIF($E$2:$E239,"Yes"),"")</f>
        <v/>
      </c>
      <c r="H239" s="3" t="str">
        <f t="shared" si="3"/>
        <v/>
      </c>
    </row>
    <row r="240" spans="1:8" ht="14.25" customHeight="1" x14ac:dyDescent="0.3">
      <c r="A240" s="7"/>
      <c r="B240" s="7"/>
      <c r="C240" s="7"/>
      <c r="D240" s="7"/>
      <c r="E240" s="7"/>
      <c r="F240" s="9" t="str">
        <f>IFERROR(INDEX($A$2:$A$1000,MATCH(ROWS($F$2:F240),$G$2:$G$1000,0)),"")</f>
        <v/>
      </c>
      <c r="G240" s="9" t="str">
        <f>IF($E240="Yes",COUNTIF($E$2:$E240,"Yes"),"")</f>
        <v/>
      </c>
      <c r="H240" s="3" t="str">
        <f t="shared" si="3"/>
        <v/>
      </c>
    </row>
    <row r="241" spans="1:8" ht="14.25" customHeight="1" x14ac:dyDescent="0.3">
      <c r="A241" s="7"/>
      <c r="B241" s="7"/>
      <c r="C241" s="7"/>
      <c r="D241" s="7"/>
      <c r="E241" s="7"/>
      <c r="F241" s="9" t="str">
        <f>IFERROR(INDEX($A$2:$A$1000,MATCH(ROWS($F$2:F241),$G$2:$G$1000,0)),"")</f>
        <v/>
      </c>
      <c r="G241" s="9" t="str">
        <f>IF($E241="Yes",COUNTIF($E$2:$E241,"Yes"),"")</f>
        <v/>
      </c>
      <c r="H241" s="3" t="str">
        <f t="shared" si="3"/>
        <v/>
      </c>
    </row>
    <row r="242" spans="1:8" ht="14.25" customHeight="1" x14ac:dyDescent="0.3">
      <c r="A242" s="7"/>
      <c r="B242" s="7"/>
      <c r="C242" s="7"/>
      <c r="D242" s="7"/>
      <c r="E242" s="7"/>
      <c r="F242" s="9" t="str">
        <f>IFERROR(INDEX($A$2:$A$1000,MATCH(ROWS($F$2:F242),$G$2:$G$1000,0)),"")</f>
        <v/>
      </c>
      <c r="G242" s="9" t="str">
        <f>IF($E242="Yes",COUNTIF($E$2:$E242,"Yes"),"")</f>
        <v/>
      </c>
      <c r="H242" s="3" t="str">
        <f t="shared" si="3"/>
        <v/>
      </c>
    </row>
    <row r="243" spans="1:8" ht="14.25" customHeight="1" x14ac:dyDescent="0.3">
      <c r="A243" s="7"/>
      <c r="B243" s="7"/>
      <c r="C243" s="7"/>
      <c r="D243" s="7"/>
      <c r="E243" s="7"/>
      <c r="F243" s="9" t="str">
        <f>IFERROR(INDEX($A$2:$A$1000,MATCH(ROWS($F$2:F243),$G$2:$G$1000,0)),"")</f>
        <v/>
      </c>
      <c r="G243" s="9" t="str">
        <f>IF($E243="Yes",COUNTIF($E$2:$E243,"Yes"),"")</f>
        <v/>
      </c>
      <c r="H243" s="3" t="str">
        <f t="shared" si="3"/>
        <v/>
      </c>
    </row>
    <row r="244" spans="1:8" ht="14.25" customHeight="1" x14ac:dyDescent="0.3">
      <c r="A244" s="7"/>
      <c r="B244" s="7"/>
      <c r="C244" s="7"/>
      <c r="D244" s="7"/>
      <c r="E244" s="7"/>
      <c r="F244" s="9" t="str">
        <f>IFERROR(INDEX($A$2:$A$1000,MATCH(ROWS($F$2:F244),$G$2:$G$1000,0)),"")</f>
        <v/>
      </c>
      <c r="G244" s="9" t="str">
        <f>IF($E244="Yes",COUNTIF($E$2:$E244,"Yes"),"")</f>
        <v/>
      </c>
      <c r="H244" s="3" t="str">
        <f t="shared" si="3"/>
        <v/>
      </c>
    </row>
    <row r="245" spans="1:8" ht="14.25" customHeight="1" x14ac:dyDescent="0.3">
      <c r="A245" s="7"/>
      <c r="B245" s="7"/>
      <c r="C245" s="7"/>
      <c r="D245" s="7"/>
      <c r="E245" s="7"/>
      <c r="F245" s="9" t="str">
        <f>IFERROR(INDEX($A$2:$A$1000,MATCH(ROWS($F$2:F245),$G$2:$G$1000,0)),"")</f>
        <v/>
      </c>
      <c r="G245" s="9" t="str">
        <f>IF($E245="Yes",COUNTIF($E$2:$E245,"Yes"),"")</f>
        <v/>
      </c>
      <c r="H245" s="3" t="str">
        <f t="shared" si="3"/>
        <v/>
      </c>
    </row>
    <row r="246" spans="1:8" ht="14.25" customHeight="1" x14ac:dyDescent="0.3">
      <c r="A246" s="7"/>
      <c r="B246" s="7"/>
      <c r="C246" s="7"/>
      <c r="D246" s="7"/>
      <c r="E246" s="7"/>
      <c r="F246" s="9" t="str">
        <f>IFERROR(INDEX($A$2:$A$1000,MATCH(ROWS($F$2:F246),$G$2:$G$1000,0)),"")</f>
        <v/>
      </c>
      <c r="G246" s="9" t="str">
        <f>IF($E246="Yes",COUNTIF($E$2:$E246,"Yes"),"")</f>
        <v/>
      </c>
      <c r="H246" s="3" t="str">
        <f t="shared" si="3"/>
        <v/>
      </c>
    </row>
    <row r="247" spans="1:8" ht="14.25" customHeight="1" x14ac:dyDescent="0.3">
      <c r="A247" s="7"/>
      <c r="B247" s="7"/>
      <c r="C247" s="7"/>
      <c r="D247" s="7"/>
      <c r="E247" s="7"/>
      <c r="F247" s="9" t="str">
        <f>IFERROR(INDEX($A$2:$A$1000,MATCH(ROWS($F$2:F247),$G$2:$G$1000,0)),"")</f>
        <v/>
      </c>
      <c r="G247" s="9" t="str">
        <f>IF($E247="Yes",COUNTIF($E$2:$E247,"Yes"),"")</f>
        <v/>
      </c>
      <c r="H247" s="3" t="str">
        <f t="shared" si="3"/>
        <v/>
      </c>
    </row>
    <row r="248" spans="1:8" ht="14.25" customHeight="1" x14ac:dyDescent="0.3">
      <c r="A248" s="7"/>
      <c r="B248" s="7"/>
      <c r="C248" s="7"/>
      <c r="D248" s="7"/>
      <c r="E248" s="7"/>
      <c r="F248" s="9" t="str">
        <f>IFERROR(INDEX($A$2:$A$1000,MATCH(ROWS($F$2:F248),$G$2:$G$1000,0)),"")</f>
        <v/>
      </c>
      <c r="G248" s="9" t="str">
        <f>IF($E248="Yes",COUNTIF($E$2:$E248,"Yes"),"")</f>
        <v/>
      </c>
      <c r="H248" s="3" t="str">
        <f t="shared" si="3"/>
        <v/>
      </c>
    </row>
    <row r="249" spans="1:8" ht="14.25" customHeight="1" x14ac:dyDescent="0.3">
      <c r="A249" s="7"/>
      <c r="B249" s="7"/>
      <c r="C249" s="7"/>
      <c r="D249" s="7"/>
      <c r="E249" s="7"/>
      <c r="F249" s="9" t="str">
        <f>IFERROR(INDEX($A$2:$A$1000,MATCH(ROWS($F$2:F249),$G$2:$G$1000,0)),"")</f>
        <v/>
      </c>
      <c r="G249" s="9" t="str">
        <f>IF($E249="Yes",COUNTIF($E$2:$E249,"Yes"),"")</f>
        <v/>
      </c>
      <c r="H249" s="3" t="str">
        <f t="shared" si="3"/>
        <v/>
      </c>
    </row>
    <row r="250" spans="1:8" ht="14.25" customHeight="1" x14ac:dyDescent="0.3">
      <c r="A250" s="7"/>
      <c r="B250" s="7"/>
      <c r="C250" s="7"/>
      <c r="D250" s="7"/>
      <c r="E250" s="7"/>
      <c r="F250" s="9" t="str">
        <f>IFERROR(INDEX($A$2:$A$1000,MATCH(ROWS($F$2:F250),$G$2:$G$1000,0)),"")</f>
        <v/>
      </c>
      <c r="G250" s="9" t="str">
        <f>IF($E250="Yes",COUNTIF($E$2:$E250,"Yes"),"")</f>
        <v/>
      </c>
      <c r="H250" s="3" t="str">
        <f t="shared" si="3"/>
        <v/>
      </c>
    </row>
    <row r="251" spans="1:8" ht="14.25" customHeight="1" x14ac:dyDescent="0.3">
      <c r="A251" s="7"/>
      <c r="B251" s="7"/>
      <c r="C251" s="7"/>
      <c r="D251" s="7"/>
      <c r="E251" s="7"/>
      <c r="F251" s="9" t="str">
        <f>IFERROR(INDEX($A$2:$A$1000,MATCH(ROWS($F$2:F251),$G$2:$G$1000,0)),"")</f>
        <v/>
      </c>
      <c r="G251" s="9" t="str">
        <f>IF($E251="Yes",COUNTIF($E$2:$E251,"Yes"),"")</f>
        <v/>
      </c>
      <c r="H251" s="3" t="str">
        <f t="shared" si="3"/>
        <v/>
      </c>
    </row>
    <row r="252" spans="1:8" ht="14.25" customHeight="1" x14ac:dyDescent="0.3">
      <c r="A252" s="7"/>
      <c r="B252" s="7"/>
      <c r="C252" s="7"/>
      <c r="D252" s="7"/>
      <c r="E252" s="7"/>
      <c r="F252" s="9" t="str">
        <f>IFERROR(INDEX($A$2:$A$1000,MATCH(ROWS($F$2:F252),$G$2:$G$1000,0)),"")</f>
        <v/>
      </c>
      <c r="G252" s="9" t="str">
        <f>IF($E252="Yes",COUNTIF($E$2:$E252,"Yes"),"")</f>
        <v/>
      </c>
      <c r="H252" s="3" t="str">
        <f t="shared" si="3"/>
        <v/>
      </c>
    </row>
    <row r="253" spans="1:8" ht="14.25" customHeight="1" x14ac:dyDescent="0.3">
      <c r="A253" s="7"/>
      <c r="B253" s="7"/>
      <c r="C253" s="7"/>
      <c r="D253" s="7"/>
      <c r="E253" s="7"/>
      <c r="F253" s="9" t="str">
        <f>IFERROR(INDEX($A$2:$A$1000,MATCH(ROWS($F$2:F253),$G$2:$G$1000,0)),"")</f>
        <v/>
      </c>
      <c r="G253" s="9" t="str">
        <f>IF($E253="Yes",COUNTIF($E$2:$E253,"Yes"),"")</f>
        <v/>
      </c>
      <c r="H253" s="3" t="str">
        <f t="shared" si="3"/>
        <v/>
      </c>
    </row>
    <row r="254" spans="1:8" ht="14.25" customHeight="1" x14ac:dyDescent="0.3">
      <c r="A254" s="7"/>
      <c r="B254" s="7"/>
      <c r="C254" s="7"/>
      <c r="D254" s="7"/>
      <c r="E254" s="7"/>
      <c r="F254" s="9" t="str">
        <f>IFERROR(INDEX($A$2:$A$1000,MATCH(ROWS($F$2:F254),$G$2:$G$1000,0)),"")</f>
        <v/>
      </c>
      <c r="G254" s="9" t="str">
        <f>IF($E254="Yes",COUNTIF($E$2:$E254,"Yes"),"")</f>
        <v/>
      </c>
      <c r="H254" s="3" t="str">
        <f t="shared" si="3"/>
        <v/>
      </c>
    </row>
    <row r="255" spans="1:8" ht="14.25" customHeight="1" x14ac:dyDescent="0.3">
      <c r="A255" s="7"/>
      <c r="B255" s="7"/>
      <c r="C255" s="7"/>
      <c r="D255" s="7"/>
      <c r="E255" s="7"/>
      <c r="F255" s="9" t="str">
        <f>IFERROR(INDEX($A$2:$A$1000,MATCH(ROWS($F$2:F255),$G$2:$G$1000,0)),"")</f>
        <v/>
      </c>
      <c r="G255" s="9" t="str">
        <f>IF($E255="Yes",COUNTIF($E$2:$E255,"Yes"),"")</f>
        <v/>
      </c>
      <c r="H255" s="3" t="str">
        <f t="shared" si="3"/>
        <v/>
      </c>
    </row>
    <row r="256" spans="1:8" ht="14.25" customHeight="1" x14ac:dyDescent="0.3">
      <c r="A256" s="7"/>
      <c r="B256" s="7"/>
      <c r="C256" s="7"/>
      <c r="D256" s="7"/>
      <c r="E256" s="7"/>
      <c r="F256" s="9" t="str">
        <f>IFERROR(INDEX($A$2:$A$1000,MATCH(ROWS($F$2:F256),$G$2:$G$1000,0)),"")</f>
        <v/>
      </c>
      <c r="G256" s="9" t="str">
        <f>IF($E256="Yes",COUNTIF($E$2:$E256,"Yes"),"")</f>
        <v/>
      </c>
      <c r="H256" s="3" t="str">
        <f t="shared" si="3"/>
        <v/>
      </c>
    </row>
    <row r="257" spans="1:8" ht="14.25" customHeight="1" x14ac:dyDescent="0.3">
      <c r="A257" s="7"/>
      <c r="B257" s="7"/>
      <c r="C257" s="7"/>
      <c r="D257" s="7"/>
      <c r="E257" s="7"/>
      <c r="F257" s="9" t="str">
        <f>IFERROR(INDEX($A$2:$A$1000,MATCH(ROWS($F$2:F257),$G$2:$G$1000,0)),"")</f>
        <v/>
      </c>
      <c r="G257" s="9" t="str">
        <f>IF($E257="Yes",COUNTIF($E$2:$E257,"Yes"),"")</f>
        <v/>
      </c>
      <c r="H257" s="3" t="str">
        <f t="shared" si="3"/>
        <v/>
      </c>
    </row>
    <row r="258" spans="1:8" ht="14.25" customHeight="1" x14ac:dyDescent="0.3">
      <c r="A258" s="7"/>
      <c r="B258" s="7"/>
      <c r="C258" s="7"/>
      <c r="D258" s="7"/>
      <c r="E258" s="7"/>
      <c r="F258" s="9" t="str">
        <f>IFERROR(INDEX($A$2:$A$1000,MATCH(ROWS($F$2:F258),$G$2:$G$1000,0)),"")</f>
        <v/>
      </c>
      <c r="G258" s="9" t="str">
        <f>IF($E258="Yes",COUNTIF($E$2:$E258,"Yes"),"")</f>
        <v/>
      </c>
      <c r="H258" s="3" t="str">
        <f t="shared" ref="H258:H321" si="4">IF(COUNTA(A258:E258)=0,"",IF(COUNTIF($A$2:$A$1000,A258)&gt;1,"DUPLICATE YEAR_SEM",IF(OR(B258&lt;1,B258&gt;4,C258&lt;1,C258&gt;2),"INVALID YEAR/SEMESTER","OK")))</f>
        <v/>
      </c>
    </row>
    <row r="259" spans="1:8" ht="14.25" customHeight="1" x14ac:dyDescent="0.3">
      <c r="A259" s="7"/>
      <c r="B259" s="7"/>
      <c r="C259" s="7"/>
      <c r="D259" s="7"/>
      <c r="E259" s="7"/>
      <c r="F259" s="9" t="str">
        <f>IFERROR(INDEX($A$2:$A$1000,MATCH(ROWS($F$2:F259),$G$2:$G$1000,0)),"")</f>
        <v/>
      </c>
      <c r="G259" s="9" t="str">
        <f>IF($E259="Yes",COUNTIF($E$2:$E259,"Yes"),"")</f>
        <v/>
      </c>
      <c r="H259" s="3" t="str">
        <f t="shared" si="4"/>
        <v/>
      </c>
    </row>
    <row r="260" spans="1:8" ht="14.25" customHeight="1" x14ac:dyDescent="0.3">
      <c r="A260" s="7"/>
      <c r="B260" s="7"/>
      <c r="C260" s="7"/>
      <c r="D260" s="7"/>
      <c r="E260" s="7"/>
      <c r="F260" s="9" t="str">
        <f>IFERROR(INDEX($A$2:$A$1000,MATCH(ROWS($F$2:F260),$G$2:$G$1000,0)),"")</f>
        <v/>
      </c>
      <c r="G260" s="9" t="str">
        <f>IF($E260="Yes",COUNTIF($E$2:$E260,"Yes"),"")</f>
        <v/>
      </c>
      <c r="H260" s="3" t="str">
        <f t="shared" si="4"/>
        <v/>
      </c>
    </row>
    <row r="261" spans="1:8" ht="14.25" customHeight="1" x14ac:dyDescent="0.3">
      <c r="A261" s="7"/>
      <c r="B261" s="7"/>
      <c r="C261" s="7"/>
      <c r="D261" s="7"/>
      <c r="E261" s="7"/>
      <c r="F261" s="9" t="str">
        <f>IFERROR(INDEX($A$2:$A$1000,MATCH(ROWS($F$2:F261),$G$2:$G$1000,0)),"")</f>
        <v/>
      </c>
      <c r="G261" s="9" t="str">
        <f>IF($E261="Yes",COUNTIF($E$2:$E261,"Yes"),"")</f>
        <v/>
      </c>
      <c r="H261" s="3" t="str">
        <f t="shared" si="4"/>
        <v/>
      </c>
    </row>
    <row r="262" spans="1:8" ht="14.25" customHeight="1" x14ac:dyDescent="0.3">
      <c r="A262" s="7"/>
      <c r="B262" s="7"/>
      <c r="C262" s="7"/>
      <c r="D262" s="7"/>
      <c r="E262" s="7"/>
      <c r="F262" s="9" t="str">
        <f>IFERROR(INDEX($A$2:$A$1000,MATCH(ROWS($F$2:F262),$G$2:$G$1000,0)),"")</f>
        <v/>
      </c>
      <c r="G262" s="9" t="str">
        <f>IF($E262="Yes",COUNTIF($E$2:$E262,"Yes"),"")</f>
        <v/>
      </c>
      <c r="H262" s="3" t="str">
        <f t="shared" si="4"/>
        <v/>
      </c>
    </row>
    <row r="263" spans="1:8" ht="14.25" customHeight="1" x14ac:dyDescent="0.3">
      <c r="A263" s="7"/>
      <c r="B263" s="7"/>
      <c r="C263" s="7"/>
      <c r="D263" s="7"/>
      <c r="E263" s="7"/>
      <c r="F263" s="9" t="str">
        <f>IFERROR(INDEX($A$2:$A$1000,MATCH(ROWS($F$2:F263),$G$2:$G$1000,0)),"")</f>
        <v/>
      </c>
      <c r="G263" s="9" t="str">
        <f>IF($E263="Yes",COUNTIF($E$2:$E263,"Yes"),"")</f>
        <v/>
      </c>
      <c r="H263" s="3" t="str">
        <f t="shared" si="4"/>
        <v/>
      </c>
    </row>
    <row r="264" spans="1:8" ht="14.25" customHeight="1" x14ac:dyDescent="0.3">
      <c r="A264" s="7"/>
      <c r="B264" s="7"/>
      <c r="C264" s="7"/>
      <c r="D264" s="7"/>
      <c r="E264" s="7"/>
      <c r="F264" s="9" t="str">
        <f>IFERROR(INDEX($A$2:$A$1000,MATCH(ROWS($F$2:F264),$G$2:$G$1000,0)),"")</f>
        <v/>
      </c>
      <c r="G264" s="9" t="str">
        <f>IF($E264="Yes",COUNTIF($E$2:$E264,"Yes"),"")</f>
        <v/>
      </c>
      <c r="H264" s="3" t="str">
        <f t="shared" si="4"/>
        <v/>
      </c>
    </row>
    <row r="265" spans="1:8" ht="14.25" customHeight="1" x14ac:dyDescent="0.3">
      <c r="A265" s="7"/>
      <c r="B265" s="7"/>
      <c r="C265" s="7"/>
      <c r="D265" s="7"/>
      <c r="E265" s="7"/>
      <c r="F265" s="9" t="str">
        <f>IFERROR(INDEX($A$2:$A$1000,MATCH(ROWS($F$2:F265),$G$2:$G$1000,0)),"")</f>
        <v/>
      </c>
      <c r="G265" s="9" t="str">
        <f>IF($E265="Yes",COUNTIF($E$2:$E265,"Yes"),"")</f>
        <v/>
      </c>
      <c r="H265" s="3" t="str">
        <f t="shared" si="4"/>
        <v/>
      </c>
    </row>
    <row r="266" spans="1:8" ht="14.25" customHeight="1" x14ac:dyDescent="0.3">
      <c r="A266" s="7"/>
      <c r="B266" s="7"/>
      <c r="C266" s="7"/>
      <c r="D266" s="7"/>
      <c r="E266" s="7"/>
      <c r="F266" s="9" t="str">
        <f>IFERROR(INDEX($A$2:$A$1000,MATCH(ROWS($F$2:F266),$G$2:$G$1000,0)),"")</f>
        <v/>
      </c>
      <c r="G266" s="9" t="str">
        <f>IF($E266="Yes",COUNTIF($E$2:$E266,"Yes"),"")</f>
        <v/>
      </c>
      <c r="H266" s="3" t="str">
        <f t="shared" si="4"/>
        <v/>
      </c>
    </row>
    <row r="267" spans="1:8" ht="14.25" customHeight="1" x14ac:dyDescent="0.3">
      <c r="A267" s="7"/>
      <c r="B267" s="7"/>
      <c r="C267" s="7"/>
      <c r="D267" s="7"/>
      <c r="E267" s="7"/>
      <c r="F267" s="9" t="str">
        <f>IFERROR(INDEX($A$2:$A$1000,MATCH(ROWS($F$2:F267),$G$2:$G$1000,0)),"")</f>
        <v/>
      </c>
      <c r="G267" s="9" t="str">
        <f>IF($E267="Yes",COUNTIF($E$2:$E267,"Yes"),"")</f>
        <v/>
      </c>
      <c r="H267" s="3" t="str">
        <f t="shared" si="4"/>
        <v/>
      </c>
    </row>
    <row r="268" spans="1:8" ht="14.25" customHeight="1" x14ac:dyDescent="0.3">
      <c r="A268" s="7"/>
      <c r="B268" s="7"/>
      <c r="C268" s="7"/>
      <c r="D268" s="7"/>
      <c r="E268" s="7"/>
      <c r="F268" s="9" t="str">
        <f>IFERROR(INDEX($A$2:$A$1000,MATCH(ROWS($F$2:F268),$G$2:$G$1000,0)),"")</f>
        <v/>
      </c>
      <c r="G268" s="9" t="str">
        <f>IF($E268="Yes",COUNTIF($E$2:$E268,"Yes"),"")</f>
        <v/>
      </c>
      <c r="H268" s="3" t="str">
        <f t="shared" si="4"/>
        <v/>
      </c>
    </row>
    <row r="269" spans="1:8" ht="14.25" customHeight="1" x14ac:dyDescent="0.3">
      <c r="A269" s="7"/>
      <c r="B269" s="7"/>
      <c r="C269" s="7"/>
      <c r="D269" s="7"/>
      <c r="E269" s="7"/>
      <c r="F269" s="9" t="str">
        <f>IFERROR(INDEX($A$2:$A$1000,MATCH(ROWS($F$2:F269),$G$2:$G$1000,0)),"")</f>
        <v/>
      </c>
      <c r="G269" s="9" t="str">
        <f>IF($E269="Yes",COUNTIF($E$2:$E269,"Yes"),"")</f>
        <v/>
      </c>
      <c r="H269" s="3" t="str">
        <f t="shared" si="4"/>
        <v/>
      </c>
    </row>
    <row r="270" spans="1:8" ht="14.25" customHeight="1" x14ac:dyDescent="0.3">
      <c r="A270" s="7"/>
      <c r="B270" s="7"/>
      <c r="C270" s="7"/>
      <c r="D270" s="7"/>
      <c r="E270" s="7"/>
      <c r="F270" s="9" t="str">
        <f>IFERROR(INDEX($A$2:$A$1000,MATCH(ROWS($F$2:F270),$G$2:$G$1000,0)),"")</f>
        <v/>
      </c>
      <c r="G270" s="9" t="str">
        <f>IF($E270="Yes",COUNTIF($E$2:$E270,"Yes"),"")</f>
        <v/>
      </c>
      <c r="H270" s="3" t="str">
        <f t="shared" si="4"/>
        <v/>
      </c>
    </row>
    <row r="271" spans="1:8" ht="14.25" customHeight="1" x14ac:dyDescent="0.3">
      <c r="A271" s="7"/>
      <c r="B271" s="7"/>
      <c r="C271" s="7"/>
      <c r="D271" s="7"/>
      <c r="E271" s="7"/>
      <c r="F271" s="9" t="str">
        <f>IFERROR(INDEX($A$2:$A$1000,MATCH(ROWS($F$2:F271),$G$2:$G$1000,0)),"")</f>
        <v/>
      </c>
      <c r="G271" s="9" t="str">
        <f>IF($E271="Yes",COUNTIF($E$2:$E271,"Yes"),"")</f>
        <v/>
      </c>
      <c r="H271" s="3" t="str">
        <f t="shared" si="4"/>
        <v/>
      </c>
    </row>
    <row r="272" spans="1:8" ht="14.25" customHeight="1" x14ac:dyDescent="0.3">
      <c r="A272" s="7"/>
      <c r="B272" s="7"/>
      <c r="C272" s="7"/>
      <c r="D272" s="7"/>
      <c r="E272" s="7"/>
      <c r="F272" s="9" t="str">
        <f>IFERROR(INDEX($A$2:$A$1000,MATCH(ROWS($F$2:F272),$G$2:$G$1000,0)),"")</f>
        <v/>
      </c>
      <c r="G272" s="9" t="str">
        <f>IF($E272="Yes",COUNTIF($E$2:$E272,"Yes"),"")</f>
        <v/>
      </c>
      <c r="H272" s="3" t="str">
        <f t="shared" si="4"/>
        <v/>
      </c>
    </row>
    <row r="273" spans="1:8" ht="14.25" customHeight="1" x14ac:dyDescent="0.3">
      <c r="A273" s="7"/>
      <c r="B273" s="7"/>
      <c r="C273" s="7"/>
      <c r="D273" s="7"/>
      <c r="E273" s="7"/>
      <c r="F273" s="9" t="str">
        <f>IFERROR(INDEX($A$2:$A$1000,MATCH(ROWS($F$2:F273),$G$2:$G$1000,0)),"")</f>
        <v/>
      </c>
      <c r="G273" s="9" t="str">
        <f>IF($E273="Yes",COUNTIF($E$2:$E273,"Yes"),"")</f>
        <v/>
      </c>
      <c r="H273" s="3" t="str">
        <f t="shared" si="4"/>
        <v/>
      </c>
    </row>
    <row r="274" spans="1:8" ht="14.25" customHeight="1" x14ac:dyDescent="0.3">
      <c r="A274" s="7"/>
      <c r="B274" s="7"/>
      <c r="C274" s="7"/>
      <c r="D274" s="7"/>
      <c r="E274" s="7"/>
      <c r="F274" s="9" t="str">
        <f>IFERROR(INDEX($A$2:$A$1000,MATCH(ROWS($F$2:F274),$G$2:$G$1000,0)),"")</f>
        <v/>
      </c>
      <c r="G274" s="9" t="str">
        <f>IF($E274="Yes",COUNTIF($E$2:$E274,"Yes"),"")</f>
        <v/>
      </c>
      <c r="H274" s="3" t="str">
        <f t="shared" si="4"/>
        <v/>
      </c>
    </row>
    <row r="275" spans="1:8" ht="14.25" customHeight="1" x14ac:dyDescent="0.3">
      <c r="A275" s="7"/>
      <c r="B275" s="7"/>
      <c r="C275" s="7"/>
      <c r="D275" s="7"/>
      <c r="E275" s="7"/>
      <c r="F275" s="9" t="str">
        <f>IFERROR(INDEX($A$2:$A$1000,MATCH(ROWS($F$2:F275),$G$2:$G$1000,0)),"")</f>
        <v/>
      </c>
      <c r="G275" s="9" t="str">
        <f>IF($E275="Yes",COUNTIF($E$2:$E275,"Yes"),"")</f>
        <v/>
      </c>
      <c r="H275" s="3" t="str">
        <f t="shared" si="4"/>
        <v/>
      </c>
    </row>
    <row r="276" spans="1:8" ht="14.25" customHeight="1" x14ac:dyDescent="0.3">
      <c r="A276" s="7"/>
      <c r="B276" s="7"/>
      <c r="C276" s="7"/>
      <c r="D276" s="7"/>
      <c r="E276" s="7"/>
      <c r="F276" s="9" t="str">
        <f>IFERROR(INDEX($A$2:$A$1000,MATCH(ROWS($F$2:F276),$G$2:$G$1000,0)),"")</f>
        <v/>
      </c>
      <c r="G276" s="9" t="str">
        <f>IF($E276="Yes",COUNTIF($E$2:$E276,"Yes"),"")</f>
        <v/>
      </c>
      <c r="H276" s="3" t="str">
        <f t="shared" si="4"/>
        <v/>
      </c>
    </row>
    <row r="277" spans="1:8" ht="14.25" customHeight="1" x14ac:dyDescent="0.3">
      <c r="A277" s="7"/>
      <c r="B277" s="7"/>
      <c r="C277" s="7"/>
      <c r="D277" s="7"/>
      <c r="E277" s="7"/>
      <c r="F277" s="9" t="str">
        <f>IFERROR(INDEX($A$2:$A$1000,MATCH(ROWS($F$2:F277),$G$2:$G$1000,0)),"")</f>
        <v/>
      </c>
      <c r="G277" s="9" t="str">
        <f>IF($E277="Yes",COUNTIF($E$2:$E277,"Yes"),"")</f>
        <v/>
      </c>
      <c r="H277" s="3" t="str">
        <f t="shared" si="4"/>
        <v/>
      </c>
    </row>
    <row r="278" spans="1:8" ht="14.25" customHeight="1" x14ac:dyDescent="0.3">
      <c r="A278" s="7"/>
      <c r="B278" s="7"/>
      <c r="C278" s="7"/>
      <c r="D278" s="7"/>
      <c r="E278" s="7"/>
      <c r="F278" s="9" t="str">
        <f>IFERROR(INDEX($A$2:$A$1000,MATCH(ROWS($F$2:F278),$G$2:$G$1000,0)),"")</f>
        <v/>
      </c>
      <c r="G278" s="9" t="str">
        <f>IF($E278="Yes",COUNTIF($E$2:$E278,"Yes"),"")</f>
        <v/>
      </c>
      <c r="H278" s="3" t="str">
        <f t="shared" si="4"/>
        <v/>
      </c>
    </row>
    <row r="279" spans="1:8" ht="14.25" customHeight="1" x14ac:dyDescent="0.3">
      <c r="A279" s="7"/>
      <c r="B279" s="7"/>
      <c r="C279" s="7"/>
      <c r="D279" s="7"/>
      <c r="E279" s="7"/>
      <c r="F279" s="9" t="str">
        <f>IFERROR(INDEX($A$2:$A$1000,MATCH(ROWS($F$2:F279),$G$2:$G$1000,0)),"")</f>
        <v/>
      </c>
      <c r="G279" s="9" t="str">
        <f>IF($E279="Yes",COUNTIF($E$2:$E279,"Yes"),"")</f>
        <v/>
      </c>
      <c r="H279" s="3" t="str">
        <f t="shared" si="4"/>
        <v/>
      </c>
    </row>
    <row r="280" spans="1:8" ht="14.25" customHeight="1" x14ac:dyDescent="0.3">
      <c r="A280" s="7"/>
      <c r="B280" s="7"/>
      <c r="C280" s="7"/>
      <c r="D280" s="7"/>
      <c r="E280" s="7"/>
      <c r="F280" s="9" t="str">
        <f>IFERROR(INDEX($A$2:$A$1000,MATCH(ROWS($F$2:F280),$G$2:$G$1000,0)),"")</f>
        <v/>
      </c>
      <c r="G280" s="9" t="str">
        <f>IF($E280="Yes",COUNTIF($E$2:$E280,"Yes"),"")</f>
        <v/>
      </c>
      <c r="H280" s="3" t="str">
        <f t="shared" si="4"/>
        <v/>
      </c>
    </row>
    <row r="281" spans="1:8" ht="14.25" customHeight="1" x14ac:dyDescent="0.3">
      <c r="A281" s="7"/>
      <c r="B281" s="7"/>
      <c r="C281" s="7"/>
      <c r="D281" s="7"/>
      <c r="E281" s="7"/>
      <c r="F281" s="9" t="str">
        <f>IFERROR(INDEX($A$2:$A$1000,MATCH(ROWS($F$2:F281),$G$2:$G$1000,0)),"")</f>
        <v/>
      </c>
      <c r="G281" s="9" t="str">
        <f>IF($E281="Yes",COUNTIF($E$2:$E281,"Yes"),"")</f>
        <v/>
      </c>
      <c r="H281" s="3" t="str">
        <f t="shared" si="4"/>
        <v/>
      </c>
    </row>
    <row r="282" spans="1:8" ht="14.25" customHeight="1" x14ac:dyDescent="0.3">
      <c r="A282" s="7"/>
      <c r="B282" s="7"/>
      <c r="C282" s="7"/>
      <c r="D282" s="7"/>
      <c r="E282" s="7"/>
      <c r="F282" s="9" t="str">
        <f>IFERROR(INDEX($A$2:$A$1000,MATCH(ROWS($F$2:F282),$G$2:$G$1000,0)),"")</f>
        <v/>
      </c>
      <c r="G282" s="9" t="str">
        <f>IF($E282="Yes",COUNTIF($E$2:$E282,"Yes"),"")</f>
        <v/>
      </c>
      <c r="H282" s="3" t="str">
        <f t="shared" si="4"/>
        <v/>
      </c>
    </row>
    <row r="283" spans="1:8" ht="14.25" customHeight="1" x14ac:dyDescent="0.3">
      <c r="A283" s="7"/>
      <c r="B283" s="7"/>
      <c r="C283" s="7"/>
      <c r="D283" s="7"/>
      <c r="E283" s="7"/>
      <c r="F283" s="9" t="str">
        <f>IFERROR(INDEX($A$2:$A$1000,MATCH(ROWS($F$2:F283),$G$2:$G$1000,0)),"")</f>
        <v/>
      </c>
      <c r="G283" s="9" t="str">
        <f>IF($E283="Yes",COUNTIF($E$2:$E283,"Yes"),"")</f>
        <v/>
      </c>
      <c r="H283" s="3" t="str">
        <f t="shared" si="4"/>
        <v/>
      </c>
    </row>
    <row r="284" spans="1:8" ht="14.25" customHeight="1" x14ac:dyDescent="0.3">
      <c r="A284" s="7"/>
      <c r="B284" s="7"/>
      <c r="C284" s="7"/>
      <c r="D284" s="7"/>
      <c r="E284" s="7"/>
      <c r="F284" s="9" t="str">
        <f>IFERROR(INDEX($A$2:$A$1000,MATCH(ROWS($F$2:F284),$G$2:$G$1000,0)),"")</f>
        <v/>
      </c>
      <c r="G284" s="9" t="str">
        <f>IF($E284="Yes",COUNTIF($E$2:$E284,"Yes"),"")</f>
        <v/>
      </c>
      <c r="H284" s="3" t="str">
        <f t="shared" si="4"/>
        <v/>
      </c>
    </row>
    <row r="285" spans="1:8" ht="14.25" customHeight="1" x14ac:dyDescent="0.3">
      <c r="A285" s="7"/>
      <c r="B285" s="7"/>
      <c r="C285" s="7"/>
      <c r="D285" s="7"/>
      <c r="E285" s="7"/>
      <c r="F285" s="9" t="str">
        <f>IFERROR(INDEX($A$2:$A$1000,MATCH(ROWS($F$2:F285),$G$2:$G$1000,0)),"")</f>
        <v/>
      </c>
      <c r="G285" s="9" t="str">
        <f>IF($E285="Yes",COUNTIF($E$2:$E285,"Yes"),"")</f>
        <v/>
      </c>
      <c r="H285" s="3" t="str">
        <f t="shared" si="4"/>
        <v/>
      </c>
    </row>
    <row r="286" spans="1:8" ht="14.25" customHeight="1" x14ac:dyDescent="0.3">
      <c r="A286" s="7"/>
      <c r="B286" s="7"/>
      <c r="C286" s="7"/>
      <c r="D286" s="7"/>
      <c r="E286" s="7"/>
      <c r="F286" s="9" t="str">
        <f>IFERROR(INDEX($A$2:$A$1000,MATCH(ROWS($F$2:F286),$G$2:$G$1000,0)),"")</f>
        <v/>
      </c>
      <c r="G286" s="9" t="str">
        <f>IF($E286="Yes",COUNTIF($E$2:$E286,"Yes"),"")</f>
        <v/>
      </c>
      <c r="H286" s="3" t="str">
        <f t="shared" si="4"/>
        <v/>
      </c>
    </row>
    <row r="287" spans="1:8" ht="14.25" customHeight="1" x14ac:dyDescent="0.3">
      <c r="A287" s="7"/>
      <c r="B287" s="7"/>
      <c r="C287" s="7"/>
      <c r="D287" s="7"/>
      <c r="E287" s="7"/>
      <c r="F287" s="9" t="str">
        <f>IFERROR(INDEX($A$2:$A$1000,MATCH(ROWS($F$2:F287),$G$2:$G$1000,0)),"")</f>
        <v/>
      </c>
      <c r="G287" s="9" t="str">
        <f>IF($E287="Yes",COUNTIF($E$2:$E287,"Yes"),"")</f>
        <v/>
      </c>
      <c r="H287" s="3" t="str">
        <f t="shared" si="4"/>
        <v/>
      </c>
    </row>
    <row r="288" spans="1:8" ht="14.25" customHeight="1" x14ac:dyDescent="0.3">
      <c r="A288" s="7"/>
      <c r="B288" s="7"/>
      <c r="C288" s="7"/>
      <c r="D288" s="7"/>
      <c r="E288" s="7"/>
      <c r="F288" s="9" t="str">
        <f>IFERROR(INDEX($A$2:$A$1000,MATCH(ROWS($F$2:F288),$G$2:$G$1000,0)),"")</f>
        <v/>
      </c>
      <c r="G288" s="9" t="str">
        <f>IF($E288="Yes",COUNTIF($E$2:$E288,"Yes"),"")</f>
        <v/>
      </c>
      <c r="H288" s="3" t="str">
        <f t="shared" si="4"/>
        <v/>
      </c>
    </row>
    <row r="289" spans="1:8" ht="14.25" customHeight="1" x14ac:dyDescent="0.3">
      <c r="A289" s="7"/>
      <c r="B289" s="7"/>
      <c r="C289" s="7"/>
      <c r="D289" s="7"/>
      <c r="E289" s="7"/>
      <c r="F289" s="9" t="str">
        <f>IFERROR(INDEX($A$2:$A$1000,MATCH(ROWS($F$2:F289),$G$2:$G$1000,0)),"")</f>
        <v/>
      </c>
      <c r="G289" s="9" t="str">
        <f>IF($E289="Yes",COUNTIF($E$2:$E289,"Yes"),"")</f>
        <v/>
      </c>
      <c r="H289" s="3" t="str">
        <f t="shared" si="4"/>
        <v/>
      </c>
    </row>
    <row r="290" spans="1:8" ht="14.25" customHeight="1" x14ac:dyDescent="0.3">
      <c r="A290" s="7"/>
      <c r="B290" s="7"/>
      <c r="C290" s="7"/>
      <c r="D290" s="7"/>
      <c r="E290" s="7"/>
      <c r="F290" s="9" t="str">
        <f>IFERROR(INDEX($A$2:$A$1000,MATCH(ROWS($F$2:F290),$G$2:$G$1000,0)),"")</f>
        <v/>
      </c>
      <c r="G290" s="9" t="str">
        <f>IF($E290="Yes",COUNTIF($E$2:$E290,"Yes"),"")</f>
        <v/>
      </c>
      <c r="H290" s="3" t="str">
        <f t="shared" si="4"/>
        <v/>
      </c>
    </row>
    <row r="291" spans="1:8" ht="14.25" customHeight="1" x14ac:dyDescent="0.3">
      <c r="A291" s="7"/>
      <c r="B291" s="7"/>
      <c r="C291" s="7"/>
      <c r="D291" s="7"/>
      <c r="E291" s="7"/>
      <c r="F291" s="9" t="str">
        <f>IFERROR(INDEX($A$2:$A$1000,MATCH(ROWS($F$2:F291),$G$2:$G$1000,0)),"")</f>
        <v/>
      </c>
      <c r="G291" s="9" t="str">
        <f>IF($E291="Yes",COUNTIF($E$2:$E291,"Yes"),"")</f>
        <v/>
      </c>
      <c r="H291" s="3" t="str">
        <f t="shared" si="4"/>
        <v/>
      </c>
    </row>
    <row r="292" spans="1:8" ht="14.25" customHeight="1" x14ac:dyDescent="0.3">
      <c r="A292" s="7"/>
      <c r="B292" s="7"/>
      <c r="C292" s="7"/>
      <c r="D292" s="7"/>
      <c r="E292" s="7"/>
      <c r="F292" s="9" t="str">
        <f>IFERROR(INDEX($A$2:$A$1000,MATCH(ROWS($F$2:F292),$G$2:$G$1000,0)),"")</f>
        <v/>
      </c>
      <c r="G292" s="9" t="str">
        <f>IF($E292="Yes",COUNTIF($E$2:$E292,"Yes"),"")</f>
        <v/>
      </c>
      <c r="H292" s="3" t="str">
        <f t="shared" si="4"/>
        <v/>
      </c>
    </row>
    <row r="293" spans="1:8" ht="14.25" customHeight="1" x14ac:dyDescent="0.3">
      <c r="A293" s="7"/>
      <c r="B293" s="7"/>
      <c r="C293" s="7"/>
      <c r="D293" s="7"/>
      <c r="E293" s="7"/>
      <c r="F293" s="9" t="str">
        <f>IFERROR(INDEX($A$2:$A$1000,MATCH(ROWS($F$2:F293),$G$2:$G$1000,0)),"")</f>
        <v/>
      </c>
      <c r="G293" s="9" t="str">
        <f>IF($E293="Yes",COUNTIF($E$2:$E293,"Yes"),"")</f>
        <v/>
      </c>
      <c r="H293" s="3" t="str">
        <f t="shared" si="4"/>
        <v/>
      </c>
    </row>
    <row r="294" spans="1:8" ht="14.25" customHeight="1" x14ac:dyDescent="0.3">
      <c r="A294" s="7"/>
      <c r="B294" s="7"/>
      <c r="C294" s="7"/>
      <c r="D294" s="7"/>
      <c r="E294" s="7"/>
      <c r="F294" s="9" t="str">
        <f>IFERROR(INDEX($A$2:$A$1000,MATCH(ROWS($F$2:F294),$G$2:$G$1000,0)),"")</f>
        <v/>
      </c>
      <c r="G294" s="9" t="str">
        <f>IF($E294="Yes",COUNTIF($E$2:$E294,"Yes"),"")</f>
        <v/>
      </c>
      <c r="H294" s="3" t="str">
        <f t="shared" si="4"/>
        <v/>
      </c>
    </row>
    <row r="295" spans="1:8" ht="14.25" customHeight="1" x14ac:dyDescent="0.3">
      <c r="A295" s="7"/>
      <c r="B295" s="7"/>
      <c r="C295" s="7"/>
      <c r="D295" s="7"/>
      <c r="E295" s="7"/>
      <c r="F295" s="9" t="str">
        <f>IFERROR(INDEX($A$2:$A$1000,MATCH(ROWS($F$2:F295),$G$2:$G$1000,0)),"")</f>
        <v/>
      </c>
      <c r="G295" s="9" t="str">
        <f>IF($E295="Yes",COUNTIF($E$2:$E295,"Yes"),"")</f>
        <v/>
      </c>
      <c r="H295" s="3" t="str">
        <f t="shared" si="4"/>
        <v/>
      </c>
    </row>
    <row r="296" spans="1:8" ht="14.25" customHeight="1" x14ac:dyDescent="0.3">
      <c r="A296" s="7"/>
      <c r="B296" s="7"/>
      <c r="C296" s="7"/>
      <c r="D296" s="7"/>
      <c r="E296" s="7"/>
      <c r="F296" s="9" t="str">
        <f>IFERROR(INDEX($A$2:$A$1000,MATCH(ROWS($F$2:F296),$G$2:$G$1000,0)),"")</f>
        <v/>
      </c>
      <c r="G296" s="9" t="str">
        <f>IF($E296="Yes",COUNTIF($E$2:$E296,"Yes"),"")</f>
        <v/>
      </c>
      <c r="H296" s="3" t="str">
        <f t="shared" si="4"/>
        <v/>
      </c>
    </row>
    <row r="297" spans="1:8" ht="14.25" customHeight="1" x14ac:dyDescent="0.3">
      <c r="A297" s="7"/>
      <c r="B297" s="7"/>
      <c r="C297" s="7"/>
      <c r="D297" s="7"/>
      <c r="E297" s="7"/>
      <c r="F297" s="9" t="str">
        <f>IFERROR(INDEX($A$2:$A$1000,MATCH(ROWS($F$2:F297),$G$2:$G$1000,0)),"")</f>
        <v/>
      </c>
      <c r="G297" s="9" t="str">
        <f>IF($E297="Yes",COUNTIF($E$2:$E297,"Yes"),"")</f>
        <v/>
      </c>
      <c r="H297" s="3" t="str">
        <f t="shared" si="4"/>
        <v/>
      </c>
    </row>
    <row r="298" spans="1:8" ht="14.25" customHeight="1" x14ac:dyDescent="0.3">
      <c r="A298" s="7"/>
      <c r="B298" s="7"/>
      <c r="C298" s="7"/>
      <c r="D298" s="7"/>
      <c r="E298" s="7"/>
      <c r="F298" s="9" t="str">
        <f>IFERROR(INDEX($A$2:$A$1000,MATCH(ROWS($F$2:F298),$G$2:$G$1000,0)),"")</f>
        <v/>
      </c>
      <c r="G298" s="9" t="str">
        <f>IF($E298="Yes",COUNTIF($E$2:$E298,"Yes"),"")</f>
        <v/>
      </c>
      <c r="H298" s="3" t="str">
        <f t="shared" si="4"/>
        <v/>
      </c>
    </row>
    <row r="299" spans="1:8" ht="14.25" customHeight="1" x14ac:dyDescent="0.3">
      <c r="A299" s="7"/>
      <c r="B299" s="7"/>
      <c r="C299" s="7"/>
      <c r="D299" s="7"/>
      <c r="E299" s="7"/>
      <c r="F299" s="9" t="str">
        <f>IFERROR(INDEX($A$2:$A$1000,MATCH(ROWS($F$2:F299),$G$2:$G$1000,0)),"")</f>
        <v/>
      </c>
      <c r="G299" s="9" t="str">
        <f>IF($E299="Yes",COUNTIF($E$2:$E299,"Yes"),"")</f>
        <v/>
      </c>
      <c r="H299" s="3" t="str">
        <f t="shared" si="4"/>
        <v/>
      </c>
    </row>
    <row r="300" spans="1:8" ht="14.25" customHeight="1" x14ac:dyDescent="0.3">
      <c r="A300" s="7"/>
      <c r="B300" s="7"/>
      <c r="C300" s="7"/>
      <c r="D300" s="7"/>
      <c r="E300" s="7"/>
      <c r="F300" s="9" t="str">
        <f>IFERROR(INDEX($A$2:$A$1000,MATCH(ROWS($F$2:F300),$G$2:$G$1000,0)),"")</f>
        <v/>
      </c>
      <c r="G300" s="9" t="str">
        <f>IF($E300="Yes",COUNTIF($E$2:$E300,"Yes"),"")</f>
        <v/>
      </c>
      <c r="H300" s="3" t="str">
        <f t="shared" si="4"/>
        <v/>
      </c>
    </row>
    <row r="301" spans="1:8" ht="14.25" customHeight="1" x14ac:dyDescent="0.3">
      <c r="A301" s="7"/>
      <c r="B301" s="7"/>
      <c r="C301" s="7"/>
      <c r="D301" s="7"/>
      <c r="E301" s="7"/>
      <c r="F301" s="9" t="str">
        <f>IFERROR(INDEX($A$2:$A$1000,MATCH(ROWS($F$2:F301),$G$2:$G$1000,0)),"")</f>
        <v/>
      </c>
      <c r="G301" s="9" t="str">
        <f>IF($E301="Yes",COUNTIF($E$2:$E301,"Yes"),"")</f>
        <v/>
      </c>
      <c r="H301" s="3" t="str">
        <f t="shared" si="4"/>
        <v/>
      </c>
    </row>
    <row r="302" spans="1:8" ht="14.25" customHeight="1" x14ac:dyDescent="0.3">
      <c r="A302" s="7"/>
      <c r="B302" s="7"/>
      <c r="C302" s="7"/>
      <c r="D302" s="7"/>
      <c r="E302" s="7"/>
      <c r="F302" s="9" t="str">
        <f>IFERROR(INDEX($A$2:$A$1000,MATCH(ROWS($F$2:F302),$G$2:$G$1000,0)),"")</f>
        <v/>
      </c>
      <c r="G302" s="9" t="str">
        <f>IF($E302="Yes",COUNTIF($E$2:$E302,"Yes"),"")</f>
        <v/>
      </c>
      <c r="H302" s="3" t="str">
        <f t="shared" si="4"/>
        <v/>
      </c>
    </row>
    <row r="303" spans="1:8" ht="14.25" customHeight="1" x14ac:dyDescent="0.3">
      <c r="A303" s="7"/>
      <c r="B303" s="7"/>
      <c r="C303" s="7"/>
      <c r="D303" s="7"/>
      <c r="E303" s="7"/>
      <c r="F303" s="9" t="str">
        <f>IFERROR(INDEX($A$2:$A$1000,MATCH(ROWS($F$2:F303),$G$2:$G$1000,0)),"")</f>
        <v/>
      </c>
      <c r="G303" s="9" t="str">
        <f>IF($E303="Yes",COUNTIF($E$2:$E303,"Yes"),"")</f>
        <v/>
      </c>
      <c r="H303" s="3" t="str">
        <f t="shared" si="4"/>
        <v/>
      </c>
    </row>
    <row r="304" spans="1:8" ht="14.25" customHeight="1" x14ac:dyDescent="0.3">
      <c r="A304" s="7"/>
      <c r="B304" s="7"/>
      <c r="C304" s="7"/>
      <c r="D304" s="7"/>
      <c r="E304" s="7"/>
      <c r="F304" s="9" t="str">
        <f>IFERROR(INDEX($A$2:$A$1000,MATCH(ROWS($F$2:F304),$G$2:$G$1000,0)),"")</f>
        <v/>
      </c>
      <c r="G304" s="9" t="str">
        <f>IF($E304="Yes",COUNTIF($E$2:$E304,"Yes"),"")</f>
        <v/>
      </c>
      <c r="H304" s="3" t="str">
        <f t="shared" si="4"/>
        <v/>
      </c>
    </row>
    <row r="305" spans="1:8" ht="14.25" customHeight="1" x14ac:dyDescent="0.3">
      <c r="A305" s="7"/>
      <c r="B305" s="7"/>
      <c r="C305" s="7"/>
      <c r="D305" s="7"/>
      <c r="E305" s="7"/>
      <c r="F305" s="9" t="str">
        <f>IFERROR(INDEX($A$2:$A$1000,MATCH(ROWS($F$2:F305),$G$2:$G$1000,0)),"")</f>
        <v/>
      </c>
      <c r="G305" s="9" t="str">
        <f>IF($E305="Yes",COUNTIF($E$2:$E305,"Yes"),"")</f>
        <v/>
      </c>
      <c r="H305" s="3" t="str">
        <f t="shared" si="4"/>
        <v/>
      </c>
    </row>
    <row r="306" spans="1:8" ht="14.25" customHeight="1" x14ac:dyDescent="0.3">
      <c r="A306" s="7"/>
      <c r="B306" s="7"/>
      <c r="C306" s="7"/>
      <c r="D306" s="7"/>
      <c r="E306" s="7"/>
      <c r="F306" s="9" t="str">
        <f>IFERROR(INDEX($A$2:$A$1000,MATCH(ROWS($F$2:F306),$G$2:$G$1000,0)),"")</f>
        <v/>
      </c>
      <c r="G306" s="9" t="str">
        <f>IF($E306="Yes",COUNTIF($E$2:$E306,"Yes"),"")</f>
        <v/>
      </c>
      <c r="H306" s="3" t="str">
        <f t="shared" si="4"/>
        <v/>
      </c>
    </row>
    <row r="307" spans="1:8" ht="14.25" customHeight="1" x14ac:dyDescent="0.3">
      <c r="A307" s="7"/>
      <c r="B307" s="7"/>
      <c r="C307" s="7"/>
      <c r="D307" s="7"/>
      <c r="E307" s="7"/>
      <c r="F307" s="9" t="str">
        <f>IFERROR(INDEX($A$2:$A$1000,MATCH(ROWS($F$2:F307),$G$2:$G$1000,0)),"")</f>
        <v/>
      </c>
      <c r="G307" s="9" t="str">
        <f>IF($E307="Yes",COUNTIF($E$2:$E307,"Yes"),"")</f>
        <v/>
      </c>
      <c r="H307" s="3" t="str">
        <f t="shared" si="4"/>
        <v/>
      </c>
    </row>
    <row r="308" spans="1:8" ht="14.25" customHeight="1" x14ac:dyDescent="0.3">
      <c r="A308" s="7"/>
      <c r="B308" s="7"/>
      <c r="C308" s="7"/>
      <c r="D308" s="7"/>
      <c r="E308" s="7"/>
      <c r="F308" s="9" t="str">
        <f>IFERROR(INDEX($A$2:$A$1000,MATCH(ROWS($F$2:F308),$G$2:$G$1000,0)),"")</f>
        <v/>
      </c>
      <c r="G308" s="9" t="str">
        <f>IF($E308="Yes",COUNTIF($E$2:$E308,"Yes"),"")</f>
        <v/>
      </c>
      <c r="H308" s="3" t="str">
        <f t="shared" si="4"/>
        <v/>
      </c>
    </row>
    <row r="309" spans="1:8" ht="14.25" customHeight="1" x14ac:dyDescent="0.3">
      <c r="A309" s="7"/>
      <c r="B309" s="7"/>
      <c r="C309" s="7"/>
      <c r="D309" s="7"/>
      <c r="E309" s="7"/>
      <c r="F309" s="9" t="str">
        <f>IFERROR(INDEX($A$2:$A$1000,MATCH(ROWS($F$2:F309),$G$2:$G$1000,0)),"")</f>
        <v/>
      </c>
      <c r="G309" s="9" t="str">
        <f>IF($E309="Yes",COUNTIF($E$2:$E309,"Yes"),"")</f>
        <v/>
      </c>
      <c r="H309" s="3" t="str">
        <f t="shared" si="4"/>
        <v/>
      </c>
    </row>
    <row r="310" spans="1:8" ht="14.25" customHeight="1" x14ac:dyDescent="0.3">
      <c r="A310" s="7"/>
      <c r="B310" s="7"/>
      <c r="C310" s="7"/>
      <c r="D310" s="7"/>
      <c r="E310" s="7"/>
      <c r="F310" s="9" t="str">
        <f>IFERROR(INDEX($A$2:$A$1000,MATCH(ROWS($F$2:F310),$G$2:$G$1000,0)),"")</f>
        <v/>
      </c>
      <c r="G310" s="9" t="str">
        <f>IF($E310="Yes",COUNTIF($E$2:$E310,"Yes"),"")</f>
        <v/>
      </c>
      <c r="H310" s="3" t="str">
        <f t="shared" si="4"/>
        <v/>
      </c>
    </row>
    <row r="311" spans="1:8" ht="14.25" customHeight="1" x14ac:dyDescent="0.3">
      <c r="A311" s="7"/>
      <c r="B311" s="7"/>
      <c r="C311" s="7"/>
      <c r="D311" s="7"/>
      <c r="E311" s="7"/>
      <c r="F311" s="9" t="str">
        <f>IFERROR(INDEX($A$2:$A$1000,MATCH(ROWS($F$2:F311),$G$2:$G$1000,0)),"")</f>
        <v/>
      </c>
      <c r="G311" s="9" t="str">
        <f>IF($E311="Yes",COUNTIF($E$2:$E311,"Yes"),"")</f>
        <v/>
      </c>
      <c r="H311" s="3" t="str">
        <f t="shared" si="4"/>
        <v/>
      </c>
    </row>
    <row r="312" spans="1:8" ht="14.25" customHeight="1" x14ac:dyDescent="0.3">
      <c r="A312" s="7"/>
      <c r="B312" s="7"/>
      <c r="C312" s="7"/>
      <c r="D312" s="7"/>
      <c r="E312" s="7"/>
      <c r="F312" s="9" t="str">
        <f>IFERROR(INDEX($A$2:$A$1000,MATCH(ROWS($F$2:F312),$G$2:$G$1000,0)),"")</f>
        <v/>
      </c>
      <c r="G312" s="9" t="str">
        <f>IF($E312="Yes",COUNTIF($E$2:$E312,"Yes"),"")</f>
        <v/>
      </c>
      <c r="H312" s="3" t="str">
        <f t="shared" si="4"/>
        <v/>
      </c>
    </row>
    <row r="313" spans="1:8" ht="14.25" customHeight="1" x14ac:dyDescent="0.3">
      <c r="A313" s="7"/>
      <c r="B313" s="7"/>
      <c r="C313" s="7"/>
      <c r="D313" s="7"/>
      <c r="E313" s="7"/>
      <c r="F313" s="9" t="str">
        <f>IFERROR(INDEX($A$2:$A$1000,MATCH(ROWS($F$2:F313),$G$2:$G$1000,0)),"")</f>
        <v/>
      </c>
      <c r="G313" s="9" t="str">
        <f>IF($E313="Yes",COUNTIF($E$2:$E313,"Yes"),"")</f>
        <v/>
      </c>
      <c r="H313" s="3" t="str">
        <f t="shared" si="4"/>
        <v/>
      </c>
    </row>
    <row r="314" spans="1:8" ht="14.25" customHeight="1" x14ac:dyDescent="0.3">
      <c r="A314" s="7"/>
      <c r="B314" s="7"/>
      <c r="C314" s="7"/>
      <c r="D314" s="7"/>
      <c r="E314" s="7"/>
      <c r="F314" s="9" t="str">
        <f>IFERROR(INDEX($A$2:$A$1000,MATCH(ROWS($F$2:F314),$G$2:$G$1000,0)),"")</f>
        <v/>
      </c>
      <c r="G314" s="9" t="str">
        <f>IF($E314="Yes",COUNTIF($E$2:$E314,"Yes"),"")</f>
        <v/>
      </c>
      <c r="H314" s="3" t="str">
        <f t="shared" si="4"/>
        <v/>
      </c>
    </row>
    <row r="315" spans="1:8" ht="14.25" customHeight="1" x14ac:dyDescent="0.3">
      <c r="A315" s="7"/>
      <c r="B315" s="7"/>
      <c r="C315" s="7"/>
      <c r="D315" s="7"/>
      <c r="E315" s="7"/>
      <c r="F315" s="9" t="str">
        <f>IFERROR(INDEX($A$2:$A$1000,MATCH(ROWS($F$2:F315),$G$2:$G$1000,0)),"")</f>
        <v/>
      </c>
      <c r="G315" s="9" t="str">
        <f>IF($E315="Yes",COUNTIF($E$2:$E315,"Yes"),"")</f>
        <v/>
      </c>
      <c r="H315" s="3" t="str">
        <f t="shared" si="4"/>
        <v/>
      </c>
    </row>
    <row r="316" spans="1:8" ht="14.25" customHeight="1" x14ac:dyDescent="0.3">
      <c r="A316" s="7"/>
      <c r="B316" s="7"/>
      <c r="C316" s="7"/>
      <c r="D316" s="7"/>
      <c r="E316" s="7"/>
      <c r="F316" s="9" t="str">
        <f>IFERROR(INDEX($A$2:$A$1000,MATCH(ROWS($F$2:F316),$G$2:$G$1000,0)),"")</f>
        <v/>
      </c>
      <c r="G316" s="9" t="str">
        <f>IF($E316="Yes",COUNTIF($E$2:$E316,"Yes"),"")</f>
        <v/>
      </c>
      <c r="H316" s="3" t="str">
        <f t="shared" si="4"/>
        <v/>
      </c>
    </row>
    <row r="317" spans="1:8" ht="14.25" customHeight="1" x14ac:dyDescent="0.3">
      <c r="A317" s="7"/>
      <c r="B317" s="7"/>
      <c r="C317" s="7"/>
      <c r="D317" s="7"/>
      <c r="E317" s="7"/>
      <c r="F317" s="9" t="str">
        <f>IFERROR(INDEX($A$2:$A$1000,MATCH(ROWS($F$2:F317),$G$2:$G$1000,0)),"")</f>
        <v/>
      </c>
      <c r="G317" s="9" t="str">
        <f>IF($E317="Yes",COUNTIF($E$2:$E317,"Yes"),"")</f>
        <v/>
      </c>
      <c r="H317" s="3" t="str">
        <f t="shared" si="4"/>
        <v/>
      </c>
    </row>
    <row r="318" spans="1:8" ht="14.25" customHeight="1" x14ac:dyDescent="0.3">
      <c r="A318" s="7"/>
      <c r="B318" s="7"/>
      <c r="C318" s="7"/>
      <c r="D318" s="7"/>
      <c r="E318" s="7"/>
      <c r="F318" s="9" t="str">
        <f>IFERROR(INDEX($A$2:$A$1000,MATCH(ROWS($F$2:F318),$G$2:$G$1000,0)),"")</f>
        <v/>
      </c>
      <c r="G318" s="9" t="str">
        <f>IF($E318="Yes",COUNTIF($E$2:$E318,"Yes"),"")</f>
        <v/>
      </c>
      <c r="H318" s="3" t="str">
        <f t="shared" si="4"/>
        <v/>
      </c>
    </row>
    <row r="319" spans="1:8" ht="14.25" customHeight="1" x14ac:dyDescent="0.3">
      <c r="A319" s="7"/>
      <c r="B319" s="7"/>
      <c r="C319" s="7"/>
      <c r="D319" s="7"/>
      <c r="E319" s="7"/>
      <c r="F319" s="9" t="str">
        <f>IFERROR(INDEX($A$2:$A$1000,MATCH(ROWS($F$2:F319),$G$2:$G$1000,0)),"")</f>
        <v/>
      </c>
      <c r="G319" s="9" t="str">
        <f>IF($E319="Yes",COUNTIF($E$2:$E319,"Yes"),"")</f>
        <v/>
      </c>
      <c r="H319" s="3" t="str">
        <f t="shared" si="4"/>
        <v/>
      </c>
    </row>
    <row r="320" spans="1:8" ht="14.25" customHeight="1" x14ac:dyDescent="0.3">
      <c r="A320" s="7"/>
      <c r="B320" s="7"/>
      <c r="C320" s="7"/>
      <c r="D320" s="7"/>
      <c r="E320" s="7"/>
      <c r="F320" s="9" t="str">
        <f>IFERROR(INDEX($A$2:$A$1000,MATCH(ROWS($F$2:F320),$G$2:$G$1000,0)),"")</f>
        <v/>
      </c>
      <c r="G320" s="9" t="str">
        <f>IF($E320="Yes",COUNTIF($E$2:$E320,"Yes"),"")</f>
        <v/>
      </c>
      <c r="H320" s="3" t="str">
        <f t="shared" si="4"/>
        <v/>
      </c>
    </row>
    <row r="321" spans="1:8" ht="14.25" customHeight="1" x14ac:dyDescent="0.3">
      <c r="A321" s="7"/>
      <c r="B321" s="7"/>
      <c r="C321" s="7"/>
      <c r="D321" s="7"/>
      <c r="E321" s="7"/>
      <c r="F321" s="9" t="str">
        <f>IFERROR(INDEX($A$2:$A$1000,MATCH(ROWS($F$2:F321),$G$2:$G$1000,0)),"")</f>
        <v/>
      </c>
      <c r="G321" s="9" t="str">
        <f>IF($E321="Yes",COUNTIF($E$2:$E321,"Yes"),"")</f>
        <v/>
      </c>
      <c r="H321" s="3" t="str">
        <f t="shared" si="4"/>
        <v/>
      </c>
    </row>
    <row r="322" spans="1:8" ht="14.25" customHeight="1" x14ac:dyDescent="0.3">
      <c r="A322" s="7"/>
      <c r="B322" s="7"/>
      <c r="C322" s="7"/>
      <c r="D322" s="7"/>
      <c r="E322" s="7"/>
      <c r="F322" s="9" t="str">
        <f>IFERROR(INDEX($A$2:$A$1000,MATCH(ROWS($F$2:F322),$G$2:$G$1000,0)),"")</f>
        <v/>
      </c>
      <c r="G322" s="9" t="str">
        <f>IF($E322="Yes",COUNTIF($E$2:$E322,"Yes"),"")</f>
        <v/>
      </c>
      <c r="H322" s="3" t="str">
        <f t="shared" ref="H322:H385" si="5">IF(COUNTA(A322:E322)=0,"",IF(COUNTIF($A$2:$A$1000,A322)&gt;1,"DUPLICATE YEAR_SEM",IF(OR(B322&lt;1,B322&gt;4,C322&lt;1,C322&gt;2),"INVALID YEAR/SEMESTER","OK")))</f>
        <v/>
      </c>
    </row>
    <row r="323" spans="1:8" ht="14.25" customHeight="1" x14ac:dyDescent="0.3">
      <c r="A323" s="7"/>
      <c r="B323" s="7"/>
      <c r="C323" s="7"/>
      <c r="D323" s="7"/>
      <c r="E323" s="7"/>
      <c r="F323" s="9" t="str">
        <f>IFERROR(INDEX($A$2:$A$1000,MATCH(ROWS($F$2:F323),$G$2:$G$1000,0)),"")</f>
        <v/>
      </c>
      <c r="G323" s="9" t="str">
        <f>IF($E323="Yes",COUNTIF($E$2:$E323,"Yes"),"")</f>
        <v/>
      </c>
      <c r="H323" s="3" t="str">
        <f t="shared" si="5"/>
        <v/>
      </c>
    </row>
    <row r="324" spans="1:8" ht="14.25" customHeight="1" x14ac:dyDescent="0.3">
      <c r="A324" s="7"/>
      <c r="B324" s="7"/>
      <c r="C324" s="7"/>
      <c r="D324" s="7"/>
      <c r="E324" s="7"/>
      <c r="F324" s="9" t="str">
        <f>IFERROR(INDEX($A$2:$A$1000,MATCH(ROWS($F$2:F324),$G$2:$G$1000,0)),"")</f>
        <v/>
      </c>
      <c r="G324" s="9" t="str">
        <f>IF($E324="Yes",COUNTIF($E$2:$E324,"Yes"),"")</f>
        <v/>
      </c>
      <c r="H324" s="3" t="str">
        <f t="shared" si="5"/>
        <v/>
      </c>
    </row>
    <row r="325" spans="1:8" ht="14.25" customHeight="1" x14ac:dyDescent="0.3">
      <c r="A325" s="7"/>
      <c r="B325" s="7"/>
      <c r="C325" s="7"/>
      <c r="D325" s="7"/>
      <c r="E325" s="7"/>
      <c r="F325" s="9" t="str">
        <f>IFERROR(INDEX($A$2:$A$1000,MATCH(ROWS($F$2:F325),$G$2:$G$1000,0)),"")</f>
        <v/>
      </c>
      <c r="G325" s="9" t="str">
        <f>IF($E325="Yes",COUNTIF($E$2:$E325,"Yes"),"")</f>
        <v/>
      </c>
      <c r="H325" s="3" t="str">
        <f t="shared" si="5"/>
        <v/>
      </c>
    </row>
    <row r="326" spans="1:8" ht="14.25" customHeight="1" x14ac:dyDescent="0.3">
      <c r="A326" s="7"/>
      <c r="B326" s="7"/>
      <c r="C326" s="7"/>
      <c r="D326" s="7"/>
      <c r="E326" s="7"/>
      <c r="F326" s="9" t="str">
        <f>IFERROR(INDEX($A$2:$A$1000,MATCH(ROWS($F$2:F326),$G$2:$G$1000,0)),"")</f>
        <v/>
      </c>
      <c r="G326" s="9" t="str">
        <f>IF($E326="Yes",COUNTIF($E$2:$E326,"Yes"),"")</f>
        <v/>
      </c>
      <c r="H326" s="3" t="str">
        <f t="shared" si="5"/>
        <v/>
      </c>
    </row>
    <row r="327" spans="1:8" ht="14.25" customHeight="1" x14ac:dyDescent="0.3">
      <c r="A327" s="7"/>
      <c r="B327" s="7"/>
      <c r="C327" s="7"/>
      <c r="D327" s="7"/>
      <c r="E327" s="7"/>
      <c r="F327" s="9" t="str">
        <f>IFERROR(INDEX($A$2:$A$1000,MATCH(ROWS($F$2:F327),$G$2:$G$1000,0)),"")</f>
        <v/>
      </c>
      <c r="G327" s="9" t="str">
        <f>IF($E327="Yes",COUNTIF($E$2:$E327,"Yes"),"")</f>
        <v/>
      </c>
      <c r="H327" s="3" t="str">
        <f t="shared" si="5"/>
        <v/>
      </c>
    </row>
    <row r="328" spans="1:8" ht="14.25" customHeight="1" x14ac:dyDescent="0.3">
      <c r="A328" s="7"/>
      <c r="B328" s="7"/>
      <c r="C328" s="7"/>
      <c r="D328" s="7"/>
      <c r="E328" s="7"/>
      <c r="F328" s="9" t="str">
        <f>IFERROR(INDEX($A$2:$A$1000,MATCH(ROWS($F$2:F328),$G$2:$G$1000,0)),"")</f>
        <v/>
      </c>
      <c r="G328" s="9" t="str">
        <f>IF($E328="Yes",COUNTIF($E$2:$E328,"Yes"),"")</f>
        <v/>
      </c>
      <c r="H328" s="3" t="str">
        <f t="shared" si="5"/>
        <v/>
      </c>
    </row>
    <row r="329" spans="1:8" ht="14.25" customHeight="1" x14ac:dyDescent="0.3">
      <c r="A329" s="7"/>
      <c r="B329" s="7"/>
      <c r="C329" s="7"/>
      <c r="D329" s="7"/>
      <c r="E329" s="7"/>
      <c r="F329" s="9" t="str">
        <f>IFERROR(INDEX($A$2:$A$1000,MATCH(ROWS($F$2:F329),$G$2:$G$1000,0)),"")</f>
        <v/>
      </c>
      <c r="G329" s="9" t="str">
        <f>IF($E329="Yes",COUNTIF($E$2:$E329,"Yes"),"")</f>
        <v/>
      </c>
      <c r="H329" s="3" t="str">
        <f t="shared" si="5"/>
        <v/>
      </c>
    </row>
    <row r="330" spans="1:8" ht="14.25" customHeight="1" x14ac:dyDescent="0.3">
      <c r="A330" s="7"/>
      <c r="B330" s="7"/>
      <c r="C330" s="7"/>
      <c r="D330" s="7"/>
      <c r="E330" s="7"/>
      <c r="F330" s="9" t="str">
        <f>IFERROR(INDEX($A$2:$A$1000,MATCH(ROWS($F$2:F330),$G$2:$G$1000,0)),"")</f>
        <v/>
      </c>
      <c r="G330" s="9" t="str">
        <f>IF($E330="Yes",COUNTIF($E$2:$E330,"Yes"),"")</f>
        <v/>
      </c>
      <c r="H330" s="3" t="str">
        <f t="shared" si="5"/>
        <v/>
      </c>
    </row>
    <row r="331" spans="1:8" ht="14.25" customHeight="1" x14ac:dyDescent="0.3">
      <c r="A331" s="7"/>
      <c r="B331" s="7"/>
      <c r="C331" s="7"/>
      <c r="D331" s="7"/>
      <c r="E331" s="7"/>
      <c r="F331" s="9" t="str">
        <f>IFERROR(INDEX($A$2:$A$1000,MATCH(ROWS($F$2:F331),$G$2:$G$1000,0)),"")</f>
        <v/>
      </c>
      <c r="G331" s="9" t="str">
        <f>IF($E331="Yes",COUNTIF($E$2:$E331,"Yes"),"")</f>
        <v/>
      </c>
      <c r="H331" s="3" t="str">
        <f t="shared" si="5"/>
        <v/>
      </c>
    </row>
    <row r="332" spans="1:8" ht="14.25" customHeight="1" x14ac:dyDescent="0.3">
      <c r="A332" s="7"/>
      <c r="B332" s="7"/>
      <c r="C332" s="7"/>
      <c r="D332" s="7"/>
      <c r="E332" s="7"/>
      <c r="F332" s="9" t="str">
        <f>IFERROR(INDEX($A$2:$A$1000,MATCH(ROWS($F$2:F332),$G$2:$G$1000,0)),"")</f>
        <v/>
      </c>
      <c r="G332" s="9" t="str">
        <f>IF($E332="Yes",COUNTIF($E$2:$E332,"Yes"),"")</f>
        <v/>
      </c>
      <c r="H332" s="3" t="str">
        <f t="shared" si="5"/>
        <v/>
      </c>
    </row>
    <row r="333" spans="1:8" ht="14.25" customHeight="1" x14ac:dyDescent="0.3">
      <c r="A333" s="7"/>
      <c r="B333" s="7"/>
      <c r="C333" s="7"/>
      <c r="D333" s="7"/>
      <c r="E333" s="7"/>
      <c r="F333" s="9" t="str">
        <f>IFERROR(INDEX($A$2:$A$1000,MATCH(ROWS($F$2:F333),$G$2:$G$1000,0)),"")</f>
        <v/>
      </c>
      <c r="G333" s="9" t="str">
        <f>IF($E333="Yes",COUNTIF($E$2:$E333,"Yes"),"")</f>
        <v/>
      </c>
      <c r="H333" s="3" t="str">
        <f t="shared" si="5"/>
        <v/>
      </c>
    </row>
    <row r="334" spans="1:8" ht="14.25" customHeight="1" x14ac:dyDescent="0.3">
      <c r="A334" s="7"/>
      <c r="B334" s="7"/>
      <c r="C334" s="7"/>
      <c r="D334" s="7"/>
      <c r="E334" s="7"/>
      <c r="F334" s="9" t="str">
        <f>IFERROR(INDEX($A$2:$A$1000,MATCH(ROWS($F$2:F334),$G$2:$G$1000,0)),"")</f>
        <v/>
      </c>
      <c r="G334" s="9" t="str">
        <f>IF($E334="Yes",COUNTIF($E$2:$E334,"Yes"),"")</f>
        <v/>
      </c>
      <c r="H334" s="3" t="str">
        <f t="shared" si="5"/>
        <v/>
      </c>
    </row>
    <row r="335" spans="1:8" ht="14.25" customHeight="1" x14ac:dyDescent="0.3">
      <c r="A335" s="7"/>
      <c r="B335" s="7"/>
      <c r="C335" s="7"/>
      <c r="D335" s="7"/>
      <c r="E335" s="7"/>
      <c r="F335" s="9" t="str">
        <f>IFERROR(INDEX($A$2:$A$1000,MATCH(ROWS($F$2:F335),$G$2:$G$1000,0)),"")</f>
        <v/>
      </c>
      <c r="G335" s="9" t="str">
        <f>IF($E335="Yes",COUNTIF($E$2:$E335,"Yes"),"")</f>
        <v/>
      </c>
      <c r="H335" s="3" t="str">
        <f t="shared" si="5"/>
        <v/>
      </c>
    </row>
    <row r="336" spans="1:8" ht="14.25" customHeight="1" x14ac:dyDescent="0.3">
      <c r="A336" s="7"/>
      <c r="B336" s="7"/>
      <c r="C336" s="7"/>
      <c r="D336" s="7"/>
      <c r="E336" s="7"/>
      <c r="F336" s="9" t="str">
        <f>IFERROR(INDEX($A$2:$A$1000,MATCH(ROWS($F$2:F336),$G$2:$G$1000,0)),"")</f>
        <v/>
      </c>
      <c r="G336" s="9" t="str">
        <f>IF($E336="Yes",COUNTIF($E$2:$E336,"Yes"),"")</f>
        <v/>
      </c>
      <c r="H336" s="3" t="str">
        <f t="shared" si="5"/>
        <v/>
      </c>
    </row>
    <row r="337" spans="1:8" ht="14.25" customHeight="1" x14ac:dyDescent="0.3">
      <c r="A337" s="7"/>
      <c r="B337" s="7"/>
      <c r="C337" s="7"/>
      <c r="D337" s="7"/>
      <c r="E337" s="7"/>
      <c r="F337" s="9" t="str">
        <f>IFERROR(INDEX($A$2:$A$1000,MATCH(ROWS($F$2:F337),$G$2:$G$1000,0)),"")</f>
        <v/>
      </c>
      <c r="G337" s="9" t="str">
        <f>IF($E337="Yes",COUNTIF($E$2:$E337,"Yes"),"")</f>
        <v/>
      </c>
      <c r="H337" s="3" t="str">
        <f t="shared" si="5"/>
        <v/>
      </c>
    </row>
    <row r="338" spans="1:8" ht="14.25" customHeight="1" x14ac:dyDescent="0.3">
      <c r="A338" s="7"/>
      <c r="B338" s="7"/>
      <c r="C338" s="7"/>
      <c r="D338" s="7"/>
      <c r="E338" s="7"/>
      <c r="F338" s="9" t="str">
        <f>IFERROR(INDEX($A$2:$A$1000,MATCH(ROWS($F$2:F338),$G$2:$G$1000,0)),"")</f>
        <v/>
      </c>
      <c r="G338" s="9" t="str">
        <f>IF($E338="Yes",COUNTIF($E$2:$E338,"Yes"),"")</f>
        <v/>
      </c>
      <c r="H338" s="3" t="str">
        <f t="shared" si="5"/>
        <v/>
      </c>
    </row>
    <row r="339" spans="1:8" ht="14.25" customHeight="1" x14ac:dyDescent="0.3">
      <c r="A339" s="7"/>
      <c r="B339" s="7"/>
      <c r="C339" s="7"/>
      <c r="D339" s="7"/>
      <c r="E339" s="7"/>
      <c r="F339" s="9" t="str">
        <f>IFERROR(INDEX($A$2:$A$1000,MATCH(ROWS($F$2:F339),$G$2:$G$1000,0)),"")</f>
        <v/>
      </c>
      <c r="G339" s="9" t="str">
        <f>IF($E339="Yes",COUNTIF($E$2:$E339,"Yes"),"")</f>
        <v/>
      </c>
      <c r="H339" s="3" t="str">
        <f t="shared" si="5"/>
        <v/>
      </c>
    </row>
    <row r="340" spans="1:8" ht="14.25" customHeight="1" x14ac:dyDescent="0.3">
      <c r="A340" s="7"/>
      <c r="B340" s="7"/>
      <c r="C340" s="7"/>
      <c r="D340" s="7"/>
      <c r="E340" s="7"/>
      <c r="F340" s="9" t="str">
        <f>IFERROR(INDEX($A$2:$A$1000,MATCH(ROWS($F$2:F340),$G$2:$G$1000,0)),"")</f>
        <v/>
      </c>
      <c r="G340" s="9" t="str">
        <f>IF($E340="Yes",COUNTIF($E$2:$E340,"Yes"),"")</f>
        <v/>
      </c>
      <c r="H340" s="3" t="str">
        <f t="shared" si="5"/>
        <v/>
      </c>
    </row>
    <row r="341" spans="1:8" ht="14.25" customHeight="1" x14ac:dyDescent="0.3">
      <c r="A341" s="7"/>
      <c r="B341" s="7"/>
      <c r="C341" s="7"/>
      <c r="D341" s="7"/>
      <c r="E341" s="7"/>
      <c r="F341" s="9" t="str">
        <f>IFERROR(INDEX($A$2:$A$1000,MATCH(ROWS($F$2:F341),$G$2:$G$1000,0)),"")</f>
        <v/>
      </c>
      <c r="G341" s="9" t="str">
        <f>IF($E341="Yes",COUNTIF($E$2:$E341,"Yes"),"")</f>
        <v/>
      </c>
      <c r="H341" s="3" t="str">
        <f t="shared" si="5"/>
        <v/>
      </c>
    </row>
    <row r="342" spans="1:8" ht="14.25" customHeight="1" x14ac:dyDescent="0.3">
      <c r="A342" s="7"/>
      <c r="B342" s="7"/>
      <c r="C342" s="7"/>
      <c r="D342" s="7"/>
      <c r="E342" s="7"/>
      <c r="F342" s="9" t="str">
        <f>IFERROR(INDEX($A$2:$A$1000,MATCH(ROWS($F$2:F342),$G$2:$G$1000,0)),"")</f>
        <v/>
      </c>
      <c r="G342" s="9" t="str">
        <f>IF($E342="Yes",COUNTIF($E$2:$E342,"Yes"),"")</f>
        <v/>
      </c>
      <c r="H342" s="3" t="str">
        <f t="shared" si="5"/>
        <v/>
      </c>
    </row>
    <row r="343" spans="1:8" ht="14.25" customHeight="1" x14ac:dyDescent="0.3">
      <c r="A343" s="7"/>
      <c r="B343" s="7"/>
      <c r="C343" s="7"/>
      <c r="D343" s="7"/>
      <c r="E343" s="7"/>
      <c r="F343" s="9" t="str">
        <f>IFERROR(INDEX($A$2:$A$1000,MATCH(ROWS($F$2:F343),$G$2:$G$1000,0)),"")</f>
        <v/>
      </c>
      <c r="G343" s="9" t="str">
        <f>IF($E343="Yes",COUNTIF($E$2:$E343,"Yes"),"")</f>
        <v/>
      </c>
      <c r="H343" s="3" t="str">
        <f t="shared" si="5"/>
        <v/>
      </c>
    </row>
    <row r="344" spans="1:8" ht="14.25" customHeight="1" x14ac:dyDescent="0.3">
      <c r="A344" s="7"/>
      <c r="B344" s="7"/>
      <c r="C344" s="7"/>
      <c r="D344" s="7"/>
      <c r="E344" s="7"/>
      <c r="F344" s="9" t="str">
        <f>IFERROR(INDEX($A$2:$A$1000,MATCH(ROWS($F$2:F344),$G$2:$G$1000,0)),"")</f>
        <v/>
      </c>
      <c r="G344" s="9" t="str">
        <f>IF($E344="Yes",COUNTIF($E$2:$E344,"Yes"),"")</f>
        <v/>
      </c>
      <c r="H344" s="3" t="str">
        <f t="shared" si="5"/>
        <v/>
      </c>
    </row>
    <row r="345" spans="1:8" ht="14.25" customHeight="1" x14ac:dyDescent="0.3">
      <c r="A345" s="7"/>
      <c r="B345" s="7"/>
      <c r="C345" s="7"/>
      <c r="D345" s="7"/>
      <c r="E345" s="7"/>
      <c r="F345" s="9" t="str">
        <f>IFERROR(INDEX($A$2:$A$1000,MATCH(ROWS($F$2:F345),$G$2:$G$1000,0)),"")</f>
        <v/>
      </c>
      <c r="G345" s="9" t="str">
        <f>IF($E345="Yes",COUNTIF($E$2:$E345,"Yes"),"")</f>
        <v/>
      </c>
      <c r="H345" s="3" t="str">
        <f t="shared" si="5"/>
        <v/>
      </c>
    </row>
    <row r="346" spans="1:8" ht="14.25" customHeight="1" x14ac:dyDescent="0.3">
      <c r="A346" s="7"/>
      <c r="B346" s="7"/>
      <c r="C346" s="7"/>
      <c r="D346" s="7"/>
      <c r="E346" s="7"/>
      <c r="F346" s="9" t="str">
        <f>IFERROR(INDEX($A$2:$A$1000,MATCH(ROWS($F$2:F346),$G$2:$G$1000,0)),"")</f>
        <v/>
      </c>
      <c r="G346" s="9" t="str">
        <f>IF($E346="Yes",COUNTIF($E$2:$E346,"Yes"),"")</f>
        <v/>
      </c>
      <c r="H346" s="3" t="str">
        <f t="shared" si="5"/>
        <v/>
      </c>
    </row>
    <row r="347" spans="1:8" ht="14.25" customHeight="1" x14ac:dyDescent="0.3">
      <c r="A347" s="7"/>
      <c r="B347" s="7"/>
      <c r="C347" s="7"/>
      <c r="D347" s="7"/>
      <c r="E347" s="7"/>
      <c r="F347" s="9" t="str">
        <f>IFERROR(INDEX($A$2:$A$1000,MATCH(ROWS($F$2:F347),$G$2:$G$1000,0)),"")</f>
        <v/>
      </c>
      <c r="G347" s="9" t="str">
        <f>IF($E347="Yes",COUNTIF($E$2:$E347,"Yes"),"")</f>
        <v/>
      </c>
      <c r="H347" s="3" t="str">
        <f t="shared" si="5"/>
        <v/>
      </c>
    </row>
    <row r="348" spans="1:8" ht="14.25" customHeight="1" x14ac:dyDescent="0.3">
      <c r="A348" s="7"/>
      <c r="B348" s="7"/>
      <c r="C348" s="7"/>
      <c r="D348" s="7"/>
      <c r="E348" s="7"/>
      <c r="F348" s="9" t="str">
        <f>IFERROR(INDEX($A$2:$A$1000,MATCH(ROWS($F$2:F348),$G$2:$G$1000,0)),"")</f>
        <v/>
      </c>
      <c r="G348" s="9" t="str">
        <f>IF($E348="Yes",COUNTIF($E$2:$E348,"Yes"),"")</f>
        <v/>
      </c>
      <c r="H348" s="3" t="str">
        <f t="shared" si="5"/>
        <v/>
      </c>
    </row>
    <row r="349" spans="1:8" ht="14.25" customHeight="1" x14ac:dyDescent="0.3">
      <c r="A349" s="7"/>
      <c r="B349" s="7"/>
      <c r="C349" s="7"/>
      <c r="D349" s="7"/>
      <c r="E349" s="7"/>
      <c r="F349" s="9" t="str">
        <f>IFERROR(INDEX($A$2:$A$1000,MATCH(ROWS($F$2:F349),$G$2:$G$1000,0)),"")</f>
        <v/>
      </c>
      <c r="G349" s="9" t="str">
        <f>IF($E349="Yes",COUNTIF($E$2:$E349,"Yes"),"")</f>
        <v/>
      </c>
      <c r="H349" s="3" t="str">
        <f t="shared" si="5"/>
        <v/>
      </c>
    </row>
    <row r="350" spans="1:8" ht="14.25" customHeight="1" x14ac:dyDescent="0.3">
      <c r="A350" s="7"/>
      <c r="B350" s="7"/>
      <c r="C350" s="7"/>
      <c r="D350" s="7"/>
      <c r="E350" s="7"/>
      <c r="F350" s="9" t="str">
        <f>IFERROR(INDEX($A$2:$A$1000,MATCH(ROWS($F$2:F350),$G$2:$G$1000,0)),"")</f>
        <v/>
      </c>
      <c r="G350" s="9" t="str">
        <f>IF($E350="Yes",COUNTIF($E$2:$E350,"Yes"),"")</f>
        <v/>
      </c>
      <c r="H350" s="3" t="str">
        <f t="shared" si="5"/>
        <v/>
      </c>
    </row>
    <row r="351" spans="1:8" ht="14.25" customHeight="1" x14ac:dyDescent="0.3">
      <c r="A351" s="7"/>
      <c r="B351" s="7"/>
      <c r="C351" s="7"/>
      <c r="D351" s="7"/>
      <c r="E351" s="7"/>
      <c r="F351" s="9" t="str">
        <f>IFERROR(INDEX($A$2:$A$1000,MATCH(ROWS($F$2:F351),$G$2:$G$1000,0)),"")</f>
        <v/>
      </c>
      <c r="G351" s="9" t="str">
        <f>IF($E351="Yes",COUNTIF($E$2:$E351,"Yes"),"")</f>
        <v/>
      </c>
      <c r="H351" s="3" t="str">
        <f t="shared" si="5"/>
        <v/>
      </c>
    </row>
    <row r="352" spans="1:8" ht="14.25" customHeight="1" x14ac:dyDescent="0.3">
      <c r="A352" s="7"/>
      <c r="B352" s="7"/>
      <c r="C352" s="7"/>
      <c r="D352" s="7"/>
      <c r="E352" s="7"/>
      <c r="F352" s="9" t="str">
        <f>IFERROR(INDEX($A$2:$A$1000,MATCH(ROWS($F$2:F352),$G$2:$G$1000,0)),"")</f>
        <v/>
      </c>
      <c r="G352" s="9" t="str">
        <f>IF($E352="Yes",COUNTIF($E$2:$E352,"Yes"),"")</f>
        <v/>
      </c>
      <c r="H352" s="3" t="str">
        <f t="shared" si="5"/>
        <v/>
      </c>
    </row>
    <row r="353" spans="1:8" ht="14.25" customHeight="1" x14ac:dyDescent="0.3">
      <c r="A353" s="7"/>
      <c r="B353" s="7"/>
      <c r="C353" s="7"/>
      <c r="D353" s="7"/>
      <c r="E353" s="7"/>
      <c r="F353" s="9" t="str">
        <f>IFERROR(INDEX($A$2:$A$1000,MATCH(ROWS($F$2:F353),$G$2:$G$1000,0)),"")</f>
        <v/>
      </c>
      <c r="G353" s="9" t="str">
        <f>IF($E353="Yes",COUNTIF($E$2:$E353,"Yes"),"")</f>
        <v/>
      </c>
      <c r="H353" s="3" t="str">
        <f t="shared" si="5"/>
        <v/>
      </c>
    </row>
    <row r="354" spans="1:8" ht="14.25" customHeight="1" x14ac:dyDescent="0.3">
      <c r="A354" s="7"/>
      <c r="B354" s="7"/>
      <c r="C354" s="7"/>
      <c r="D354" s="7"/>
      <c r="E354" s="7"/>
      <c r="F354" s="9" t="str">
        <f>IFERROR(INDEX($A$2:$A$1000,MATCH(ROWS($F$2:F354),$G$2:$G$1000,0)),"")</f>
        <v/>
      </c>
      <c r="G354" s="9" t="str">
        <f>IF($E354="Yes",COUNTIF($E$2:$E354,"Yes"),"")</f>
        <v/>
      </c>
      <c r="H354" s="3" t="str">
        <f t="shared" si="5"/>
        <v/>
      </c>
    </row>
    <row r="355" spans="1:8" ht="14.25" customHeight="1" x14ac:dyDescent="0.3">
      <c r="A355" s="7"/>
      <c r="B355" s="7"/>
      <c r="C355" s="7"/>
      <c r="D355" s="7"/>
      <c r="E355" s="7"/>
      <c r="F355" s="9" t="str">
        <f>IFERROR(INDEX($A$2:$A$1000,MATCH(ROWS($F$2:F355),$G$2:$G$1000,0)),"")</f>
        <v/>
      </c>
      <c r="G355" s="9" t="str">
        <f>IF($E355="Yes",COUNTIF($E$2:$E355,"Yes"),"")</f>
        <v/>
      </c>
      <c r="H355" s="3" t="str">
        <f t="shared" si="5"/>
        <v/>
      </c>
    </row>
    <row r="356" spans="1:8" ht="14.25" customHeight="1" x14ac:dyDescent="0.3">
      <c r="A356" s="7"/>
      <c r="B356" s="7"/>
      <c r="C356" s="7"/>
      <c r="D356" s="7"/>
      <c r="E356" s="7"/>
      <c r="F356" s="9" t="str">
        <f>IFERROR(INDEX($A$2:$A$1000,MATCH(ROWS($F$2:F356),$G$2:$G$1000,0)),"")</f>
        <v/>
      </c>
      <c r="G356" s="9" t="str">
        <f>IF($E356="Yes",COUNTIF($E$2:$E356,"Yes"),"")</f>
        <v/>
      </c>
      <c r="H356" s="3" t="str">
        <f t="shared" si="5"/>
        <v/>
      </c>
    </row>
    <row r="357" spans="1:8" ht="14.25" customHeight="1" x14ac:dyDescent="0.3">
      <c r="A357" s="7"/>
      <c r="B357" s="7"/>
      <c r="C357" s="7"/>
      <c r="D357" s="7"/>
      <c r="E357" s="7"/>
      <c r="F357" s="9" t="str">
        <f>IFERROR(INDEX($A$2:$A$1000,MATCH(ROWS($F$2:F357),$G$2:$G$1000,0)),"")</f>
        <v/>
      </c>
      <c r="G357" s="9" t="str">
        <f>IF($E357="Yes",COUNTIF($E$2:$E357,"Yes"),"")</f>
        <v/>
      </c>
      <c r="H357" s="3" t="str">
        <f t="shared" si="5"/>
        <v/>
      </c>
    </row>
    <row r="358" spans="1:8" ht="14.25" customHeight="1" x14ac:dyDescent="0.3">
      <c r="A358" s="7"/>
      <c r="B358" s="7"/>
      <c r="C358" s="7"/>
      <c r="D358" s="7"/>
      <c r="E358" s="7"/>
      <c r="F358" s="9" t="str">
        <f>IFERROR(INDEX($A$2:$A$1000,MATCH(ROWS($F$2:F358),$G$2:$G$1000,0)),"")</f>
        <v/>
      </c>
      <c r="G358" s="9" t="str">
        <f>IF($E358="Yes",COUNTIF($E$2:$E358,"Yes"),"")</f>
        <v/>
      </c>
      <c r="H358" s="3" t="str">
        <f t="shared" si="5"/>
        <v/>
      </c>
    </row>
    <row r="359" spans="1:8" ht="14.25" customHeight="1" x14ac:dyDescent="0.3">
      <c r="A359" s="7"/>
      <c r="B359" s="7"/>
      <c r="C359" s="7"/>
      <c r="D359" s="7"/>
      <c r="E359" s="7"/>
      <c r="F359" s="9" t="str">
        <f>IFERROR(INDEX($A$2:$A$1000,MATCH(ROWS($F$2:F359),$G$2:$G$1000,0)),"")</f>
        <v/>
      </c>
      <c r="G359" s="9" t="str">
        <f>IF($E359="Yes",COUNTIF($E$2:$E359,"Yes"),"")</f>
        <v/>
      </c>
      <c r="H359" s="3" t="str">
        <f t="shared" si="5"/>
        <v/>
      </c>
    </row>
    <row r="360" spans="1:8" ht="14.25" customHeight="1" x14ac:dyDescent="0.3">
      <c r="A360" s="7"/>
      <c r="B360" s="7"/>
      <c r="C360" s="7"/>
      <c r="D360" s="7"/>
      <c r="E360" s="7"/>
      <c r="F360" s="9" t="str">
        <f>IFERROR(INDEX($A$2:$A$1000,MATCH(ROWS($F$2:F360),$G$2:$G$1000,0)),"")</f>
        <v/>
      </c>
      <c r="G360" s="9" t="str">
        <f>IF($E360="Yes",COUNTIF($E$2:$E360,"Yes"),"")</f>
        <v/>
      </c>
      <c r="H360" s="3" t="str">
        <f t="shared" si="5"/>
        <v/>
      </c>
    </row>
    <row r="361" spans="1:8" ht="14.25" customHeight="1" x14ac:dyDescent="0.3">
      <c r="A361" s="7"/>
      <c r="B361" s="7"/>
      <c r="C361" s="7"/>
      <c r="D361" s="7"/>
      <c r="E361" s="7"/>
      <c r="F361" s="9" t="str">
        <f>IFERROR(INDEX($A$2:$A$1000,MATCH(ROWS($F$2:F361),$G$2:$G$1000,0)),"")</f>
        <v/>
      </c>
      <c r="G361" s="9" t="str">
        <f>IF($E361="Yes",COUNTIF($E$2:$E361,"Yes"),"")</f>
        <v/>
      </c>
      <c r="H361" s="3" t="str">
        <f t="shared" si="5"/>
        <v/>
      </c>
    </row>
    <row r="362" spans="1:8" ht="14.25" customHeight="1" x14ac:dyDescent="0.3">
      <c r="A362" s="7"/>
      <c r="B362" s="7"/>
      <c r="C362" s="7"/>
      <c r="D362" s="7"/>
      <c r="E362" s="7"/>
      <c r="F362" s="9" t="str">
        <f>IFERROR(INDEX($A$2:$A$1000,MATCH(ROWS($F$2:F362),$G$2:$G$1000,0)),"")</f>
        <v/>
      </c>
      <c r="G362" s="9" t="str">
        <f>IF($E362="Yes",COUNTIF($E$2:$E362,"Yes"),"")</f>
        <v/>
      </c>
      <c r="H362" s="3" t="str">
        <f t="shared" si="5"/>
        <v/>
      </c>
    </row>
    <row r="363" spans="1:8" ht="14.25" customHeight="1" x14ac:dyDescent="0.3">
      <c r="A363" s="7"/>
      <c r="B363" s="7"/>
      <c r="C363" s="7"/>
      <c r="D363" s="7"/>
      <c r="E363" s="7"/>
      <c r="F363" s="9" t="str">
        <f>IFERROR(INDEX($A$2:$A$1000,MATCH(ROWS($F$2:F363),$G$2:$G$1000,0)),"")</f>
        <v/>
      </c>
      <c r="G363" s="9" t="str">
        <f>IF($E363="Yes",COUNTIF($E$2:$E363,"Yes"),"")</f>
        <v/>
      </c>
      <c r="H363" s="3" t="str">
        <f t="shared" si="5"/>
        <v/>
      </c>
    </row>
    <row r="364" spans="1:8" ht="14.25" customHeight="1" x14ac:dyDescent="0.3">
      <c r="A364" s="7"/>
      <c r="B364" s="7"/>
      <c r="C364" s="7"/>
      <c r="D364" s="7"/>
      <c r="E364" s="7"/>
      <c r="F364" s="9" t="str">
        <f>IFERROR(INDEX($A$2:$A$1000,MATCH(ROWS($F$2:F364),$G$2:$G$1000,0)),"")</f>
        <v/>
      </c>
      <c r="G364" s="9" t="str">
        <f>IF($E364="Yes",COUNTIF($E$2:$E364,"Yes"),"")</f>
        <v/>
      </c>
      <c r="H364" s="3" t="str">
        <f t="shared" si="5"/>
        <v/>
      </c>
    </row>
    <row r="365" spans="1:8" ht="14.25" customHeight="1" x14ac:dyDescent="0.3">
      <c r="A365" s="7"/>
      <c r="B365" s="7"/>
      <c r="C365" s="7"/>
      <c r="D365" s="7"/>
      <c r="E365" s="7"/>
      <c r="F365" s="9" t="str">
        <f>IFERROR(INDEX($A$2:$A$1000,MATCH(ROWS($F$2:F365),$G$2:$G$1000,0)),"")</f>
        <v/>
      </c>
      <c r="G365" s="9" t="str">
        <f>IF($E365="Yes",COUNTIF($E$2:$E365,"Yes"),"")</f>
        <v/>
      </c>
      <c r="H365" s="3" t="str">
        <f t="shared" si="5"/>
        <v/>
      </c>
    </row>
    <row r="366" spans="1:8" ht="14.25" customHeight="1" x14ac:dyDescent="0.3">
      <c r="A366" s="7"/>
      <c r="B366" s="7"/>
      <c r="C366" s="7"/>
      <c r="D366" s="7"/>
      <c r="E366" s="7"/>
      <c r="F366" s="9" t="str">
        <f>IFERROR(INDEX($A$2:$A$1000,MATCH(ROWS($F$2:F366),$G$2:$G$1000,0)),"")</f>
        <v/>
      </c>
      <c r="G366" s="9" t="str">
        <f>IF($E366="Yes",COUNTIF($E$2:$E366,"Yes"),"")</f>
        <v/>
      </c>
      <c r="H366" s="3" t="str">
        <f t="shared" si="5"/>
        <v/>
      </c>
    </row>
    <row r="367" spans="1:8" ht="14.25" customHeight="1" x14ac:dyDescent="0.3">
      <c r="A367" s="7"/>
      <c r="B367" s="7"/>
      <c r="C367" s="7"/>
      <c r="D367" s="7"/>
      <c r="E367" s="7"/>
      <c r="F367" s="9" t="str">
        <f>IFERROR(INDEX($A$2:$A$1000,MATCH(ROWS($F$2:F367),$G$2:$G$1000,0)),"")</f>
        <v/>
      </c>
      <c r="G367" s="9" t="str">
        <f>IF($E367="Yes",COUNTIF($E$2:$E367,"Yes"),"")</f>
        <v/>
      </c>
      <c r="H367" s="3" t="str">
        <f t="shared" si="5"/>
        <v/>
      </c>
    </row>
    <row r="368" spans="1:8" ht="14.25" customHeight="1" x14ac:dyDescent="0.3">
      <c r="A368" s="7"/>
      <c r="B368" s="7"/>
      <c r="C368" s="7"/>
      <c r="D368" s="7"/>
      <c r="E368" s="7"/>
      <c r="F368" s="9" t="str">
        <f>IFERROR(INDEX($A$2:$A$1000,MATCH(ROWS($F$2:F368),$G$2:$G$1000,0)),"")</f>
        <v/>
      </c>
      <c r="G368" s="9" t="str">
        <f>IF($E368="Yes",COUNTIF($E$2:$E368,"Yes"),"")</f>
        <v/>
      </c>
      <c r="H368" s="3" t="str">
        <f t="shared" si="5"/>
        <v/>
      </c>
    </row>
    <row r="369" spans="1:8" ht="14.25" customHeight="1" x14ac:dyDescent="0.3">
      <c r="A369" s="7"/>
      <c r="B369" s="7"/>
      <c r="C369" s="7"/>
      <c r="D369" s="7"/>
      <c r="E369" s="7"/>
      <c r="F369" s="9" t="str">
        <f>IFERROR(INDEX($A$2:$A$1000,MATCH(ROWS($F$2:F369),$G$2:$G$1000,0)),"")</f>
        <v/>
      </c>
      <c r="G369" s="9" t="str">
        <f>IF($E369="Yes",COUNTIF($E$2:$E369,"Yes"),"")</f>
        <v/>
      </c>
      <c r="H369" s="3" t="str">
        <f t="shared" si="5"/>
        <v/>
      </c>
    </row>
    <row r="370" spans="1:8" ht="14.25" customHeight="1" x14ac:dyDescent="0.3">
      <c r="A370" s="7"/>
      <c r="B370" s="7"/>
      <c r="C370" s="7"/>
      <c r="D370" s="7"/>
      <c r="E370" s="7"/>
      <c r="F370" s="9" t="str">
        <f>IFERROR(INDEX($A$2:$A$1000,MATCH(ROWS($F$2:F370),$G$2:$G$1000,0)),"")</f>
        <v/>
      </c>
      <c r="G370" s="9" t="str">
        <f>IF($E370="Yes",COUNTIF($E$2:$E370,"Yes"),"")</f>
        <v/>
      </c>
      <c r="H370" s="3" t="str">
        <f t="shared" si="5"/>
        <v/>
      </c>
    </row>
    <row r="371" spans="1:8" ht="14.25" customHeight="1" x14ac:dyDescent="0.3">
      <c r="A371" s="7"/>
      <c r="B371" s="7"/>
      <c r="C371" s="7"/>
      <c r="D371" s="7"/>
      <c r="E371" s="7"/>
      <c r="F371" s="9" t="str">
        <f>IFERROR(INDEX($A$2:$A$1000,MATCH(ROWS($F$2:F371),$G$2:$G$1000,0)),"")</f>
        <v/>
      </c>
      <c r="G371" s="9" t="str">
        <f>IF($E371="Yes",COUNTIF($E$2:$E371,"Yes"),"")</f>
        <v/>
      </c>
      <c r="H371" s="3" t="str">
        <f t="shared" si="5"/>
        <v/>
      </c>
    </row>
    <row r="372" spans="1:8" ht="14.25" customHeight="1" x14ac:dyDescent="0.3">
      <c r="A372" s="7"/>
      <c r="B372" s="7"/>
      <c r="C372" s="7"/>
      <c r="D372" s="7"/>
      <c r="E372" s="7"/>
      <c r="F372" s="9" t="str">
        <f>IFERROR(INDEX($A$2:$A$1000,MATCH(ROWS($F$2:F372),$G$2:$G$1000,0)),"")</f>
        <v/>
      </c>
      <c r="G372" s="9" t="str">
        <f>IF($E372="Yes",COUNTIF($E$2:$E372,"Yes"),"")</f>
        <v/>
      </c>
      <c r="H372" s="3" t="str">
        <f t="shared" si="5"/>
        <v/>
      </c>
    </row>
    <row r="373" spans="1:8" ht="14.25" customHeight="1" x14ac:dyDescent="0.3">
      <c r="A373" s="7"/>
      <c r="B373" s="7"/>
      <c r="C373" s="7"/>
      <c r="D373" s="7"/>
      <c r="E373" s="7"/>
      <c r="F373" s="9" t="str">
        <f>IFERROR(INDEX($A$2:$A$1000,MATCH(ROWS($F$2:F373),$G$2:$G$1000,0)),"")</f>
        <v/>
      </c>
      <c r="G373" s="9" t="str">
        <f>IF($E373="Yes",COUNTIF($E$2:$E373,"Yes"),"")</f>
        <v/>
      </c>
      <c r="H373" s="3" t="str">
        <f t="shared" si="5"/>
        <v/>
      </c>
    </row>
    <row r="374" spans="1:8" ht="14.25" customHeight="1" x14ac:dyDescent="0.3">
      <c r="A374" s="7"/>
      <c r="B374" s="7"/>
      <c r="C374" s="7"/>
      <c r="D374" s="7"/>
      <c r="E374" s="7"/>
      <c r="F374" s="9" t="str">
        <f>IFERROR(INDEX($A$2:$A$1000,MATCH(ROWS($F$2:F374),$G$2:$G$1000,0)),"")</f>
        <v/>
      </c>
      <c r="G374" s="9" t="str">
        <f>IF($E374="Yes",COUNTIF($E$2:$E374,"Yes"),"")</f>
        <v/>
      </c>
      <c r="H374" s="3" t="str">
        <f t="shared" si="5"/>
        <v/>
      </c>
    </row>
    <row r="375" spans="1:8" ht="14.25" customHeight="1" x14ac:dyDescent="0.3">
      <c r="A375" s="7"/>
      <c r="B375" s="7"/>
      <c r="C375" s="7"/>
      <c r="D375" s="7"/>
      <c r="E375" s="7"/>
      <c r="F375" s="9" t="str">
        <f>IFERROR(INDEX($A$2:$A$1000,MATCH(ROWS($F$2:F375),$G$2:$G$1000,0)),"")</f>
        <v/>
      </c>
      <c r="G375" s="9" t="str">
        <f>IF($E375="Yes",COUNTIF($E$2:$E375,"Yes"),"")</f>
        <v/>
      </c>
      <c r="H375" s="3" t="str">
        <f t="shared" si="5"/>
        <v/>
      </c>
    </row>
    <row r="376" spans="1:8" ht="14.25" customHeight="1" x14ac:dyDescent="0.3">
      <c r="A376" s="7"/>
      <c r="B376" s="7"/>
      <c r="C376" s="7"/>
      <c r="D376" s="7"/>
      <c r="E376" s="7"/>
      <c r="F376" s="9" t="str">
        <f>IFERROR(INDEX($A$2:$A$1000,MATCH(ROWS($F$2:F376),$G$2:$G$1000,0)),"")</f>
        <v/>
      </c>
      <c r="G376" s="9" t="str">
        <f>IF($E376="Yes",COUNTIF($E$2:$E376,"Yes"),"")</f>
        <v/>
      </c>
      <c r="H376" s="3" t="str">
        <f t="shared" si="5"/>
        <v/>
      </c>
    </row>
    <row r="377" spans="1:8" ht="14.25" customHeight="1" x14ac:dyDescent="0.3">
      <c r="A377" s="7"/>
      <c r="B377" s="7"/>
      <c r="C377" s="7"/>
      <c r="D377" s="7"/>
      <c r="E377" s="7"/>
      <c r="F377" s="9" t="str">
        <f>IFERROR(INDEX($A$2:$A$1000,MATCH(ROWS($F$2:F377),$G$2:$G$1000,0)),"")</f>
        <v/>
      </c>
      <c r="G377" s="9" t="str">
        <f>IF($E377="Yes",COUNTIF($E$2:$E377,"Yes"),"")</f>
        <v/>
      </c>
      <c r="H377" s="3" t="str">
        <f t="shared" si="5"/>
        <v/>
      </c>
    </row>
    <row r="378" spans="1:8" ht="14.25" customHeight="1" x14ac:dyDescent="0.3">
      <c r="A378" s="7"/>
      <c r="B378" s="7"/>
      <c r="C378" s="7"/>
      <c r="D378" s="7"/>
      <c r="E378" s="7"/>
      <c r="F378" s="9" t="str">
        <f>IFERROR(INDEX($A$2:$A$1000,MATCH(ROWS($F$2:F378),$G$2:$G$1000,0)),"")</f>
        <v/>
      </c>
      <c r="G378" s="9" t="str">
        <f>IF($E378="Yes",COUNTIF($E$2:$E378,"Yes"),"")</f>
        <v/>
      </c>
      <c r="H378" s="3" t="str">
        <f t="shared" si="5"/>
        <v/>
      </c>
    </row>
    <row r="379" spans="1:8" ht="14.25" customHeight="1" x14ac:dyDescent="0.3">
      <c r="A379" s="7"/>
      <c r="B379" s="7"/>
      <c r="C379" s="7"/>
      <c r="D379" s="7"/>
      <c r="E379" s="7"/>
      <c r="F379" s="9" t="str">
        <f>IFERROR(INDEX($A$2:$A$1000,MATCH(ROWS($F$2:F379),$G$2:$G$1000,0)),"")</f>
        <v/>
      </c>
      <c r="G379" s="9" t="str">
        <f>IF($E379="Yes",COUNTIF($E$2:$E379,"Yes"),"")</f>
        <v/>
      </c>
      <c r="H379" s="3" t="str">
        <f t="shared" si="5"/>
        <v/>
      </c>
    </row>
    <row r="380" spans="1:8" ht="14.25" customHeight="1" x14ac:dyDescent="0.3">
      <c r="A380" s="7"/>
      <c r="B380" s="7"/>
      <c r="C380" s="7"/>
      <c r="D380" s="7"/>
      <c r="E380" s="7"/>
      <c r="F380" s="9" t="str">
        <f>IFERROR(INDEX($A$2:$A$1000,MATCH(ROWS($F$2:F380),$G$2:$G$1000,0)),"")</f>
        <v/>
      </c>
      <c r="G380" s="9" t="str">
        <f>IF($E380="Yes",COUNTIF($E$2:$E380,"Yes"),"")</f>
        <v/>
      </c>
      <c r="H380" s="3" t="str">
        <f t="shared" si="5"/>
        <v/>
      </c>
    </row>
    <row r="381" spans="1:8" ht="14.25" customHeight="1" x14ac:dyDescent="0.3">
      <c r="A381" s="7"/>
      <c r="B381" s="7"/>
      <c r="C381" s="7"/>
      <c r="D381" s="7"/>
      <c r="E381" s="7"/>
      <c r="F381" s="9" t="str">
        <f>IFERROR(INDEX($A$2:$A$1000,MATCH(ROWS($F$2:F381),$G$2:$G$1000,0)),"")</f>
        <v/>
      </c>
      <c r="G381" s="9" t="str">
        <f>IF($E381="Yes",COUNTIF($E$2:$E381,"Yes"),"")</f>
        <v/>
      </c>
      <c r="H381" s="3" t="str">
        <f t="shared" si="5"/>
        <v/>
      </c>
    </row>
    <row r="382" spans="1:8" ht="14.25" customHeight="1" x14ac:dyDescent="0.3">
      <c r="A382" s="7"/>
      <c r="B382" s="7"/>
      <c r="C382" s="7"/>
      <c r="D382" s="7"/>
      <c r="E382" s="7"/>
      <c r="F382" s="9" t="str">
        <f>IFERROR(INDEX($A$2:$A$1000,MATCH(ROWS($F$2:F382),$G$2:$G$1000,0)),"")</f>
        <v/>
      </c>
      <c r="G382" s="9" t="str">
        <f>IF($E382="Yes",COUNTIF($E$2:$E382,"Yes"),"")</f>
        <v/>
      </c>
      <c r="H382" s="3" t="str">
        <f t="shared" si="5"/>
        <v/>
      </c>
    </row>
    <row r="383" spans="1:8" ht="14.25" customHeight="1" x14ac:dyDescent="0.3">
      <c r="A383" s="7"/>
      <c r="B383" s="7"/>
      <c r="C383" s="7"/>
      <c r="D383" s="7"/>
      <c r="E383" s="7"/>
      <c r="F383" s="9" t="str">
        <f>IFERROR(INDEX($A$2:$A$1000,MATCH(ROWS($F$2:F383),$G$2:$G$1000,0)),"")</f>
        <v/>
      </c>
      <c r="G383" s="9" t="str">
        <f>IF($E383="Yes",COUNTIF($E$2:$E383,"Yes"),"")</f>
        <v/>
      </c>
      <c r="H383" s="3" t="str">
        <f t="shared" si="5"/>
        <v/>
      </c>
    </row>
    <row r="384" spans="1:8" ht="14.25" customHeight="1" x14ac:dyDescent="0.3">
      <c r="A384" s="7"/>
      <c r="B384" s="7"/>
      <c r="C384" s="7"/>
      <c r="D384" s="7"/>
      <c r="E384" s="7"/>
      <c r="F384" s="9" t="str">
        <f>IFERROR(INDEX($A$2:$A$1000,MATCH(ROWS($F$2:F384),$G$2:$G$1000,0)),"")</f>
        <v/>
      </c>
      <c r="G384" s="9" t="str">
        <f>IF($E384="Yes",COUNTIF($E$2:$E384,"Yes"),"")</f>
        <v/>
      </c>
      <c r="H384" s="3" t="str">
        <f t="shared" si="5"/>
        <v/>
      </c>
    </row>
    <row r="385" spans="1:8" ht="14.25" customHeight="1" x14ac:dyDescent="0.3">
      <c r="A385" s="7"/>
      <c r="B385" s="7"/>
      <c r="C385" s="7"/>
      <c r="D385" s="7"/>
      <c r="E385" s="7"/>
      <c r="F385" s="9" t="str">
        <f>IFERROR(INDEX($A$2:$A$1000,MATCH(ROWS($F$2:F385),$G$2:$G$1000,0)),"")</f>
        <v/>
      </c>
      <c r="G385" s="9" t="str">
        <f>IF($E385="Yes",COUNTIF($E$2:$E385,"Yes"),"")</f>
        <v/>
      </c>
      <c r="H385" s="3" t="str">
        <f t="shared" si="5"/>
        <v/>
      </c>
    </row>
    <row r="386" spans="1:8" ht="14.25" customHeight="1" x14ac:dyDescent="0.3">
      <c r="A386" s="7"/>
      <c r="B386" s="7"/>
      <c r="C386" s="7"/>
      <c r="D386" s="7"/>
      <c r="E386" s="7"/>
      <c r="F386" s="9" t="str">
        <f>IFERROR(INDEX($A$2:$A$1000,MATCH(ROWS($F$2:F386),$G$2:$G$1000,0)),"")</f>
        <v/>
      </c>
      <c r="G386" s="9" t="str">
        <f>IF($E386="Yes",COUNTIF($E$2:$E386,"Yes"),"")</f>
        <v/>
      </c>
      <c r="H386" s="3" t="str">
        <f t="shared" ref="H386:H449" si="6">IF(COUNTA(A386:E386)=0,"",IF(COUNTIF($A$2:$A$1000,A386)&gt;1,"DUPLICATE YEAR_SEM",IF(OR(B386&lt;1,B386&gt;4,C386&lt;1,C386&gt;2),"INVALID YEAR/SEMESTER","OK")))</f>
        <v/>
      </c>
    </row>
    <row r="387" spans="1:8" ht="14.25" customHeight="1" x14ac:dyDescent="0.3">
      <c r="A387" s="7"/>
      <c r="B387" s="7"/>
      <c r="C387" s="7"/>
      <c r="D387" s="7"/>
      <c r="E387" s="7"/>
      <c r="F387" s="9" t="str">
        <f>IFERROR(INDEX($A$2:$A$1000,MATCH(ROWS($F$2:F387),$G$2:$G$1000,0)),"")</f>
        <v/>
      </c>
      <c r="G387" s="9" t="str">
        <f>IF($E387="Yes",COUNTIF($E$2:$E387,"Yes"),"")</f>
        <v/>
      </c>
      <c r="H387" s="3" t="str">
        <f t="shared" si="6"/>
        <v/>
      </c>
    </row>
    <row r="388" spans="1:8" ht="14.25" customHeight="1" x14ac:dyDescent="0.3">
      <c r="A388" s="7"/>
      <c r="B388" s="7"/>
      <c r="C388" s="7"/>
      <c r="D388" s="7"/>
      <c r="E388" s="7"/>
      <c r="F388" s="9" t="str">
        <f>IFERROR(INDEX($A$2:$A$1000,MATCH(ROWS($F$2:F388),$G$2:$G$1000,0)),"")</f>
        <v/>
      </c>
      <c r="G388" s="9" t="str">
        <f>IF($E388="Yes",COUNTIF($E$2:$E388,"Yes"),"")</f>
        <v/>
      </c>
      <c r="H388" s="3" t="str">
        <f t="shared" si="6"/>
        <v/>
      </c>
    </row>
    <row r="389" spans="1:8" ht="14.25" customHeight="1" x14ac:dyDescent="0.3">
      <c r="A389" s="7"/>
      <c r="B389" s="7"/>
      <c r="C389" s="7"/>
      <c r="D389" s="7"/>
      <c r="E389" s="7"/>
      <c r="F389" s="9" t="str">
        <f>IFERROR(INDEX($A$2:$A$1000,MATCH(ROWS($F$2:F389),$G$2:$G$1000,0)),"")</f>
        <v/>
      </c>
      <c r="G389" s="9" t="str">
        <f>IF($E389="Yes",COUNTIF($E$2:$E389,"Yes"),"")</f>
        <v/>
      </c>
      <c r="H389" s="3" t="str">
        <f t="shared" si="6"/>
        <v/>
      </c>
    </row>
    <row r="390" spans="1:8" ht="14.25" customHeight="1" x14ac:dyDescent="0.3">
      <c r="A390" s="7"/>
      <c r="B390" s="7"/>
      <c r="C390" s="7"/>
      <c r="D390" s="7"/>
      <c r="E390" s="7"/>
      <c r="F390" s="9" t="str">
        <f>IFERROR(INDEX($A$2:$A$1000,MATCH(ROWS($F$2:F390),$G$2:$G$1000,0)),"")</f>
        <v/>
      </c>
      <c r="G390" s="9" t="str">
        <f>IF($E390="Yes",COUNTIF($E$2:$E390,"Yes"),"")</f>
        <v/>
      </c>
      <c r="H390" s="3" t="str">
        <f t="shared" si="6"/>
        <v/>
      </c>
    </row>
    <row r="391" spans="1:8" ht="14.25" customHeight="1" x14ac:dyDescent="0.3">
      <c r="A391" s="7"/>
      <c r="B391" s="7"/>
      <c r="C391" s="7"/>
      <c r="D391" s="7"/>
      <c r="E391" s="7"/>
      <c r="F391" s="9" t="str">
        <f>IFERROR(INDEX($A$2:$A$1000,MATCH(ROWS($F$2:F391),$G$2:$G$1000,0)),"")</f>
        <v/>
      </c>
      <c r="G391" s="9" t="str">
        <f>IF($E391="Yes",COUNTIF($E$2:$E391,"Yes"),"")</f>
        <v/>
      </c>
      <c r="H391" s="3" t="str">
        <f t="shared" si="6"/>
        <v/>
      </c>
    </row>
    <row r="392" spans="1:8" ht="14.25" customHeight="1" x14ac:dyDescent="0.3">
      <c r="A392" s="7"/>
      <c r="B392" s="7"/>
      <c r="C392" s="7"/>
      <c r="D392" s="7"/>
      <c r="E392" s="7"/>
      <c r="F392" s="9" t="str">
        <f>IFERROR(INDEX($A$2:$A$1000,MATCH(ROWS($F$2:F392),$G$2:$G$1000,0)),"")</f>
        <v/>
      </c>
      <c r="G392" s="9" t="str">
        <f>IF($E392="Yes",COUNTIF($E$2:$E392,"Yes"),"")</f>
        <v/>
      </c>
      <c r="H392" s="3" t="str">
        <f t="shared" si="6"/>
        <v/>
      </c>
    </row>
    <row r="393" spans="1:8" ht="14.25" customHeight="1" x14ac:dyDescent="0.3">
      <c r="A393" s="7"/>
      <c r="B393" s="7"/>
      <c r="C393" s="7"/>
      <c r="D393" s="7"/>
      <c r="E393" s="7"/>
      <c r="F393" s="9" t="str">
        <f>IFERROR(INDEX($A$2:$A$1000,MATCH(ROWS($F$2:F393),$G$2:$G$1000,0)),"")</f>
        <v/>
      </c>
      <c r="G393" s="9" t="str">
        <f>IF($E393="Yes",COUNTIF($E$2:$E393,"Yes"),"")</f>
        <v/>
      </c>
      <c r="H393" s="3" t="str">
        <f t="shared" si="6"/>
        <v/>
      </c>
    </row>
    <row r="394" spans="1:8" ht="14.25" customHeight="1" x14ac:dyDescent="0.3">
      <c r="A394" s="7"/>
      <c r="B394" s="7"/>
      <c r="C394" s="7"/>
      <c r="D394" s="7"/>
      <c r="E394" s="7"/>
      <c r="F394" s="9" t="str">
        <f>IFERROR(INDEX($A$2:$A$1000,MATCH(ROWS($F$2:F394),$G$2:$G$1000,0)),"")</f>
        <v/>
      </c>
      <c r="G394" s="9" t="str">
        <f>IF($E394="Yes",COUNTIF($E$2:$E394,"Yes"),"")</f>
        <v/>
      </c>
      <c r="H394" s="3" t="str">
        <f t="shared" si="6"/>
        <v/>
      </c>
    </row>
    <row r="395" spans="1:8" ht="14.25" customHeight="1" x14ac:dyDescent="0.3">
      <c r="A395" s="7"/>
      <c r="B395" s="7"/>
      <c r="C395" s="7"/>
      <c r="D395" s="7"/>
      <c r="E395" s="7"/>
      <c r="F395" s="9" t="str">
        <f>IFERROR(INDEX($A$2:$A$1000,MATCH(ROWS($F$2:F395),$G$2:$G$1000,0)),"")</f>
        <v/>
      </c>
      <c r="G395" s="9" t="str">
        <f>IF($E395="Yes",COUNTIF($E$2:$E395,"Yes"),"")</f>
        <v/>
      </c>
      <c r="H395" s="3" t="str">
        <f t="shared" si="6"/>
        <v/>
      </c>
    </row>
    <row r="396" spans="1:8" ht="14.25" customHeight="1" x14ac:dyDescent="0.3">
      <c r="A396" s="7"/>
      <c r="B396" s="7"/>
      <c r="C396" s="7"/>
      <c r="D396" s="7"/>
      <c r="E396" s="7"/>
      <c r="F396" s="9" t="str">
        <f>IFERROR(INDEX($A$2:$A$1000,MATCH(ROWS($F$2:F396),$G$2:$G$1000,0)),"")</f>
        <v/>
      </c>
      <c r="G396" s="9" t="str">
        <f>IF($E396="Yes",COUNTIF($E$2:$E396,"Yes"),"")</f>
        <v/>
      </c>
      <c r="H396" s="3" t="str">
        <f t="shared" si="6"/>
        <v/>
      </c>
    </row>
    <row r="397" spans="1:8" ht="14.25" customHeight="1" x14ac:dyDescent="0.3">
      <c r="A397" s="7"/>
      <c r="B397" s="7"/>
      <c r="C397" s="7"/>
      <c r="D397" s="7"/>
      <c r="E397" s="7"/>
      <c r="F397" s="9" t="str">
        <f>IFERROR(INDEX($A$2:$A$1000,MATCH(ROWS($F$2:F397),$G$2:$G$1000,0)),"")</f>
        <v/>
      </c>
      <c r="G397" s="9" t="str">
        <f>IF($E397="Yes",COUNTIF($E$2:$E397,"Yes"),"")</f>
        <v/>
      </c>
      <c r="H397" s="3" t="str">
        <f t="shared" si="6"/>
        <v/>
      </c>
    </row>
    <row r="398" spans="1:8" ht="14.25" customHeight="1" x14ac:dyDescent="0.3">
      <c r="A398" s="7"/>
      <c r="B398" s="7"/>
      <c r="C398" s="7"/>
      <c r="D398" s="7"/>
      <c r="E398" s="7"/>
      <c r="F398" s="9" t="str">
        <f>IFERROR(INDEX($A$2:$A$1000,MATCH(ROWS($F$2:F398),$G$2:$G$1000,0)),"")</f>
        <v/>
      </c>
      <c r="G398" s="9" t="str">
        <f>IF($E398="Yes",COUNTIF($E$2:$E398,"Yes"),"")</f>
        <v/>
      </c>
      <c r="H398" s="3" t="str">
        <f t="shared" si="6"/>
        <v/>
      </c>
    </row>
    <row r="399" spans="1:8" ht="14.25" customHeight="1" x14ac:dyDescent="0.3">
      <c r="A399" s="7"/>
      <c r="B399" s="7"/>
      <c r="C399" s="7"/>
      <c r="D399" s="7"/>
      <c r="E399" s="7"/>
      <c r="F399" s="9" t="str">
        <f>IFERROR(INDEX($A$2:$A$1000,MATCH(ROWS($F$2:F399),$G$2:$G$1000,0)),"")</f>
        <v/>
      </c>
      <c r="G399" s="9" t="str">
        <f>IF($E399="Yes",COUNTIF($E$2:$E399,"Yes"),"")</f>
        <v/>
      </c>
      <c r="H399" s="3" t="str">
        <f t="shared" si="6"/>
        <v/>
      </c>
    </row>
    <row r="400" spans="1:8" ht="14.25" customHeight="1" x14ac:dyDescent="0.3">
      <c r="A400" s="7"/>
      <c r="B400" s="7"/>
      <c r="C400" s="7"/>
      <c r="D400" s="7"/>
      <c r="E400" s="7"/>
      <c r="F400" s="9" t="str">
        <f>IFERROR(INDEX($A$2:$A$1000,MATCH(ROWS($F$2:F400),$G$2:$G$1000,0)),"")</f>
        <v/>
      </c>
      <c r="G400" s="9" t="str">
        <f>IF($E400="Yes",COUNTIF($E$2:$E400,"Yes"),"")</f>
        <v/>
      </c>
      <c r="H400" s="3" t="str">
        <f t="shared" si="6"/>
        <v/>
      </c>
    </row>
    <row r="401" spans="1:8" ht="14.25" customHeight="1" x14ac:dyDescent="0.3">
      <c r="A401" s="7"/>
      <c r="B401" s="7"/>
      <c r="C401" s="7"/>
      <c r="D401" s="7"/>
      <c r="E401" s="7"/>
      <c r="F401" s="9" t="str">
        <f>IFERROR(INDEX($A$2:$A$1000,MATCH(ROWS($F$2:F401),$G$2:$G$1000,0)),"")</f>
        <v/>
      </c>
      <c r="G401" s="9" t="str">
        <f>IF($E401="Yes",COUNTIF($E$2:$E401,"Yes"),"")</f>
        <v/>
      </c>
      <c r="H401" s="3" t="str">
        <f t="shared" si="6"/>
        <v/>
      </c>
    </row>
    <row r="402" spans="1:8" ht="14.25" customHeight="1" x14ac:dyDescent="0.3">
      <c r="A402" s="7"/>
      <c r="B402" s="7"/>
      <c r="C402" s="7"/>
      <c r="D402" s="7"/>
      <c r="E402" s="7"/>
      <c r="F402" s="9" t="str">
        <f>IFERROR(INDEX($A$2:$A$1000,MATCH(ROWS($F$2:F402),$G$2:$G$1000,0)),"")</f>
        <v/>
      </c>
      <c r="G402" s="9" t="str">
        <f>IF($E402="Yes",COUNTIF($E$2:$E402,"Yes"),"")</f>
        <v/>
      </c>
      <c r="H402" s="3" t="str">
        <f t="shared" si="6"/>
        <v/>
      </c>
    </row>
    <row r="403" spans="1:8" ht="14.25" customHeight="1" x14ac:dyDescent="0.3">
      <c r="A403" s="7"/>
      <c r="B403" s="7"/>
      <c r="C403" s="7"/>
      <c r="D403" s="7"/>
      <c r="E403" s="7"/>
      <c r="F403" s="9" t="str">
        <f>IFERROR(INDEX($A$2:$A$1000,MATCH(ROWS($F$2:F403),$G$2:$G$1000,0)),"")</f>
        <v/>
      </c>
      <c r="G403" s="9" t="str">
        <f>IF($E403="Yes",COUNTIF($E$2:$E403,"Yes"),"")</f>
        <v/>
      </c>
      <c r="H403" s="3" t="str">
        <f t="shared" si="6"/>
        <v/>
      </c>
    </row>
    <row r="404" spans="1:8" ht="14.25" customHeight="1" x14ac:dyDescent="0.3">
      <c r="A404" s="7"/>
      <c r="B404" s="7"/>
      <c r="C404" s="7"/>
      <c r="D404" s="7"/>
      <c r="E404" s="7"/>
      <c r="F404" s="9" t="str">
        <f>IFERROR(INDEX($A$2:$A$1000,MATCH(ROWS($F$2:F404),$G$2:$G$1000,0)),"")</f>
        <v/>
      </c>
      <c r="G404" s="9" t="str">
        <f>IF($E404="Yes",COUNTIF($E$2:$E404,"Yes"),"")</f>
        <v/>
      </c>
      <c r="H404" s="3" t="str">
        <f t="shared" si="6"/>
        <v/>
      </c>
    </row>
    <row r="405" spans="1:8" ht="14.25" customHeight="1" x14ac:dyDescent="0.3">
      <c r="A405" s="7"/>
      <c r="B405" s="7"/>
      <c r="C405" s="7"/>
      <c r="D405" s="7"/>
      <c r="E405" s="7"/>
      <c r="F405" s="9" t="str">
        <f>IFERROR(INDEX($A$2:$A$1000,MATCH(ROWS($F$2:F405),$G$2:$G$1000,0)),"")</f>
        <v/>
      </c>
      <c r="G405" s="9" t="str">
        <f>IF($E405="Yes",COUNTIF($E$2:$E405,"Yes"),"")</f>
        <v/>
      </c>
      <c r="H405" s="3" t="str">
        <f t="shared" si="6"/>
        <v/>
      </c>
    </row>
    <row r="406" spans="1:8" ht="14.25" customHeight="1" x14ac:dyDescent="0.3">
      <c r="A406" s="7"/>
      <c r="B406" s="7"/>
      <c r="C406" s="7"/>
      <c r="D406" s="7"/>
      <c r="E406" s="7"/>
      <c r="F406" s="9" t="str">
        <f>IFERROR(INDEX($A$2:$A$1000,MATCH(ROWS($F$2:F406),$G$2:$G$1000,0)),"")</f>
        <v/>
      </c>
      <c r="G406" s="9" t="str">
        <f>IF($E406="Yes",COUNTIF($E$2:$E406,"Yes"),"")</f>
        <v/>
      </c>
      <c r="H406" s="3" t="str">
        <f t="shared" si="6"/>
        <v/>
      </c>
    </row>
    <row r="407" spans="1:8" ht="14.25" customHeight="1" x14ac:dyDescent="0.3">
      <c r="A407" s="7"/>
      <c r="B407" s="7"/>
      <c r="C407" s="7"/>
      <c r="D407" s="7"/>
      <c r="E407" s="7"/>
      <c r="F407" s="9" t="str">
        <f>IFERROR(INDEX($A$2:$A$1000,MATCH(ROWS($F$2:F407),$G$2:$G$1000,0)),"")</f>
        <v/>
      </c>
      <c r="G407" s="9" t="str">
        <f>IF($E407="Yes",COUNTIF($E$2:$E407,"Yes"),"")</f>
        <v/>
      </c>
      <c r="H407" s="3" t="str">
        <f t="shared" si="6"/>
        <v/>
      </c>
    </row>
    <row r="408" spans="1:8" ht="14.25" customHeight="1" x14ac:dyDescent="0.3">
      <c r="A408" s="7"/>
      <c r="B408" s="7"/>
      <c r="C408" s="7"/>
      <c r="D408" s="7"/>
      <c r="E408" s="7"/>
      <c r="F408" s="9" t="str">
        <f>IFERROR(INDEX($A$2:$A$1000,MATCH(ROWS($F$2:F408),$G$2:$G$1000,0)),"")</f>
        <v/>
      </c>
      <c r="G408" s="9" t="str">
        <f>IF($E408="Yes",COUNTIF($E$2:$E408,"Yes"),"")</f>
        <v/>
      </c>
      <c r="H408" s="3" t="str">
        <f t="shared" si="6"/>
        <v/>
      </c>
    </row>
    <row r="409" spans="1:8" ht="14.25" customHeight="1" x14ac:dyDescent="0.3">
      <c r="A409" s="7"/>
      <c r="B409" s="7"/>
      <c r="C409" s="7"/>
      <c r="D409" s="7"/>
      <c r="E409" s="7"/>
      <c r="F409" s="9" t="str">
        <f>IFERROR(INDEX($A$2:$A$1000,MATCH(ROWS($F$2:F409),$G$2:$G$1000,0)),"")</f>
        <v/>
      </c>
      <c r="G409" s="9" t="str">
        <f>IF($E409="Yes",COUNTIF($E$2:$E409,"Yes"),"")</f>
        <v/>
      </c>
      <c r="H409" s="3" t="str">
        <f t="shared" si="6"/>
        <v/>
      </c>
    </row>
    <row r="410" spans="1:8" ht="14.25" customHeight="1" x14ac:dyDescent="0.3">
      <c r="A410" s="7"/>
      <c r="B410" s="7"/>
      <c r="C410" s="7"/>
      <c r="D410" s="7"/>
      <c r="E410" s="7"/>
      <c r="F410" s="9" t="str">
        <f>IFERROR(INDEX($A$2:$A$1000,MATCH(ROWS($F$2:F410),$G$2:$G$1000,0)),"")</f>
        <v/>
      </c>
      <c r="G410" s="9" t="str">
        <f>IF($E410="Yes",COUNTIF($E$2:$E410,"Yes"),"")</f>
        <v/>
      </c>
      <c r="H410" s="3" t="str">
        <f t="shared" si="6"/>
        <v/>
      </c>
    </row>
    <row r="411" spans="1:8" ht="14.25" customHeight="1" x14ac:dyDescent="0.3">
      <c r="A411" s="7"/>
      <c r="B411" s="7"/>
      <c r="C411" s="7"/>
      <c r="D411" s="7"/>
      <c r="E411" s="7"/>
      <c r="F411" s="9" t="str">
        <f>IFERROR(INDEX($A$2:$A$1000,MATCH(ROWS($F$2:F411),$G$2:$G$1000,0)),"")</f>
        <v/>
      </c>
      <c r="G411" s="9" t="str">
        <f>IF($E411="Yes",COUNTIF($E$2:$E411,"Yes"),"")</f>
        <v/>
      </c>
      <c r="H411" s="3" t="str">
        <f t="shared" si="6"/>
        <v/>
      </c>
    </row>
    <row r="412" spans="1:8" ht="14.25" customHeight="1" x14ac:dyDescent="0.3">
      <c r="A412" s="7"/>
      <c r="B412" s="7"/>
      <c r="C412" s="7"/>
      <c r="D412" s="7"/>
      <c r="E412" s="7"/>
      <c r="F412" s="9" t="str">
        <f>IFERROR(INDEX($A$2:$A$1000,MATCH(ROWS($F$2:F412),$G$2:$G$1000,0)),"")</f>
        <v/>
      </c>
      <c r="G412" s="9" t="str">
        <f>IF($E412="Yes",COUNTIF($E$2:$E412,"Yes"),"")</f>
        <v/>
      </c>
      <c r="H412" s="3" t="str">
        <f t="shared" si="6"/>
        <v/>
      </c>
    </row>
    <row r="413" spans="1:8" ht="14.25" customHeight="1" x14ac:dyDescent="0.3">
      <c r="A413" s="7"/>
      <c r="B413" s="7"/>
      <c r="C413" s="7"/>
      <c r="D413" s="7"/>
      <c r="E413" s="7"/>
      <c r="F413" s="9" t="str">
        <f>IFERROR(INDEX($A$2:$A$1000,MATCH(ROWS($F$2:F413),$G$2:$G$1000,0)),"")</f>
        <v/>
      </c>
      <c r="G413" s="9" t="str">
        <f>IF($E413="Yes",COUNTIF($E$2:$E413,"Yes"),"")</f>
        <v/>
      </c>
      <c r="H413" s="3" t="str">
        <f t="shared" si="6"/>
        <v/>
      </c>
    </row>
    <row r="414" spans="1:8" ht="14.25" customHeight="1" x14ac:dyDescent="0.3">
      <c r="A414" s="7"/>
      <c r="B414" s="7"/>
      <c r="C414" s="7"/>
      <c r="D414" s="7"/>
      <c r="E414" s="7"/>
      <c r="F414" s="9" t="str">
        <f>IFERROR(INDEX($A$2:$A$1000,MATCH(ROWS($F$2:F414),$G$2:$G$1000,0)),"")</f>
        <v/>
      </c>
      <c r="G414" s="9" t="str">
        <f>IF($E414="Yes",COUNTIF($E$2:$E414,"Yes"),"")</f>
        <v/>
      </c>
      <c r="H414" s="3" t="str">
        <f t="shared" si="6"/>
        <v/>
      </c>
    </row>
    <row r="415" spans="1:8" ht="14.25" customHeight="1" x14ac:dyDescent="0.3">
      <c r="A415" s="7"/>
      <c r="B415" s="7"/>
      <c r="C415" s="7"/>
      <c r="D415" s="7"/>
      <c r="E415" s="7"/>
      <c r="F415" s="9" t="str">
        <f>IFERROR(INDEX($A$2:$A$1000,MATCH(ROWS($F$2:F415),$G$2:$G$1000,0)),"")</f>
        <v/>
      </c>
      <c r="G415" s="9" t="str">
        <f>IF($E415="Yes",COUNTIF($E$2:$E415,"Yes"),"")</f>
        <v/>
      </c>
      <c r="H415" s="3" t="str">
        <f t="shared" si="6"/>
        <v/>
      </c>
    </row>
    <row r="416" spans="1:8" ht="14.25" customHeight="1" x14ac:dyDescent="0.3">
      <c r="A416" s="7"/>
      <c r="B416" s="7"/>
      <c r="C416" s="7"/>
      <c r="D416" s="7"/>
      <c r="E416" s="7"/>
      <c r="F416" s="9" t="str">
        <f>IFERROR(INDEX($A$2:$A$1000,MATCH(ROWS($F$2:F416),$G$2:$G$1000,0)),"")</f>
        <v/>
      </c>
      <c r="G416" s="9" t="str">
        <f>IF($E416="Yes",COUNTIF($E$2:$E416,"Yes"),"")</f>
        <v/>
      </c>
      <c r="H416" s="3" t="str">
        <f t="shared" si="6"/>
        <v/>
      </c>
    </row>
    <row r="417" spans="1:8" ht="14.25" customHeight="1" x14ac:dyDescent="0.3">
      <c r="A417" s="7"/>
      <c r="B417" s="7"/>
      <c r="C417" s="7"/>
      <c r="D417" s="7"/>
      <c r="E417" s="7"/>
      <c r="F417" s="9" t="str">
        <f>IFERROR(INDEX($A$2:$A$1000,MATCH(ROWS($F$2:F417),$G$2:$G$1000,0)),"")</f>
        <v/>
      </c>
      <c r="G417" s="9" t="str">
        <f>IF($E417="Yes",COUNTIF($E$2:$E417,"Yes"),"")</f>
        <v/>
      </c>
      <c r="H417" s="3" t="str">
        <f t="shared" si="6"/>
        <v/>
      </c>
    </row>
    <row r="418" spans="1:8" ht="14.25" customHeight="1" x14ac:dyDescent="0.3">
      <c r="A418" s="7"/>
      <c r="B418" s="7"/>
      <c r="C418" s="7"/>
      <c r="D418" s="7"/>
      <c r="E418" s="7"/>
      <c r="F418" s="9" t="str">
        <f>IFERROR(INDEX($A$2:$A$1000,MATCH(ROWS($F$2:F418),$G$2:$G$1000,0)),"")</f>
        <v/>
      </c>
      <c r="G418" s="9" t="str">
        <f>IF($E418="Yes",COUNTIF($E$2:$E418,"Yes"),"")</f>
        <v/>
      </c>
      <c r="H418" s="3" t="str">
        <f t="shared" si="6"/>
        <v/>
      </c>
    </row>
    <row r="419" spans="1:8" ht="14.25" customHeight="1" x14ac:dyDescent="0.3">
      <c r="A419" s="7"/>
      <c r="B419" s="7"/>
      <c r="C419" s="7"/>
      <c r="D419" s="7"/>
      <c r="E419" s="7"/>
      <c r="F419" s="9" t="str">
        <f>IFERROR(INDEX($A$2:$A$1000,MATCH(ROWS($F$2:F419),$G$2:$G$1000,0)),"")</f>
        <v/>
      </c>
      <c r="G419" s="9" t="str">
        <f>IF($E419="Yes",COUNTIF($E$2:$E419,"Yes"),"")</f>
        <v/>
      </c>
      <c r="H419" s="3" t="str">
        <f t="shared" si="6"/>
        <v/>
      </c>
    </row>
    <row r="420" spans="1:8" ht="14.25" customHeight="1" x14ac:dyDescent="0.3">
      <c r="A420" s="7"/>
      <c r="B420" s="7"/>
      <c r="C420" s="7"/>
      <c r="D420" s="7"/>
      <c r="E420" s="7"/>
      <c r="F420" s="9" t="str">
        <f>IFERROR(INDEX($A$2:$A$1000,MATCH(ROWS($F$2:F420),$G$2:$G$1000,0)),"")</f>
        <v/>
      </c>
      <c r="G420" s="9" t="str">
        <f>IF($E420="Yes",COUNTIF($E$2:$E420,"Yes"),"")</f>
        <v/>
      </c>
      <c r="H420" s="3" t="str">
        <f t="shared" si="6"/>
        <v/>
      </c>
    </row>
    <row r="421" spans="1:8" ht="14.25" customHeight="1" x14ac:dyDescent="0.3">
      <c r="A421" s="7"/>
      <c r="B421" s="7"/>
      <c r="C421" s="7"/>
      <c r="D421" s="7"/>
      <c r="E421" s="7"/>
      <c r="F421" s="9" t="str">
        <f>IFERROR(INDEX($A$2:$A$1000,MATCH(ROWS($F$2:F421),$G$2:$G$1000,0)),"")</f>
        <v/>
      </c>
      <c r="G421" s="9" t="str">
        <f>IF($E421="Yes",COUNTIF($E$2:$E421,"Yes"),"")</f>
        <v/>
      </c>
      <c r="H421" s="3" t="str">
        <f t="shared" si="6"/>
        <v/>
      </c>
    </row>
    <row r="422" spans="1:8" ht="14.25" customHeight="1" x14ac:dyDescent="0.3">
      <c r="A422" s="7"/>
      <c r="B422" s="7"/>
      <c r="C422" s="7"/>
      <c r="D422" s="7"/>
      <c r="E422" s="7"/>
      <c r="F422" s="9" t="str">
        <f>IFERROR(INDEX($A$2:$A$1000,MATCH(ROWS($F$2:F422),$G$2:$G$1000,0)),"")</f>
        <v/>
      </c>
      <c r="G422" s="9" t="str">
        <f>IF($E422="Yes",COUNTIF($E$2:$E422,"Yes"),"")</f>
        <v/>
      </c>
      <c r="H422" s="3" t="str">
        <f t="shared" si="6"/>
        <v/>
      </c>
    </row>
    <row r="423" spans="1:8" ht="14.25" customHeight="1" x14ac:dyDescent="0.3">
      <c r="A423" s="7"/>
      <c r="B423" s="7"/>
      <c r="C423" s="7"/>
      <c r="D423" s="7"/>
      <c r="E423" s="7"/>
      <c r="F423" s="9" t="str">
        <f>IFERROR(INDEX($A$2:$A$1000,MATCH(ROWS($F$2:F423),$G$2:$G$1000,0)),"")</f>
        <v/>
      </c>
      <c r="G423" s="9" t="str">
        <f>IF($E423="Yes",COUNTIF($E$2:$E423,"Yes"),"")</f>
        <v/>
      </c>
      <c r="H423" s="3" t="str">
        <f t="shared" si="6"/>
        <v/>
      </c>
    </row>
    <row r="424" spans="1:8" ht="14.25" customHeight="1" x14ac:dyDescent="0.3">
      <c r="A424" s="7"/>
      <c r="B424" s="7"/>
      <c r="C424" s="7"/>
      <c r="D424" s="7"/>
      <c r="E424" s="7"/>
      <c r="F424" s="9" t="str">
        <f>IFERROR(INDEX($A$2:$A$1000,MATCH(ROWS($F$2:F424),$G$2:$G$1000,0)),"")</f>
        <v/>
      </c>
      <c r="G424" s="9" t="str">
        <f>IF($E424="Yes",COUNTIF($E$2:$E424,"Yes"),"")</f>
        <v/>
      </c>
      <c r="H424" s="3" t="str">
        <f t="shared" si="6"/>
        <v/>
      </c>
    </row>
    <row r="425" spans="1:8" ht="14.25" customHeight="1" x14ac:dyDescent="0.3">
      <c r="A425" s="7"/>
      <c r="B425" s="7"/>
      <c r="C425" s="7"/>
      <c r="D425" s="7"/>
      <c r="E425" s="7"/>
      <c r="F425" s="9" t="str">
        <f>IFERROR(INDEX($A$2:$A$1000,MATCH(ROWS($F$2:F425),$G$2:$G$1000,0)),"")</f>
        <v/>
      </c>
      <c r="G425" s="9" t="str">
        <f>IF($E425="Yes",COUNTIF($E$2:$E425,"Yes"),"")</f>
        <v/>
      </c>
      <c r="H425" s="3" t="str">
        <f t="shared" si="6"/>
        <v/>
      </c>
    </row>
    <row r="426" spans="1:8" ht="14.25" customHeight="1" x14ac:dyDescent="0.3">
      <c r="A426" s="7"/>
      <c r="B426" s="7"/>
      <c r="C426" s="7"/>
      <c r="D426" s="7"/>
      <c r="E426" s="7"/>
      <c r="F426" s="9" t="str">
        <f>IFERROR(INDEX($A$2:$A$1000,MATCH(ROWS($F$2:F426),$G$2:$G$1000,0)),"")</f>
        <v/>
      </c>
      <c r="G426" s="9" t="str">
        <f>IF($E426="Yes",COUNTIF($E$2:$E426,"Yes"),"")</f>
        <v/>
      </c>
      <c r="H426" s="3" t="str">
        <f t="shared" si="6"/>
        <v/>
      </c>
    </row>
    <row r="427" spans="1:8" ht="14.25" customHeight="1" x14ac:dyDescent="0.3">
      <c r="A427" s="7"/>
      <c r="B427" s="7"/>
      <c r="C427" s="7"/>
      <c r="D427" s="7"/>
      <c r="E427" s="7"/>
      <c r="F427" s="9" t="str">
        <f>IFERROR(INDEX($A$2:$A$1000,MATCH(ROWS($F$2:F427),$G$2:$G$1000,0)),"")</f>
        <v/>
      </c>
      <c r="G427" s="9" t="str">
        <f>IF($E427="Yes",COUNTIF($E$2:$E427,"Yes"),"")</f>
        <v/>
      </c>
      <c r="H427" s="3" t="str">
        <f t="shared" si="6"/>
        <v/>
      </c>
    </row>
    <row r="428" spans="1:8" ht="14.25" customHeight="1" x14ac:dyDescent="0.3">
      <c r="A428" s="7"/>
      <c r="B428" s="7"/>
      <c r="C428" s="7"/>
      <c r="D428" s="7"/>
      <c r="E428" s="7"/>
      <c r="F428" s="9" t="str">
        <f>IFERROR(INDEX($A$2:$A$1000,MATCH(ROWS($F$2:F428),$G$2:$G$1000,0)),"")</f>
        <v/>
      </c>
      <c r="G428" s="9" t="str">
        <f>IF($E428="Yes",COUNTIF($E$2:$E428,"Yes"),"")</f>
        <v/>
      </c>
      <c r="H428" s="3" t="str">
        <f t="shared" si="6"/>
        <v/>
      </c>
    </row>
    <row r="429" spans="1:8" ht="14.25" customHeight="1" x14ac:dyDescent="0.3">
      <c r="A429" s="7"/>
      <c r="B429" s="7"/>
      <c r="C429" s="7"/>
      <c r="D429" s="7"/>
      <c r="E429" s="7"/>
      <c r="F429" s="9" t="str">
        <f>IFERROR(INDEX($A$2:$A$1000,MATCH(ROWS($F$2:F429),$G$2:$G$1000,0)),"")</f>
        <v/>
      </c>
      <c r="G429" s="9" t="str">
        <f>IF($E429="Yes",COUNTIF($E$2:$E429,"Yes"),"")</f>
        <v/>
      </c>
      <c r="H429" s="3" t="str">
        <f t="shared" si="6"/>
        <v/>
      </c>
    </row>
    <row r="430" spans="1:8" ht="14.25" customHeight="1" x14ac:dyDescent="0.3">
      <c r="A430" s="7"/>
      <c r="B430" s="7"/>
      <c r="C430" s="7"/>
      <c r="D430" s="7"/>
      <c r="E430" s="7"/>
      <c r="F430" s="9" t="str">
        <f>IFERROR(INDEX($A$2:$A$1000,MATCH(ROWS($F$2:F430),$G$2:$G$1000,0)),"")</f>
        <v/>
      </c>
      <c r="G430" s="9" t="str">
        <f>IF($E430="Yes",COUNTIF($E$2:$E430,"Yes"),"")</f>
        <v/>
      </c>
      <c r="H430" s="3" t="str">
        <f t="shared" si="6"/>
        <v/>
      </c>
    </row>
    <row r="431" spans="1:8" ht="14.25" customHeight="1" x14ac:dyDescent="0.3">
      <c r="A431" s="7"/>
      <c r="B431" s="7"/>
      <c r="C431" s="7"/>
      <c r="D431" s="7"/>
      <c r="E431" s="7"/>
      <c r="F431" s="9" t="str">
        <f>IFERROR(INDEX($A$2:$A$1000,MATCH(ROWS($F$2:F431),$G$2:$G$1000,0)),"")</f>
        <v/>
      </c>
      <c r="G431" s="9" t="str">
        <f>IF($E431="Yes",COUNTIF($E$2:$E431,"Yes"),"")</f>
        <v/>
      </c>
      <c r="H431" s="3" t="str">
        <f t="shared" si="6"/>
        <v/>
      </c>
    </row>
    <row r="432" spans="1:8" ht="14.25" customHeight="1" x14ac:dyDescent="0.3">
      <c r="A432" s="7"/>
      <c r="B432" s="7"/>
      <c r="C432" s="7"/>
      <c r="D432" s="7"/>
      <c r="E432" s="7"/>
      <c r="F432" s="9" t="str">
        <f>IFERROR(INDEX($A$2:$A$1000,MATCH(ROWS($F$2:F432),$G$2:$G$1000,0)),"")</f>
        <v/>
      </c>
      <c r="G432" s="9" t="str">
        <f>IF($E432="Yes",COUNTIF($E$2:$E432,"Yes"),"")</f>
        <v/>
      </c>
      <c r="H432" s="3" t="str">
        <f t="shared" si="6"/>
        <v/>
      </c>
    </row>
    <row r="433" spans="1:8" ht="14.25" customHeight="1" x14ac:dyDescent="0.3">
      <c r="A433" s="7"/>
      <c r="B433" s="7"/>
      <c r="C433" s="7"/>
      <c r="D433" s="7"/>
      <c r="E433" s="7"/>
      <c r="F433" s="9" t="str">
        <f>IFERROR(INDEX($A$2:$A$1000,MATCH(ROWS($F$2:F433),$G$2:$G$1000,0)),"")</f>
        <v/>
      </c>
      <c r="G433" s="9" t="str">
        <f>IF($E433="Yes",COUNTIF($E$2:$E433,"Yes"),"")</f>
        <v/>
      </c>
      <c r="H433" s="3" t="str">
        <f t="shared" si="6"/>
        <v/>
      </c>
    </row>
    <row r="434" spans="1:8" ht="14.25" customHeight="1" x14ac:dyDescent="0.3">
      <c r="A434" s="7"/>
      <c r="B434" s="7"/>
      <c r="C434" s="7"/>
      <c r="D434" s="7"/>
      <c r="E434" s="7"/>
      <c r="F434" s="9" t="str">
        <f>IFERROR(INDEX($A$2:$A$1000,MATCH(ROWS($F$2:F434),$G$2:$G$1000,0)),"")</f>
        <v/>
      </c>
      <c r="G434" s="9" t="str">
        <f>IF($E434="Yes",COUNTIF($E$2:$E434,"Yes"),"")</f>
        <v/>
      </c>
      <c r="H434" s="3" t="str">
        <f t="shared" si="6"/>
        <v/>
      </c>
    </row>
    <row r="435" spans="1:8" ht="14.25" customHeight="1" x14ac:dyDescent="0.3">
      <c r="A435" s="7"/>
      <c r="B435" s="7"/>
      <c r="C435" s="7"/>
      <c r="D435" s="7"/>
      <c r="E435" s="7"/>
      <c r="F435" s="9" t="str">
        <f>IFERROR(INDEX($A$2:$A$1000,MATCH(ROWS($F$2:F435),$G$2:$G$1000,0)),"")</f>
        <v/>
      </c>
      <c r="G435" s="9" t="str">
        <f>IF($E435="Yes",COUNTIF($E$2:$E435,"Yes"),"")</f>
        <v/>
      </c>
      <c r="H435" s="3" t="str">
        <f t="shared" si="6"/>
        <v/>
      </c>
    </row>
    <row r="436" spans="1:8" ht="14.25" customHeight="1" x14ac:dyDescent="0.3">
      <c r="A436" s="7"/>
      <c r="B436" s="7"/>
      <c r="C436" s="7"/>
      <c r="D436" s="7"/>
      <c r="E436" s="7"/>
      <c r="F436" s="9" t="str">
        <f>IFERROR(INDEX($A$2:$A$1000,MATCH(ROWS($F$2:F436),$G$2:$G$1000,0)),"")</f>
        <v/>
      </c>
      <c r="G436" s="9" t="str">
        <f>IF($E436="Yes",COUNTIF($E$2:$E436,"Yes"),"")</f>
        <v/>
      </c>
      <c r="H436" s="3" t="str">
        <f t="shared" si="6"/>
        <v/>
      </c>
    </row>
    <row r="437" spans="1:8" ht="14.25" customHeight="1" x14ac:dyDescent="0.3">
      <c r="A437" s="7"/>
      <c r="B437" s="7"/>
      <c r="C437" s="7"/>
      <c r="D437" s="7"/>
      <c r="E437" s="7"/>
      <c r="F437" s="9" t="str">
        <f>IFERROR(INDEX($A$2:$A$1000,MATCH(ROWS($F$2:F437),$G$2:$G$1000,0)),"")</f>
        <v/>
      </c>
      <c r="G437" s="9" t="str">
        <f>IF($E437="Yes",COUNTIF($E$2:$E437,"Yes"),"")</f>
        <v/>
      </c>
      <c r="H437" s="3" t="str">
        <f t="shared" si="6"/>
        <v/>
      </c>
    </row>
    <row r="438" spans="1:8" ht="14.25" customHeight="1" x14ac:dyDescent="0.3">
      <c r="A438" s="7"/>
      <c r="B438" s="7"/>
      <c r="C438" s="7"/>
      <c r="D438" s="7"/>
      <c r="E438" s="7"/>
      <c r="F438" s="9" t="str">
        <f>IFERROR(INDEX($A$2:$A$1000,MATCH(ROWS($F$2:F438),$G$2:$G$1000,0)),"")</f>
        <v/>
      </c>
      <c r="G438" s="9" t="str">
        <f>IF($E438="Yes",COUNTIF($E$2:$E438,"Yes"),"")</f>
        <v/>
      </c>
      <c r="H438" s="3" t="str">
        <f t="shared" si="6"/>
        <v/>
      </c>
    </row>
    <row r="439" spans="1:8" ht="14.25" customHeight="1" x14ac:dyDescent="0.3">
      <c r="A439" s="7"/>
      <c r="B439" s="7"/>
      <c r="C439" s="7"/>
      <c r="D439" s="7"/>
      <c r="E439" s="7"/>
      <c r="F439" s="9" t="str">
        <f>IFERROR(INDEX($A$2:$A$1000,MATCH(ROWS($F$2:F439),$G$2:$G$1000,0)),"")</f>
        <v/>
      </c>
      <c r="G439" s="9" t="str">
        <f>IF($E439="Yes",COUNTIF($E$2:$E439,"Yes"),"")</f>
        <v/>
      </c>
      <c r="H439" s="3" t="str">
        <f t="shared" si="6"/>
        <v/>
      </c>
    </row>
    <row r="440" spans="1:8" ht="14.25" customHeight="1" x14ac:dyDescent="0.3">
      <c r="A440" s="7"/>
      <c r="B440" s="7"/>
      <c r="C440" s="7"/>
      <c r="D440" s="7"/>
      <c r="E440" s="7"/>
      <c r="F440" s="9" t="str">
        <f>IFERROR(INDEX($A$2:$A$1000,MATCH(ROWS($F$2:F440),$G$2:$G$1000,0)),"")</f>
        <v/>
      </c>
      <c r="G440" s="9" t="str">
        <f>IF($E440="Yes",COUNTIF($E$2:$E440,"Yes"),"")</f>
        <v/>
      </c>
      <c r="H440" s="3" t="str">
        <f t="shared" si="6"/>
        <v/>
      </c>
    </row>
    <row r="441" spans="1:8" ht="14.25" customHeight="1" x14ac:dyDescent="0.3">
      <c r="A441" s="7"/>
      <c r="B441" s="7"/>
      <c r="C441" s="7"/>
      <c r="D441" s="7"/>
      <c r="E441" s="7"/>
      <c r="F441" s="9" t="str">
        <f>IFERROR(INDEX($A$2:$A$1000,MATCH(ROWS($F$2:F441),$G$2:$G$1000,0)),"")</f>
        <v/>
      </c>
      <c r="G441" s="9" t="str">
        <f>IF($E441="Yes",COUNTIF($E$2:$E441,"Yes"),"")</f>
        <v/>
      </c>
      <c r="H441" s="3" t="str">
        <f t="shared" si="6"/>
        <v/>
      </c>
    </row>
    <row r="442" spans="1:8" ht="14.25" customHeight="1" x14ac:dyDescent="0.3">
      <c r="A442" s="7"/>
      <c r="B442" s="7"/>
      <c r="C442" s="7"/>
      <c r="D442" s="7"/>
      <c r="E442" s="7"/>
      <c r="F442" s="9" t="str">
        <f>IFERROR(INDEX($A$2:$A$1000,MATCH(ROWS($F$2:F442),$G$2:$G$1000,0)),"")</f>
        <v/>
      </c>
      <c r="G442" s="9" t="str">
        <f>IF($E442="Yes",COUNTIF($E$2:$E442,"Yes"),"")</f>
        <v/>
      </c>
      <c r="H442" s="3" t="str">
        <f t="shared" si="6"/>
        <v/>
      </c>
    </row>
    <row r="443" spans="1:8" ht="14.25" customHeight="1" x14ac:dyDescent="0.3">
      <c r="A443" s="7"/>
      <c r="B443" s="7"/>
      <c r="C443" s="7"/>
      <c r="D443" s="7"/>
      <c r="E443" s="7"/>
      <c r="F443" s="9" t="str">
        <f>IFERROR(INDEX($A$2:$A$1000,MATCH(ROWS($F$2:F443),$G$2:$G$1000,0)),"")</f>
        <v/>
      </c>
      <c r="G443" s="9" t="str">
        <f>IF($E443="Yes",COUNTIF($E$2:$E443,"Yes"),"")</f>
        <v/>
      </c>
      <c r="H443" s="3" t="str">
        <f t="shared" si="6"/>
        <v/>
      </c>
    </row>
    <row r="444" spans="1:8" ht="14.25" customHeight="1" x14ac:dyDescent="0.3">
      <c r="A444" s="7"/>
      <c r="B444" s="7"/>
      <c r="C444" s="7"/>
      <c r="D444" s="7"/>
      <c r="E444" s="7"/>
      <c r="F444" s="9" t="str">
        <f>IFERROR(INDEX($A$2:$A$1000,MATCH(ROWS($F$2:F444),$G$2:$G$1000,0)),"")</f>
        <v/>
      </c>
      <c r="G444" s="9" t="str">
        <f>IF($E444="Yes",COUNTIF($E$2:$E444,"Yes"),"")</f>
        <v/>
      </c>
      <c r="H444" s="3" t="str">
        <f t="shared" si="6"/>
        <v/>
      </c>
    </row>
    <row r="445" spans="1:8" ht="14.25" customHeight="1" x14ac:dyDescent="0.3">
      <c r="A445" s="7"/>
      <c r="B445" s="7"/>
      <c r="C445" s="7"/>
      <c r="D445" s="7"/>
      <c r="E445" s="7"/>
      <c r="F445" s="9" t="str">
        <f>IFERROR(INDEX($A$2:$A$1000,MATCH(ROWS($F$2:F445),$G$2:$G$1000,0)),"")</f>
        <v/>
      </c>
      <c r="G445" s="9" t="str">
        <f>IF($E445="Yes",COUNTIF($E$2:$E445,"Yes"),"")</f>
        <v/>
      </c>
      <c r="H445" s="3" t="str">
        <f t="shared" si="6"/>
        <v/>
      </c>
    </row>
    <row r="446" spans="1:8" ht="14.25" customHeight="1" x14ac:dyDescent="0.3">
      <c r="A446" s="7"/>
      <c r="B446" s="7"/>
      <c r="C446" s="7"/>
      <c r="D446" s="7"/>
      <c r="E446" s="7"/>
      <c r="F446" s="9" t="str">
        <f>IFERROR(INDEX($A$2:$A$1000,MATCH(ROWS($F$2:F446),$G$2:$G$1000,0)),"")</f>
        <v/>
      </c>
      <c r="G446" s="9" t="str">
        <f>IF($E446="Yes",COUNTIF($E$2:$E446,"Yes"),"")</f>
        <v/>
      </c>
      <c r="H446" s="3" t="str">
        <f t="shared" si="6"/>
        <v/>
      </c>
    </row>
    <row r="447" spans="1:8" ht="14.25" customHeight="1" x14ac:dyDescent="0.3">
      <c r="A447" s="7"/>
      <c r="B447" s="7"/>
      <c r="C447" s="7"/>
      <c r="D447" s="7"/>
      <c r="E447" s="7"/>
      <c r="F447" s="9" t="str">
        <f>IFERROR(INDEX($A$2:$A$1000,MATCH(ROWS($F$2:F447),$G$2:$G$1000,0)),"")</f>
        <v/>
      </c>
      <c r="G447" s="9" t="str">
        <f>IF($E447="Yes",COUNTIF($E$2:$E447,"Yes"),"")</f>
        <v/>
      </c>
      <c r="H447" s="3" t="str">
        <f t="shared" si="6"/>
        <v/>
      </c>
    </row>
    <row r="448" spans="1:8" ht="14.25" customHeight="1" x14ac:dyDescent="0.3">
      <c r="A448" s="7"/>
      <c r="B448" s="7"/>
      <c r="C448" s="7"/>
      <c r="D448" s="7"/>
      <c r="E448" s="7"/>
      <c r="F448" s="9" t="str">
        <f>IFERROR(INDEX($A$2:$A$1000,MATCH(ROWS($F$2:F448),$G$2:$G$1000,0)),"")</f>
        <v/>
      </c>
      <c r="G448" s="9" t="str">
        <f>IF($E448="Yes",COUNTIF($E$2:$E448,"Yes"),"")</f>
        <v/>
      </c>
      <c r="H448" s="3" t="str">
        <f t="shared" si="6"/>
        <v/>
      </c>
    </row>
    <row r="449" spans="1:8" ht="14.25" customHeight="1" x14ac:dyDescent="0.3">
      <c r="A449" s="7"/>
      <c r="B449" s="7"/>
      <c r="C449" s="7"/>
      <c r="D449" s="7"/>
      <c r="E449" s="7"/>
      <c r="F449" s="9" t="str">
        <f>IFERROR(INDEX($A$2:$A$1000,MATCH(ROWS($F$2:F449),$G$2:$G$1000,0)),"")</f>
        <v/>
      </c>
      <c r="G449" s="9" t="str">
        <f>IF($E449="Yes",COUNTIF($E$2:$E449,"Yes"),"")</f>
        <v/>
      </c>
      <c r="H449" s="3" t="str">
        <f t="shared" si="6"/>
        <v/>
      </c>
    </row>
    <row r="450" spans="1:8" ht="14.25" customHeight="1" x14ac:dyDescent="0.3">
      <c r="A450" s="7"/>
      <c r="B450" s="7"/>
      <c r="C450" s="7"/>
      <c r="D450" s="7"/>
      <c r="E450" s="7"/>
      <c r="F450" s="9" t="str">
        <f>IFERROR(INDEX($A$2:$A$1000,MATCH(ROWS($F$2:F450),$G$2:$G$1000,0)),"")</f>
        <v/>
      </c>
      <c r="G450" s="9" t="str">
        <f>IF($E450="Yes",COUNTIF($E$2:$E450,"Yes"),"")</f>
        <v/>
      </c>
      <c r="H450" s="3" t="str">
        <f t="shared" ref="H450:H513" si="7">IF(COUNTA(A450:E450)=0,"",IF(COUNTIF($A$2:$A$1000,A450)&gt;1,"DUPLICATE YEAR_SEM",IF(OR(B450&lt;1,B450&gt;4,C450&lt;1,C450&gt;2),"INVALID YEAR/SEMESTER","OK")))</f>
        <v/>
      </c>
    </row>
    <row r="451" spans="1:8" ht="14.25" customHeight="1" x14ac:dyDescent="0.3">
      <c r="A451" s="7"/>
      <c r="B451" s="7"/>
      <c r="C451" s="7"/>
      <c r="D451" s="7"/>
      <c r="E451" s="7"/>
      <c r="F451" s="9" t="str">
        <f>IFERROR(INDEX($A$2:$A$1000,MATCH(ROWS($F$2:F451),$G$2:$G$1000,0)),"")</f>
        <v/>
      </c>
      <c r="G451" s="9" t="str">
        <f>IF($E451="Yes",COUNTIF($E$2:$E451,"Yes"),"")</f>
        <v/>
      </c>
      <c r="H451" s="3" t="str">
        <f t="shared" si="7"/>
        <v/>
      </c>
    </row>
    <row r="452" spans="1:8" ht="14.25" customHeight="1" x14ac:dyDescent="0.3">
      <c r="A452" s="7"/>
      <c r="B452" s="7"/>
      <c r="C452" s="7"/>
      <c r="D452" s="7"/>
      <c r="E452" s="7"/>
      <c r="F452" s="9" t="str">
        <f>IFERROR(INDEX($A$2:$A$1000,MATCH(ROWS($F$2:F452),$G$2:$G$1000,0)),"")</f>
        <v/>
      </c>
      <c r="G452" s="9" t="str">
        <f>IF($E452="Yes",COUNTIF($E$2:$E452,"Yes"),"")</f>
        <v/>
      </c>
      <c r="H452" s="3" t="str">
        <f t="shared" si="7"/>
        <v/>
      </c>
    </row>
    <row r="453" spans="1:8" ht="14.25" customHeight="1" x14ac:dyDescent="0.3">
      <c r="A453" s="7"/>
      <c r="B453" s="7"/>
      <c r="C453" s="7"/>
      <c r="D453" s="7"/>
      <c r="E453" s="7"/>
      <c r="F453" s="9" t="str">
        <f>IFERROR(INDEX($A$2:$A$1000,MATCH(ROWS($F$2:F453),$G$2:$G$1000,0)),"")</f>
        <v/>
      </c>
      <c r="G453" s="9" t="str">
        <f>IF($E453="Yes",COUNTIF($E$2:$E453,"Yes"),"")</f>
        <v/>
      </c>
      <c r="H453" s="3" t="str">
        <f t="shared" si="7"/>
        <v/>
      </c>
    </row>
    <row r="454" spans="1:8" ht="14.25" customHeight="1" x14ac:dyDescent="0.3">
      <c r="A454" s="7"/>
      <c r="B454" s="7"/>
      <c r="C454" s="7"/>
      <c r="D454" s="7"/>
      <c r="E454" s="7"/>
      <c r="F454" s="9" t="str">
        <f>IFERROR(INDEX($A$2:$A$1000,MATCH(ROWS($F$2:F454),$G$2:$G$1000,0)),"")</f>
        <v/>
      </c>
      <c r="G454" s="9" t="str">
        <f>IF($E454="Yes",COUNTIF($E$2:$E454,"Yes"),"")</f>
        <v/>
      </c>
      <c r="H454" s="3" t="str">
        <f t="shared" si="7"/>
        <v/>
      </c>
    </row>
    <row r="455" spans="1:8" ht="14.25" customHeight="1" x14ac:dyDescent="0.3">
      <c r="A455" s="7"/>
      <c r="B455" s="7"/>
      <c r="C455" s="7"/>
      <c r="D455" s="7"/>
      <c r="E455" s="7"/>
      <c r="F455" s="9" t="str">
        <f>IFERROR(INDEX($A$2:$A$1000,MATCH(ROWS($F$2:F455),$G$2:$G$1000,0)),"")</f>
        <v/>
      </c>
      <c r="G455" s="9" t="str">
        <f>IF($E455="Yes",COUNTIF($E$2:$E455,"Yes"),"")</f>
        <v/>
      </c>
      <c r="H455" s="3" t="str">
        <f t="shared" si="7"/>
        <v/>
      </c>
    </row>
    <row r="456" spans="1:8" ht="14.25" customHeight="1" x14ac:dyDescent="0.3">
      <c r="A456" s="7"/>
      <c r="B456" s="7"/>
      <c r="C456" s="7"/>
      <c r="D456" s="7"/>
      <c r="E456" s="7"/>
      <c r="F456" s="9" t="str">
        <f>IFERROR(INDEX($A$2:$A$1000,MATCH(ROWS($F$2:F456),$G$2:$G$1000,0)),"")</f>
        <v/>
      </c>
      <c r="G456" s="9" t="str">
        <f>IF($E456="Yes",COUNTIF($E$2:$E456,"Yes"),"")</f>
        <v/>
      </c>
      <c r="H456" s="3" t="str">
        <f t="shared" si="7"/>
        <v/>
      </c>
    </row>
    <row r="457" spans="1:8" ht="14.25" customHeight="1" x14ac:dyDescent="0.3">
      <c r="A457" s="7"/>
      <c r="B457" s="7"/>
      <c r="C457" s="7"/>
      <c r="D457" s="7"/>
      <c r="E457" s="7"/>
      <c r="F457" s="9" t="str">
        <f>IFERROR(INDEX($A$2:$A$1000,MATCH(ROWS($F$2:F457),$G$2:$G$1000,0)),"")</f>
        <v/>
      </c>
      <c r="G457" s="9" t="str">
        <f>IF($E457="Yes",COUNTIF($E$2:$E457,"Yes"),"")</f>
        <v/>
      </c>
      <c r="H457" s="3" t="str">
        <f t="shared" si="7"/>
        <v/>
      </c>
    </row>
    <row r="458" spans="1:8" ht="14.25" customHeight="1" x14ac:dyDescent="0.3">
      <c r="A458" s="7"/>
      <c r="B458" s="7"/>
      <c r="C458" s="7"/>
      <c r="D458" s="7"/>
      <c r="E458" s="7"/>
      <c r="F458" s="9" t="str">
        <f>IFERROR(INDEX($A$2:$A$1000,MATCH(ROWS($F$2:F458),$G$2:$G$1000,0)),"")</f>
        <v/>
      </c>
      <c r="G458" s="9" t="str">
        <f>IF($E458="Yes",COUNTIF($E$2:$E458,"Yes"),"")</f>
        <v/>
      </c>
      <c r="H458" s="3" t="str">
        <f t="shared" si="7"/>
        <v/>
      </c>
    </row>
    <row r="459" spans="1:8" ht="14.25" customHeight="1" x14ac:dyDescent="0.3">
      <c r="A459" s="7"/>
      <c r="B459" s="7"/>
      <c r="C459" s="7"/>
      <c r="D459" s="7"/>
      <c r="E459" s="7"/>
      <c r="F459" s="9" t="str">
        <f>IFERROR(INDEX($A$2:$A$1000,MATCH(ROWS($F$2:F459),$G$2:$G$1000,0)),"")</f>
        <v/>
      </c>
      <c r="G459" s="9" t="str">
        <f>IF($E459="Yes",COUNTIF($E$2:$E459,"Yes"),"")</f>
        <v/>
      </c>
      <c r="H459" s="3" t="str">
        <f t="shared" si="7"/>
        <v/>
      </c>
    </row>
    <row r="460" spans="1:8" ht="14.25" customHeight="1" x14ac:dyDescent="0.3">
      <c r="A460" s="7"/>
      <c r="B460" s="7"/>
      <c r="C460" s="7"/>
      <c r="D460" s="7"/>
      <c r="E460" s="7"/>
      <c r="F460" s="9" t="str">
        <f>IFERROR(INDEX($A$2:$A$1000,MATCH(ROWS($F$2:F460),$G$2:$G$1000,0)),"")</f>
        <v/>
      </c>
      <c r="G460" s="9" t="str">
        <f>IF($E460="Yes",COUNTIF($E$2:$E460,"Yes"),"")</f>
        <v/>
      </c>
      <c r="H460" s="3" t="str">
        <f t="shared" si="7"/>
        <v/>
      </c>
    </row>
    <row r="461" spans="1:8" ht="14.25" customHeight="1" x14ac:dyDescent="0.3">
      <c r="A461" s="7"/>
      <c r="B461" s="7"/>
      <c r="C461" s="7"/>
      <c r="D461" s="7"/>
      <c r="E461" s="7"/>
      <c r="F461" s="9" t="str">
        <f>IFERROR(INDEX($A$2:$A$1000,MATCH(ROWS($F$2:F461),$G$2:$G$1000,0)),"")</f>
        <v/>
      </c>
      <c r="G461" s="9" t="str">
        <f>IF($E461="Yes",COUNTIF($E$2:$E461,"Yes"),"")</f>
        <v/>
      </c>
      <c r="H461" s="3" t="str">
        <f t="shared" si="7"/>
        <v/>
      </c>
    </row>
    <row r="462" spans="1:8" ht="14.25" customHeight="1" x14ac:dyDescent="0.3">
      <c r="A462" s="7"/>
      <c r="B462" s="7"/>
      <c r="C462" s="7"/>
      <c r="D462" s="7"/>
      <c r="E462" s="7"/>
      <c r="F462" s="9" t="str">
        <f>IFERROR(INDEX($A$2:$A$1000,MATCH(ROWS($F$2:F462),$G$2:$G$1000,0)),"")</f>
        <v/>
      </c>
      <c r="G462" s="9" t="str">
        <f>IF($E462="Yes",COUNTIF($E$2:$E462,"Yes"),"")</f>
        <v/>
      </c>
      <c r="H462" s="3" t="str">
        <f t="shared" si="7"/>
        <v/>
      </c>
    </row>
    <row r="463" spans="1:8" ht="14.25" customHeight="1" x14ac:dyDescent="0.3">
      <c r="A463" s="7"/>
      <c r="B463" s="7"/>
      <c r="C463" s="7"/>
      <c r="D463" s="7"/>
      <c r="E463" s="7"/>
      <c r="F463" s="9" t="str">
        <f>IFERROR(INDEX($A$2:$A$1000,MATCH(ROWS($F$2:F463),$G$2:$G$1000,0)),"")</f>
        <v/>
      </c>
      <c r="G463" s="9" t="str">
        <f>IF($E463="Yes",COUNTIF($E$2:$E463,"Yes"),"")</f>
        <v/>
      </c>
      <c r="H463" s="3" t="str">
        <f t="shared" si="7"/>
        <v/>
      </c>
    </row>
    <row r="464" spans="1:8" ht="14.25" customHeight="1" x14ac:dyDescent="0.3">
      <c r="A464" s="7"/>
      <c r="B464" s="7"/>
      <c r="C464" s="7"/>
      <c r="D464" s="7"/>
      <c r="E464" s="7"/>
      <c r="F464" s="9" t="str">
        <f>IFERROR(INDEX($A$2:$A$1000,MATCH(ROWS($F$2:F464),$G$2:$G$1000,0)),"")</f>
        <v/>
      </c>
      <c r="G464" s="9" t="str">
        <f>IF($E464="Yes",COUNTIF($E$2:$E464,"Yes"),"")</f>
        <v/>
      </c>
      <c r="H464" s="3" t="str">
        <f t="shared" si="7"/>
        <v/>
      </c>
    </row>
    <row r="465" spans="1:8" ht="14.25" customHeight="1" x14ac:dyDescent="0.3">
      <c r="A465" s="7"/>
      <c r="B465" s="7"/>
      <c r="C465" s="7"/>
      <c r="D465" s="7"/>
      <c r="E465" s="7"/>
      <c r="F465" s="9" t="str">
        <f>IFERROR(INDEX($A$2:$A$1000,MATCH(ROWS($F$2:F465),$G$2:$G$1000,0)),"")</f>
        <v/>
      </c>
      <c r="G465" s="9" t="str">
        <f>IF($E465="Yes",COUNTIF($E$2:$E465,"Yes"),"")</f>
        <v/>
      </c>
      <c r="H465" s="3" t="str">
        <f t="shared" si="7"/>
        <v/>
      </c>
    </row>
    <row r="466" spans="1:8" ht="14.25" customHeight="1" x14ac:dyDescent="0.3">
      <c r="A466" s="7"/>
      <c r="B466" s="7"/>
      <c r="C466" s="7"/>
      <c r="D466" s="7"/>
      <c r="E466" s="7"/>
      <c r="F466" s="9" t="str">
        <f>IFERROR(INDEX($A$2:$A$1000,MATCH(ROWS($F$2:F466),$G$2:$G$1000,0)),"")</f>
        <v/>
      </c>
      <c r="G466" s="9" t="str">
        <f>IF($E466="Yes",COUNTIF($E$2:$E466,"Yes"),"")</f>
        <v/>
      </c>
      <c r="H466" s="3" t="str">
        <f t="shared" si="7"/>
        <v/>
      </c>
    </row>
    <row r="467" spans="1:8" ht="14.25" customHeight="1" x14ac:dyDescent="0.3">
      <c r="A467" s="7"/>
      <c r="B467" s="7"/>
      <c r="C467" s="7"/>
      <c r="D467" s="7"/>
      <c r="E467" s="7"/>
      <c r="F467" s="9" t="str">
        <f>IFERROR(INDEX($A$2:$A$1000,MATCH(ROWS($F$2:F467),$G$2:$G$1000,0)),"")</f>
        <v/>
      </c>
      <c r="G467" s="9" t="str">
        <f>IF($E467="Yes",COUNTIF($E$2:$E467,"Yes"),"")</f>
        <v/>
      </c>
      <c r="H467" s="3" t="str">
        <f t="shared" si="7"/>
        <v/>
      </c>
    </row>
    <row r="468" spans="1:8" ht="14.25" customHeight="1" x14ac:dyDescent="0.3">
      <c r="A468" s="7"/>
      <c r="B468" s="7"/>
      <c r="C468" s="7"/>
      <c r="D468" s="7"/>
      <c r="E468" s="7"/>
      <c r="F468" s="9" t="str">
        <f>IFERROR(INDEX($A$2:$A$1000,MATCH(ROWS($F$2:F468),$G$2:$G$1000,0)),"")</f>
        <v/>
      </c>
      <c r="G468" s="9" t="str">
        <f>IF($E468="Yes",COUNTIF($E$2:$E468,"Yes"),"")</f>
        <v/>
      </c>
      <c r="H468" s="3" t="str">
        <f t="shared" si="7"/>
        <v/>
      </c>
    </row>
    <row r="469" spans="1:8" ht="14.25" customHeight="1" x14ac:dyDescent="0.3">
      <c r="A469" s="7"/>
      <c r="B469" s="7"/>
      <c r="C469" s="7"/>
      <c r="D469" s="7"/>
      <c r="E469" s="7"/>
      <c r="F469" s="9" t="str">
        <f>IFERROR(INDEX($A$2:$A$1000,MATCH(ROWS($F$2:F469),$G$2:$G$1000,0)),"")</f>
        <v/>
      </c>
      <c r="G469" s="9" t="str">
        <f>IF($E469="Yes",COUNTIF($E$2:$E469,"Yes"),"")</f>
        <v/>
      </c>
      <c r="H469" s="3" t="str">
        <f t="shared" si="7"/>
        <v/>
      </c>
    </row>
    <row r="470" spans="1:8" ht="14.25" customHeight="1" x14ac:dyDescent="0.3">
      <c r="A470" s="7"/>
      <c r="B470" s="7"/>
      <c r="C470" s="7"/>
      <c r="D470" s="7"/>
      <c r="E470" s="7"/>
      <c r="F470" s="9" t="str">
        <f>IFERROR(INDEX($A$2:$A$1000,MATCH(ROWS($F$2:F470),$G$2:$G$1000,0)),"")</f>
        <v/>
      </c>
      <c r="G470" s="9" t="str">
        <f>IF($E470="Yes",COUNTIF($E$2:$E470,"Yes"),"")</f>
        <v/>
      </c>
      <c r="H470" s="3" t="str">
        <f t="shared" si="7"/>
        <v/>
      </c>
    </row>
    <row r="471" spans="1:8" ht="14.25" customHeight="1" x14ac:dyDescent="0.3">
      <c r="A471" s="7"/>
      <c r="B471" s="7"/>
      <c r="C471" s="7"/>
      <c r="D471" s="7"/>
      <c r="E471" s="7"/>
      <c r="F471" s="9" t="str">
        <f>IFERROR(INDEX($A$2:$A$1000,MATCH(ROWS($F$2:F471),$G$2:$G$1000,0)),"")</f>
        <v/>
      </c>
      <c r="G471" s="9" t="str">
        <f>IF($E471="Yes",COUNTIF($E$2:$E471,"Yes"),"")</f>
        <v/>
      </c>
      <c r="H471" s="3" t="str">
        <f t="shared" si="7"/>
        <v/>
      </c>
    </row>
    <row r="472" spans="1:8" ht="14.25" customHeight="1" x14ac:dyDescent="0.3">
      <c r="A472" s="7"/>
      <c r="B472" s="7"/>
      <c r="C472" s="7"/>
      <c r="D472" s="7"/>
      <c r="E472" s="7"/>
      <c r="F472" s="9" t="str">
        <f>IFERROR(INDEX($A$2:$A$1000,MATCH(ROWS($F$2:F472),$G$2:$G$1000,0)),"")</f>
        <v/>
      </c>
      <c r="G472" s="9" t="str">
        <f>IF($E472="Yes",COUNTIF($E$2:$E472,"Yes"),"")</f>
        <v/>
      </c>
      <c r="H472" s="3" t="str">
        <f t="shared" si="7"/>
        <v/>
      </c>
    </row>
    <row r="473" spans="1:8" ht="14.25" customHeight="1" x14ac:dyDescent="0.3">
      <c r="A473" s="7"/>
      <c r="B473" s="7"/>
      <c r="C473" s="7"/>
      <c r="D473" s="7"/>
      <c r="E473" s="7"/>
      <c r="F473" s="9" t="str">
        <f>IFERROR(INDEX($A$2:$A$1000,MATCH(ROWS($F$2:F473),$G$2:$G$1000,0)),"")</f>
        <v/>
      </c>
      <c r="G473" s="9" t="str">
        <f>IF($E473="Yes",COUNTIF($E$2:$E473,"Yes"),"")</f>
        <v/>
      </c>
      <c r="H473" s="3" t="str">
        <f t="shared" si="7"/>
        <v/>
      </c>
    </row>
    <row r="474" spans="1:8" ht="14.25" customHeight="1" x14ac:dyDescent="0.3">
      <c r="A474" s="7"/>
      <c r="B474" s="7"/>
      <c r="C474" s="7"/>
      <c r="D474" s="7"/>
      <c r="E474" s="7"/>
      <c r="F474" s="9" t="str">
        <f>IFERROR(INDEX($A$2:$A$1000,MATCH(ROWS($F$2:F474),$G$2:$G$1000,0)),"")</f>
        <v/>
      </c>
      <c r="G474" s="9" t="str">
        <f>IF($E474="Yes",COUNTIF($E$2:$E474,"Yes"),"")</f>
        <v/>
      </c>
      <c r="H474" s="3" t="str">
        <f t="shared" si="7"/>
        <v/>
      </c>
    </row>
    <row r="475" spans="1:8" ht="14.25" customHeight="1" x14ac:dyDescent="0.3">
      <c r="A475" s="7"/>
      <c r="B475" s="7"/>
      <c r="C475" s="7"/>
      <c r="D475" s="7"/>
      <c r="E475" s="7"/>
      <c r="F475" s="9" t="str">
        <f>IFERROR(INDEX($A$2:$A$1000,MATCH(ROWS($F$2:F475),$G$2:$G$1000,0)),"")</f>
        <v/>
      </c>
      <c r="G475" s="9" t="str">
        <f>IF($E475="Yes",COUNTIF($E$2:$E475,"Yes"),"")</f>
        <v/>
      </c>
      <c r="H475" s="3" t="str">
        <f t="shared" si="7"/>
        <v/>
      </c>
    </row>
    <row r="476" spans="1:8" ht="14.25" customHeight="1" x14ac:dyDescent="0.3">
      <c r="A476" s="7"/>
      <c r="B476" s="7"/>
      <c r="C476" s="7"/>
      <c r="D476" s="7"/>
      <c r="E476" s="7"/>
      <c r="F476" s="9" t="str">
        <f>IFERROR(INDEX($A$2:$A$1000,MATCH(ROWS($F$2:F476),$G$2:$G$1000,0)),"")</f>
        <v/>
      </c>
      <c r="G476" s="9" t="str">
        <f>IF($E476="Yes",COUNTIF($E$2:$E476,"Yes"),"")</f>
        <v/>
      </c>
      <c r="H476" s="3" t="str">
        <f t="shared" si="7"/>
        <v/>
      </c>
    </row>
    <row r="477" spans="1:8" ht="14.25" customHeight="1" x14ac:dyDescent="0.3">
      <c r="A477" s="7"/>
      <c r="B477" s="7"/>
      <c r="C477" s="7"/>
      <c r="D477" s="7"/>
      <c r="E477" s="7"/>
      <c r="F477" s="9" t="str">
        <f>IFERROR(INDEX($A$2:$A$1000,MATCH(ROWS($F$2:F477),$G$2:$G$1000,0)),"")</f>
        <v/>
      </c>
      <c r="G477" s="9" t="str">
        <f>IF($E477="Yes",COUNTIF($E$2:$E477,"Yes"),"")</f>
        <v/>
      </c>
      <c r="H477" s="3" t="str">
        <f t="shared" si="7"/>
        <v/>
      </c>
    </row>
    <row r="478" spans="1:8" ht="14.25" customHeight="1" x14ac:dyDescent="0.3">
      <c r="A478" s="7"/>
      <c r="B478" s="7"/>
      <c r="C478" s="7"/>
      <c r="D478" s="7"/>
      <c r="E478" s="7"/>
      <c r="F478" s="9" t="str">
        <f>IFERROR(INDEX($A$2:$A$1000,MATCH(ROWS($F$2:F478),$G$2:$G$1000,0)),"")</f>
        <v/>
      </c>
      <c r="G478" s="9" t="str">
        <f>IF($E478="Yes",COUNTIF($E$2:$E478,"Yes"),"")</f>
        <v/>
      </c>
      <c r="H478" s="3" t="str">
        <f t="shared" si="7"/>
        <v/>
      </c>
    </row>
    <row r="479" spans="1:8" ht="14.25" customHeight="1" x14ac:dyDescent="0.3">
      <c r="A479" s="7"/>
      <c r="B479" s="7"/>
      <c r="C479" s="7"/>
      <c r="D479" s="7"/>
      <c r="E479" s="7"/>
      <c r="F479" s="9" t="str">
        <f>IFERROR(INDEX($A$2:$A$1000,MATCH(ROWS($F$2:F479),$G$2:$G$1000,0)),"")</f>
        <v/>
      </c>
      <c r="G479" s="9" t="str">
        <f>IF($E479="Yes",COUNTIF($E$2:$E479,"Yes"),"")</f>
        <v/>
      </c>
      <c r="H479" s="3" t="str">
        <f t="shared" si="7"/>
        <v/>
      </c>
    </row>
    <row r="480" spans="1:8" ht="14.25" customHeight="1" x14ac:dyDescent="0.3">
      <c r="A480" s="7"/>
      <c r="B480" s="7"/>
      <c r="C480" s="7"/>
      <c r="D480" s="7"/>
      <c r="E480" s="7"/>
      <c r="F480" s="9" t="str">
        <f>IFERROR(INDEX($A$2:$A$1000,MATCH(ROWS($F$2:F480),$G$2:$G$1000,0)),"")</f>
        <v/>
      </c>
      <c r="G480" s="9" t="str">
        <f>IF($E480="Yes",COUNTIF($E$2:$E480,"Yes"),"")</f>
        <v/>
      </c>
      <c r="H480" s="3" t="str">
        <f t="shared" si="7"/>
        <v/>
      </c>
    </row>
    <row r="481" spans="1:8" ht="14.25" customHeight="1" x14ac:dyDescent="0.3">
      <c r="A481" s="7"/>
      <c r="B481" s="7"/>
      <c r="C481" s="7"/>
      <c r="D481" s="7"/>
      <c r="E481" s="7"/>
      <c r="F481" s="9" t="str">
        <f>IFERROR(INDEX($A$2:$A$1000,MATCH(ROWS($F$2:F481),$G$2:$G$1000,0)),"")</f>
        <v/>
      </c>
      <c r="G481" s="9" t="str">
        <f>IF($E481="Yes",COUNTIF($E$2:$E481,"Yes"),"")</f>
        <v/>
      </c>
      <c r="H481" s="3" t="str">
        <f t="shared" si="7"/>
        <v/>
      </c>
    </row>
    <row r="482" spans="1:8" ht="14.25" customHeight="1" x14ac:dyDescent="0.3">
      <c r="A482" s="7"/>
      <c r="B482" s="7"/>
      <c r="C482" s="7"/>
      <c r="D482" s="7"/>
      <c r="E482" s="7"/>
      <c r="F482" s="9" t="str">
        <f>IFERROR(INDEX($A$2:$A$1000,MATCH(ROWS($F$2:F482),$G$2:$G$1000,0)),"")</f>
        <v/>
      </c>
      <c r="G482" s="9" t="str">
        <f>IF($E482="Yes",COUNTIF($E$2:$E482,"Yes"),"")</f>
        <v/>
      </c>
      <c r="H482" s="3" t="str">
        <f t="shared" si="7"/>
        <v/>
      </c>
    </row>
    <row r="483" spans="1:8" ht="14.25" customHeight="1" x14ac:dyDescent="0.3">
      <c r="A483" s="7"/>
      <c r="B483" s="7"/>
      <c r="C483" s="7"/>
      <c r="D483" s="7"/>
      <c r="E483" s="7"/>
      <c r="F483" s="9" t="str">
        <f>IFERROR(INDEX($A$2:$A$1000,MATCH(ROWS($F$2:F483),$G$2:$G$1000,0)),"")</f>
        <v/>
      </c>
      <c r="G483" s="9" t="str">
        <f>IF($E483="Yes",COUNTIF($E$2:$E483,"Yes"),"")</f>
        <v/>
      </c>
      <c r="H483" s="3" t="str">
        <f t="shared" si="7"/>
        <v/>
      </c>
    </row>
    <row r="484" spans="1:8" ht="14.25" customHeight="1" x14ac:dyDescent="0.3">
      <c r="A484" s="7"/>
      <c r="B484" s="7"/>
      <c r="C484" s="7"/>
      <c r="D484" s="7"/>
      <c r="E484" s="7"/>
      <c r="F484" s="9" t="str">
        <f>IFERROR(INDEX($A$2:$A$1000,MATCH(ROWS($F$2:F484),$G$2:$G$1000,0)),"")</f>
        <v/>
      </c>
      <c r="G484" s="9" t="str">
        <f>IF($E484="Yes",COUNTIF($E$2:$E484,"Yes"),"")</f>
        <v/>
      </c>
      <c r="H484" s="3" t="str">
        <f t="shared" si="7"/>
        <v/>
      </c>
    </row>
    <row r="485" spans="1:8" ht="14.25" customHeight="1" x14ac:dyDescent="0.3">
      <c r="A485" s="7"/>
      <c r="B485" s="7"/>
      <c r="C485" s="7"/>
      <c r="D485" s="7"/>
      <c r="E485" s="7"/>
      <c r="F485" s="9" t="str">
        <f>IFERROR(INDEX($A$2:$A$1000,MATCH(ROWS($F$2:F485),$G$2:$G$1000,0)),"")</f>
        <v/>
      </c>
      <c r="G485" s="9" t="str">
        <f>IF($E485="Yes",COUNTIF($E$2:$E485,"Yes"),"")</f>
        <v/>
      </c>
      <c r="H485" s="3" t="str">
        <f t="shared" si="7"/>
        <v/>
      </c>
    </row>
    <row r="486" spans="1:8" ht="14.25" customHeight="1" x14ac:dyDescent="0.3">
      <c r="A486" s="7"/>
      <c r="B486" s="7"/>
      <c r="C486" s="7"/>
      <c r="D486" s="7"/>
      <c r="E486" s="7"/>
      <c r="F486" s="9" t="str">
        <f>IFERROR(INDEX($A$2:$A$1000,MATCH(ROWS($F$2:F486),$G$2:$G$1000,0)),"")</f>
        <v/>
      </c>
      <c r="G486" s="9" t="str">
        <f>IF($E486="Yes",COUNTIF($E$2:$E486,"Yes"),"")</f>
        <v/>
      </c>
      <c r="H486" s="3" t="str">
        <f t="shared" si="7"/>
        <v/>
      </c>
    </row>
    <row r="487" spans="1:8" ht="14.25" customHeight="1" x14ac:dyDescent="0.3">
      <c r="A487" s="7"/>
      <c r="B487" s="7"/>
      <c r="C487" s="7"/>
      <c r="D487" s="7"/>
      <c r="E487" s="7"/>
      <c r="F487" s="9" t="str">
        <f>IFERROR(INDEX($A$2:$A$1000,MATCH(ROWS($F$2:F487),$G$2:$G$1000,0)),"")</f>
        <v/>
      </c>
      <c r="G487" s="9" t="str">
        <f>IF($E487="Yes",COUNTIF($E$2:$E487,"Yes"),"")</f>
        <v/>
      </c>
      <c r="H487" s="3" t="str">
        <f t="shared" si="7"/>
        <v/>
      </c>
    </row>
    <row r="488" spans="1:8" ht="14.25" customHeight="1" x14ac:dyDescent="0.3">
      <c r="A488" s="7"/>
      <c r="B488" s="7"/>
      <c r="C488" s="7"/>
      <c r="D488" s="7"/>
      <c r="E488" s="7"/>
      <c r="F488" s="9" t="str">
        <f>IFERROR(INDEX($A$2:$A$1000,MATCH(ROWS($F$2:F488),$G$2:$G$1000,0)),"")</f>
        <v/>
      </c>
      <c r="G488" s="9" t="str">
        <f>IF($E488="Yes",COUNTIF($E$2:$E488,"Yes"),"")</f>
        <v/>
      </c>
      <c r="H488" s="3" t="str">
        <f t="shared" si="7"/>
        <v/>
      </c>
    </row>
    <row r="489" spans="1:8" ht="14.25" customHeight="1" x14ac:dyDescent="0.3">
      <c r="A489" s="7"/>
      <c r="B489" s="7"/>
      <c r="C489" s="7"/>
      <c r="D489" s="7"/>
      <c r="E489" s="7"/>
      <c r="F489" s="9" t="str">
        <f>IFERROR(INDEX($A$2:$A$1000,MATCH(ROWS($F$2:F489),$G$2:$G$1000,0)),"")</f>
        <v/>
      </c>
      <c r="G489" s="9" t="str">
        <f>IF($E489="Yes",COUNTIF($E$2:$E489,"Yes"),"")</f>
        <v/>
      </c>
      <c r="H489" s="3" t="str">
        <f t="shared" si="7"/>
        <v/>
      </c>
    </row>
    <row r="490" spans="1:8" ht="14.25" customHeight="1" x14ac:dyDescent="0.3">
      <c r="A490" s="7"/>
      <c r="B490" s="7"/>
      <c r="C490" s="7"/>
      <c r="D490" s="7"/>
      <c r="E490" s="7"/>
      <c r="F490" s="9" t="str">
        <f>IFERROR(INDEX($A$2:$A$1000,MATCH(ROWS($F$2:F490),$G$2:$G$1000,0)),"")</f>
        <v/>
      </c>
      <c r="G490" s="9" t="str">
        <f>IF($E490="Yes",COUNTIF($E$2:$E490,"Yes"),"")</f>
        <v/>
      </c>
      <c r="H490" s="3" t="str">
        <f t="shared" si="7"/>
        <v/>
      </c>
    </row>
    <row r="491" spans="1:8" ht="14.25" customHeight="1" x14ac:dyDescent="0.3">
      <c r="A491" s="7"/>
      <c r="B491" s="7"/>
      <c r="C491" s="7"/>
      <c r="D491" s="7"/>
      <c r="E491" s="7"/>
      <c r="F491" s="9" t="str">
        <f>IFERROR(INDEX($A$2:$A$1000,MATCH(ROWS($F$2:F491),$G$2:$G$1000,0)),"")</f>
        <v/>
      </c>
      <c r="G491" s="9" t="str">
        <f>IF($E491="Yes",COUNTIF($E$2:$E491,"Yes"),"")</f>
        <v/>
      </c>
      <c r="H491" s="3" t="str">
        <f t="shared" si="7"/>
        <v/>
      </c>
    </row>
    <row r="492" spans="1:8" ht="14.25" customHeight="1" x14ac:dyDescent="0.3">
      <c r="A492" s="7"/>
      <c r="B492" s="7"/>
      <c r="C492" s="7"/>
      <c r="D492" s="7"/>
      <c r="E492" s="7"/>
      <c r="F492" s="9" t="str">
        <f>IFERROR(INDEX($A$2:$A$1000,MATCH(ROWS($F$2:F492),$G$2:$G$1000,0)),"")</f>
        <v/>
      </c>
      <c r="G492" s="9" t="str">
        <f>IF($E492="Yes",COUNTIF($E$2:$E492,"Yes"),"")</f>
        <v/>
      </c>
      <c r="H492" s="3" t="str">
        <f t="shared" si="7"/>
        <v/>
      </c>
    </row>
    <row r="493" spans="1:8" ht="14.25" customHeight="1" x14ac:dyDescent="0.3">
      <c r="A493" s="7"/>
      <c r="B493" s="7"/>
      <c r="C493" s="7"/>
      <c r="D493" s="7"/>
      <c r="E493" s="7"/>
      <c r="F493" s="9" t="str">
        <f>IFERROR(INDEX($A$2:$A$1000,MATCH(ROWS($F$2:F493),$G$2:$G$1000,0)),"")</f>
        <v/>
      </c>
      <c r="G493" s="9" t="str">
        <f>IF($E493="Yes",COUNTIF($E$2:$E493,"Yes"),"")</f>
        <v/>
      </c>
      <c r="H493" s="3" t="str">
        <f t="shared" si="7"/>
        <v/>
      </c>
    </row>
    <row r="494" spans="1:8" ht="14.25" customHeight="1" x14ac:dyDescent="0.3">
      <c r="A494" s="7"/>
      <c r="B494" s="7"/>
      <c r="C494" s="7"/>
      <c r="D494" s="7"/>
      <c r="E494" s="7"/>
      <c r="F494" s="9" t="str">
        <f>IFERROR(INDEX($A$2:$A$1000,MATCH(ROWS($F$2:F494),$G$2:$G$1000,0)),"")</f>
        <v/>
      </c>
      <c r="G494" s="9" t="str">
        <f>IF($E494="Yes",COUNTIF($E$2:$E494,"Yes"),"")</f>
        <v/>
      </c>
      <c r="H494" s="3" t="str">
        <f t="shared" si="7"/>
        <v/>
      </c>
    </row>
    <row r="495" spans="1:8" ht="14.25" customHeight="1" x14ac:dyDescent="0.3">
      <c r="A495" s="7"/>
      <c r="B495" s="7"/>
      <c r="C495" s="7"/>
      <c r="D495" s="7"/>
      <c r="E495" s="7"/>
      <c r="F495" s="9" t="str">
        <f>IFERROR(INDEX($A$2:$A$1000,MATCH(ROWS($F$2:F495),$G$2:$G$1000,0)),"")</f>
        <v/>
      </c>
      <c r="G495" s="9" t="str">
        <f>IF($E495="Yes",COUNTIF($E$2:$E495,"Yes"),"")</f>
        <v/>
      </c>
      <c r="H495" s="3" t="str">
        <f t="shared" si="7"/>
        <v/>
      </c>
    </row>
    <row r="496" spans="1:8" ht="14.25" customHeight="1" x14ac:dyDescent="0.3">
      <c r="A496" s="7"/>
      <c r="B496" s="7"/>
      <c r="C496" s="7"/>
      <c r="D496" s="7"/>
      <c r="E496" s="7"/>
      <c r="F496" s="9" t="str">
        <f>IFERROR(INDEX($A$2:$A$1000,MATCH(ROWS($F$2:F496),$G$2:$G$1000,0)),"")</f>
        <v/>
      </c>
      <c r="G496" s="9" t="str">
        <f>IF($E496="Yes",COUNTIF($E$2:$E496,"Yes"),"")</f>
        <v/>
      </c>
      <c r="H496" s="3" t="str">
        <f t="shared" si="7"/>
        <v/>
      </c>
    </row>
    <row r="497" spans="1:8" ht="14.25" customHeight="1" x14ac:dyDescent="0.3">
      <c r="A497" s="7"/>
      <c r="B497" s="7"/>
      <c r="C497" s="7"/>
      <c r="D497" s="7"/>
      <c r="E497" s="7"/>
      <c r="F497" s="9" t="str">
        <f>IFERROR(INDEX($A$2:$A$1000,MATCH(ROWS($F$2:F497),$G$2:$G$1000,0)),"")</f>
        <v/>
      </c>
      <c r="G497" s="9" t="str">
        <f>IF($E497="Yes",COUNTIF($E$2:$E497,"Yes"),"")</f>
        <v/>
      </c>
      <c r="H497" s="3" t="str">
        <f t="shared" si="7"/>
        <v/>
      </c>
    </row>
    <row r="498" spans="1:8" ht="14.25" customHeight="1" x14ac:dyDescent="0.3">
      <c r="A498" s="7"/>
      <c r="B498" s="7"/>
      <c r="C498" s="7"/>
      <c r="D498" s="7"/>
      <c r="E498" s="7"/>
      <c r="F498" s="9" t="str">
        <f>IFERROR(INDEX($A$2:$A$1000,MATCH(ROWS($F$2:F498),$G$2:$G$1000,0)),"")</f>
        <v/>
      </c>
      <c r="G498" s="9" t="str">
        <f>IF($E498="Yes",COUNTIF($E$2:$E498,"Yes"),"")</f>
        <v/>
      </c>
      <c r="H498" s="3" t="str">
        <f t="shared" si="7"/>
        <v/>
      </c>
    </row>
    <row r="499" spans="1:8" ht="14.25" customHeight="1" x14ac:dyDescent="0.3">
      <c r="A499" s="7"/>
      <c r="B499" s="7"/>
      <c r="C499" s="7"/>
      <c r="D499" s="7"/>
      <c r="E499" s="7"/>
      <c r="F499" s="9" t="str">
        <f>IFERROR(INDEX($A$2:$A$1000,MATCH(ROWS($F$2:F499),$G$2:$G$1000,0)),"")</f>
        <v/>
      </c>
      <c r="G499" s="9" t="str">
        <f>IF($E499="Yes",COUNTIF($E$2:$E499,"Yes"),"")</f>
        <v/>
      </c>
      <c r="H499" s="3" t="str">
        <f t="shared" si="7"/>
        <v/>
      </c>
    </row>
    <row r="500" spans="1:8" ht="14.25" customHeight="1" x14ac:dyDescent="0.3">
      <c r="A500" s="7"/>
      <c r="B500" s="7"/>
      <c r="C500" s="7"/>
      <c r="D500" s="7"/>
      <c r="E500" s="7"/>
      <c r="F500" s="9" t="str">
        <f>IFERROR(INDEX($A$2:$A$1000,MATCH(ROWS($F$2:F500),$G$2:$G$1000,0)),"")</f>
        <v/>
      </c>
      <c r="G500" s="9" t="str">
        <f>IF($E500="Yes",COUNTIF($E$2:$E500,"Yes"),"")</f>
        <v/>
      </c>
      <c r="H500" s="3" t="str">
        <f t="shared" si="7"/>
        <v/>
      </c>
    </row>
    <row r="501" spans="1:8" ht="14.25" customHeight="1" x14ac:dyDescent="0.3">
      <c r="A501" s="7"/>
      <c r="B501" s="7"/>
      <c r="C501" s="7"/>
      <c r="D501" s="7"/>
      <c r="E501" s="7"/>
      <c r="F501" s="9" t="str">
        <f>IFERROR(INDEX($A$2:$A$1000,MATCH(ROWS($F$2:F501),$G$2:$G$1000,0)),"")</f>
        <v/>
      </c>
      <c r="G501" s="9" t="str">
        <f>IF($E501="Yes",COUNTIF($E$2:$E501,"Yes"),"")</f>
        <v/>
      </c>
      <c r="H501" s="3" t="str">
        <f t="shared" si="7"/>
        <v/>
      </c>
    </row>
    <row r="502" spans="1:8" ht="14.25" customHeight="1" x14ac:dyDescent="0.3">
      <c r="A502" s="7"/>
      <c r="B502" s="7"/>
      <c r="C502" s="7"/>
      <c r="D502" s="7"/>
      <c r="E502" s="7"/>
      <c r="F502" s="9" t="str">
        <f>IFERROR(INDEX($A$2:$A$1000,MATCH(ROWS($F$2:F502),$G$2:$G$1000,0)),"")</f>
        <v/>
      </c>
      <c r="G502" s="9" t="str">
        <f>IF($E502="Yes",COUNTIF($E$2:$E502,"Yes"),"")</f>
        <v/>
      </c>
      <c r="H502" s="3" t="str">
        <f t="shared" si="7"/>
        <v/>
      </c>
    </row>
    <row r="503" spans="1:8" ht="14.25" customHeight="1" x14ac:dyDescent="0.3">
      <c r="A503" s="7"/>
      <c r="B503" s="7"/>
      <c r="C503" s="7"/>
      <c r="D503" s="7"/>
      <c r="E503" s="7"/>
      <c r="F503" s="9" t="str">
        <f>IFERROR(INDEX($A$2:$A$1000,MATCH(ROWS($F$2:F503),$G$2:$G$1000,0)),"")</f>
        <v/>
      </c>
      <c r="G503" s="9" t="str">
        <f>IF($E503="Yes",COUNTIF($E$2:$E503,"Yes"),"")</f>
        <v/>
      </c>
      <c r="H503" s="3" t="str">
        <f t="shared" si="7"/>
        <v/>
      </c>
    </row>
    <row r="504" spans="1:8" ht="14.25" customHeight="1" x14ac:dyDescent="0.3">
      <c r="A504" s="7"/>
      <c r="B504" s="7"/>
      <c r="C504" s="7"/>
      <c r="D504" s="7"/>
      <c r="E504" s="7"/>
      <c r="F504" s="9" t="str">
        <f>IFERROR(INDEX($A$2:$A$1000,MATCH(ROWS($F$2:F504),$G$2:$G$1000,0)),"")</f>
        <v/>
      </c>
      <c r="G504" s="9" t="str">
        <f>IF($E504="Yes",COUNTIF($E$2:$E504,"Yes"),"")</f>
        <v/>
      </c>
      <c r="H504" s="3" t="str">
        <f t="shared" si="7"/>
        <v/>
      </c>
    </row>
    <row r="505" spans="1:8" ht="14.25" customHeight="1" x14ac:dyDescent="0.3">
      <c r="A505" s="7"/>
      <c r="B505" s="7"/>
      <c r="C505" s="7"/>
      <c r="D505" s="7"/>
      <c r="E505" s="7"/>
      <c r="F505" s="9" t="str">
        <f>IFERROR(INDEX($A$2:$A$1000,MATCH(ROWS($F$2:F505),$G$2:$G$1000,0)),"")</f>
        <v/>
      </c>
      <c r="G505" s="9" t="str">
        <f>IF($E505="Yes",COUNTIF($E$2:$E505,"Yes"),"")</f>
        <v/>
      </c>
      <c r="H505" s="3" t="str">
        <f t="shared" si="7"/>
        <v/>
      </c>
    </row>
    <row r="506" spans="1:8" ht="14.25" customHeight="1" x14ac:dyDescent="0.3">
      <c r="A506" s="7"/>
      <c r="B506" s="7"/>
      <c r="C506" s="7"/>
      <c r="D506" s="7"/>
      <c r="E506" s="7"/>
      <c r="F506" s="9" t="str">
        <f>IFERROR(INDEX($A$2:$A$1000,MATCH(ROWS($F$2:F506),$G$2:$G$1000,0)),"")</f>
        <v/>
      </c>
      <c r="G506" s="9" t="str">
        <f>IF($E506="Yes",COUNTIF($E$2:$E506,"Yes"),"")</f>
        <v/>
      </c>
      <c r="H506" s="3" t="str">
        <f t="shared" si="7"/>
        <v/>
      </c>
    </row>
    <row r="507" spans="1:8" ht="14.25" customHeight="1" x14ac:dyDescent="0.3">
      <c r="A507" s="7"/>
      <c r="B507" s="7"/>
      <c r="C507" s="7"/>
      <c r="D507" s="7"/>
      <c r="E507" s="7"/>
      <c r="F507" s="9" t="str">
        <f>IFERROR(INDEX($A$2:$A$1000,MATCH(ROWS($F$2:F507),$G$2:$G$1000,0)),"")</f>
        <v/>
      </c>
      <c r="G507" s="9" t="str">
        <f>IF($E507="Yes",COUNTIF($E$2:$E507,"Yes"),"")</f>
        <v/>
      </c>
      <c r="H507" s="3" t="str">
        <f t="shared" si="7"/>
        <v/>
      </c>
    </row>
    <row r="508" spans="1:8" ht="14.25" customHeight="1" x14ac:dyDescent="0.3">
      <c r="A508" s="7"/>
      <c r="B508" s="7"/>
      <c r="C508" s="7"/>
      <c r="D508" s="7"/>
      <c r="E508" s="7"/>
      <c r="F508" s="9" t="str">
        <f>IFERROR(INDEX($A$2:$A$1000,MATCH(ROWS($F$2:F508),$G$2:$G$1000,0)),"")</f>
        <v/>
      </c>
      <c r="G508" s="9" t="str">
        <f>IF($E508="Yes",COUNTIF($E$2:$E508,"Yes"),"")</f>
        <v/>
      </c>
      <c r="H508" s="3" t="str">
        <f t="shared" si="7"/>
        <v/>
      </c>
    </row>
    <row r="509" spans="1:8" ht="14.25" customHeight="1" x14ac:dyDescent="0.3">
      <c r="A509" s="7"/>
      <c r="B509" s="7"/>
      <c r="C509" s="7"/>
      <c r="D509" s="7"/>
      <c r="E509" s="7"/>
      <c r="F509" s="9" t="str">
        <f>IFERROR(INDEX($A$2:$A$1000,MATCH(ROWS($F$2:F509),$G$2:$G$1000,0)),"")</f>
        <v/>
      </c>
      <c r="G509" s="9" t="str">
        <f>IF($E509="Yes",COUNTIF($E$2:$E509,"Yes"),"")</f>
        <v/>
      </c>
      <c r="H509" s="3" t="str">
        <f t="shared" si="7"/>
        <v/>
      </c>
    </row>
    <row r="510" spans="1:8" ht="14.25" customHeight="1" x14ac:dyDescent="0.3">
      <c r="A510" s="7"/>
      <c r="B510" s="7"/>
      <c r="C510" s="7"/>
      <c r="D510" s="7"/>
      <c r="E510" s="7"/>
      <c r="F510" s="9" t="str">
        <f>IFERROR(INDEX($A$2:$A$1000,MATCH(ROWS($F$2:F510),$G$2:$G$1000,0)),"")</f>
        <v/>
      </c>
      <c r="G510" s="9" t="str">
        <f>IF($E510="Yes",COUNTIF($E$2:$E510,"Yes"),"")</f>
        <v/>
      </c>
      <c r="H510" s="3" t="str">
        <f t="shared" si="7"/>
        <v/>
      </c>
    </row>
    <row r="511" spans="1:8" ht="14.25" customHeight="1" x14ac:dyDescent="0.3">
      <c r="A511" s="7"/>
      <c r="B511" s="7"/>
      <c r="C511" s="7"/>
      <c r="D511" s="7"/>
      <c r="E511" s="7"/>
      <c r="F511" s="9" t="str">
        <f>IFERROR(INDEX($A$2:$A$1000,MATCH(ROWS($F$2:F511),$G$2:$G$1000,0)),"")</f>
        <v/>
      </c>
      <c r="G511" s="9" t="str">
        <f>IF($E511="Yes",COUNTIF($E$2:$E511,"Yes"),"")</f>
        <v/>
      </c>
      <c r="H511" s="3" t="str">
        <f t="shared" si="7"/>
        <v/>
      </c>
    </row>
    <row r="512" spans="1:8" ht="14.25" customHeight="1" x14ac:dyDescent="0.3">
      <c r="A512" s="7"/>
      <c r="B512" s="7"/>
      <c r="C512" s="7"/>
      <c r="D512" s="7"/>
      <c r="E512" s="7"/>
      <c r="F512" s="9" t="str">
        <f>IFERROR(INDEX($A$2:$A$1000,MATCH(ROWS($F$2:F512),$G$2:$G$1000,0)),"")</f>
        <v/>
      </c>
      <c r="G512" s="9" t="str">
        <f>IF($E512="Yes",COUNTIF($E$2:$E512,"Yes"),"")</f>
        <v/>
      </c>
      <c r="H512" s="3" t="str">
        <f t="shared" si="7"/>
        <v/>
      </c>
    </row>
    <row r="513" spans="1:8" ht="14.25" customHeight="1" x14ac:dyDescent="0.3">
      <c r="A513" s="7"/>
      <c r="B513" s="7"/>
      <c r="C513" s="7"/>
      <c r="D513" s="7"/>
      <c r="E513" s="7"/>
      <c r="F513" s="9" t="str">
        <f>IFERROR(INDEX($A$2:$A$1000,MATCH(ROWS($F$2:F513),$G$2:$G$1000,0)),"")</f>
        <v/>
      </c>
      <c r="G513" s="9" t="str">
        <f>IF($E513="Yes",COUNTIF($E$2:$E513,"Yes"),"")</f>
        <v/>
      </c>
      <c r="H513" s="3" t="str">
        <f t="shared" si="7"/>
        <v/>
      </c>
    </row>
    <row r="514" spans="1:8" ht="14.25" customHeight="1" x14ac:dyDescent="0.3">
      <c r="A514" s="7"/>
      <c r="B514" s="7"/>
      <c r="C514" s="7"/>
      <c r="D514" s="7"/>
      <c r="E514" s="7"/>
      <c r="F514" s="9" t="str">
        <f>IFERROR(INDEX($A$2:$A$1000,MATCH(ROWS($F$2:F514),$G$2:$G$1000,0)),"")</f>
        <v/>
      </c>
      <c r="G514" s="9" t="str">
        <f>IF($E514="Yes",COUNTIF($E$2:$E514,"Yes"),"")</f>
        <v/>
      </c>
      <c r="H514" s="3" t="str">
        <f t="shared" ref="H514:H577" si="8">IF(COUNTA(A514:E514)=0,"",IF(COUNTIF($A$2:$A$1000,A514)&gt;1,"DUPLICATE YEAR_SEM",IF(OR(B514&lt;1,B514&gt;4,C514&lt;1,C514&gt;2),"INVALID YEAR/SEMESTER","OK")))</f>
        <v/>
      </c>
    </row>
    <row r="515" spans="1:8" ht="14.25" customHeight="1" x14ac:dyDescent="0.3">
      <c r="A515" s="7"/>
      <c r="B515" s="7"/>
      <c r="C515" s="7"/>
      <c r="D515" s="7"/>
      <c r="E515" s="7"/>
      <c r="F515" s="9" t="str">
        <f>IFERROR(INDEX($A$2:$A$1000,MATCH(ROWS($F$2:F515),$G$2:$G$1000,0)),"")</f>
        <v/>
      </c>
      <c r="G515" s="9" t="str">
        <f>IF($E515="Yes",COUNTIF($E$2:$E515,"Yes"),"")</f>
        <v/>
      </c>
      <c r="H515" s="3" t="str">
        <f t="shared" si="8"/>
        <v/>
      </c>
    </row>
    <row r="516" spans="1:8" ht="14.25" customHeight="1" x14ac:dyDescent="0.3">
      <c r="A516" s="7"/>
      <c r="B516" s="7"/>
      <c r="C516" s="7"/>
      <c r="D516" s="7"/>
      <c r="E516" s="7"/>
      <c r="F516" s="9" t="str">
        <f>IFERROR(INDEX($A$2:$A$1000,MATCH(ROWS($F$2:F516),$G$2:$G$1000,0)),"")</f>
        <v/>
      </c>
      <c r="G516" s="9" t="str">
        <f>IF($E516="Yes",COUNTIF($E$2:$E516,"Yes"),"")</f>
        <v/>
      </c>
      <c r="H516" s="3" t="str">
        <f t="shared" si="8"/>
        <v/>
      </c>
    </row>
    <row r="517" spans="1:8" ht="14.25" customHeight="1" x14ac:dyDescent="0.3">
      <c r="A517" s="7"/>
      <c r="B517" s="7"/>
      <c r="C517" s="7"/>
      <c r="D517" s="7"/>
      <c r="E517" s="7"/>
      <c r="F517" s="9" t="str">
        <f>IFERROR(INDEX($A$2:$A$1000,MATCH(ROWS($F$2:F517),$G$2:$G$1000,0)),"")</f>
        <v/>
      </c>
      <c r="G517" s="9" t="str">
        <f>IF($E517="Yes",COUNTIF($E$2:$E517,"Yes"),"")</f>
        <v/>
      </c>
      <c r="H517" s="3" t="str">
        <f t="shared" si="8"/>
        <v/>
      </c>
    </row>
    <row r="518" spans="1:8" ht="14.25" customHeight="1" x14ac:dyDescent="0.3">
      <c r="A518" s="7"/>
      <c r="B518" s="7"/>
      <c r="C518" s="7"/>
      <c r="D518" s="7"/>
      <c r="E518" s="7"/>
      <c r="F518" s="9" t="str">
        <f>IFERROR(INDEX($A$2:$A$1000,MATCH(ROWS($F$2:F518),$G$2:$G$1000,0)),"")</f>
        <v/>
      </c>
      <c r="G518" s="9" t="str">
        <f>IF($E518="Yes",COUNTIF($E$2:$E518,"Yes"),"")</f>
        <v/>
      </c>
      <c r="H518" s="3" t="str">
        <f t="shared" si="8"/>
        <v/>
      </c>
    </row>
    <row r="519" spans="1:8" ht="14.25" customHeight="1" x14ac:dyDescent="0.3">
      <c r="A519" s="7"/>
      <c r="B519" s="7"/>
      <c r="C519" s="7"/>
      <c r="D519" s="7"/>
      <c r="E519" s="7"/>
      <c r="F519" s="9" t="str">
        <f>IFERROR(INDEX($A$2:$A$1000,MATCH(ROWS($F$2:F519),$G$2:$G$1000,0)),"")</f>
        <v/>
      </c>
      <c r="G519" s="9" t="str">
        <f>IF($E519="Yes",COUNTIF($E$2:$E519,"Yes"),"")</f>
        <v/>
      </c>
      <c r="H519" s="3" t="str">
        <f t="shared" si="8"/>
        <v/>
      </c>
    </row>
    <row r="520" spans="1:8" ht="14.25" customHeight="1" x14ac:dyDescent="0.3">
      <c r="A520" s="7"/>
      <c r="B520" s="7"/>
      <c r="C520" s="7"/>
      <c r="D520" s="7"/>
      <c r="E520" s="7"/>
      <c r="F520" s="9" t="str">
        <f>IFERROR(INDEX($A$2:$A$1000,MATCH(ROWS($F$2:F520),$G$2:$G$1000,0)),"")</f>
        <v/>
      </c>
      <c r="G520" s="9" t="str">
        <f>IF($E520="Yes",COUNTIF($E$2:$E520,"Yes"),"")</f>
        <v/>
      </c>
      <c r="H520" s="3" t="str">
        <f t="shared" si="8"/>
        <v/>
      </c>
    </row>
    <row r="521" spans="1:8" ht="14.25" customHeight="1" x14ac:dyDescent="0.3">
      <c r="A521" s="7"/>
      <c r="B521" s="7"/>
      <c r="C521" s="7"/>
      <c r="D521" s="7"/>
      <c r="E521" s="7"/>
      <c r="F521" s="9" t="str">
        <f>IFERROR(INDEX($A$2:$A$1000,MATCH(ROWS($F$2:F521),$G$2:$G$1000,0)),"")</f>
        <v/>
      </c>
      <c r="G521" s="9" t="str">
        <f>IF($E521="Yes",COUNTIF($E$2:$E521,"Yes"),"")</f>
        <v/>
      </c>
      <c r="H521" s="3" t="str">
        <f t="shared" si="8"/>
        <v/>
      </c>
    </row>
    <row r="522" spans="1:8" ht="14.25" customHeight="1" x14ac:dyDescent="0.3">
      <c r="A522" s="7"/>
      <c r="B522" s="7"/>
      <c r="C522" s="7"/>
      <c r="D522" s="7"/>
      <c r="E522" s="7"/>
      <c r="F522" s="9" t="str">
        <f>IFERROR(INDEX($A$2:$A$1000,MATCH(ROWS($F$2:F522),$G$2:$G$1000,0)),"")</f>
        <v/>
      </c>
      <c r="G522" s="9" t="str">
        <f>IF($E522="Yes",COUNTIF($E$2:$E522,"Yes"),"")</f>
        <v/>
      </c>
      <c r="H522" s="3" t="str">
        <f t="shared" si="8"/>
        <v/>
      </c>
    </row>
    <row r="523" spans="1:8" ht="14.25" customHeight="1" x14ac:dyDescent="0.3">
      <c r="A523" s="7"/>
      <c r="B523" s="7"/>
      <c r="C523" s="7"/>
      <c r="D523" s="7"/>
      <c r="E523" s="7"/>
      <c r="F523" s="9" t="str">
        <f>IFERROR(INDEX($A$2:$A$1000,MATCH(ROWS($F$2:F523),$G$2:$G$1000,0)),"")</f>
        <v/>
      </c>
      <c r="G523" s="9" t="str">
        <f>IF($E523="Yes",COUNTIF($E$2:$E523,"Yes"),"")</f>
        <v/>
      </c>
      <c r="H523" s="3" t="str">
        <f t="shared" si="8"/>
        <v/>
      </c>
    </row>
    <row r="524" spans="1:8" ht="14.25" customHeight="1" x14ac:dyDescent="0.3">
      <c r="A524" s="7"/>
      <c r="B524" s="7"/>
      <c r="C524" s="7"/>
      <c r="D524" s="7"/>
      <c r="E524" s="7"/>
      <c r="F524" s="9" t="str">
        <f>IFERROR(INDEX($A$2:$A$1000,MATCH(ROWS($F$2:F524),$G$2:$G$1000,0)),"")</f>
        <v/>
      </c>
      <c r="G524" s="9" t="str">
        <f>IF($E524="Yes",COUNTIF($E$2:$E524,"Yes"),"")</f>
        <v/>
      </c>
      <c r="H524" s="3" t="str">
        <f t="shared" si="8"/>
        <v/>
      </c>
    </row>
    <row r="525" spans="1:8" ht="14.25" customHeight="1" x14ac:dyDescent="0.3">
      <c r="A525" s="7"/>
      <c r="B525" s="7"/>
      <c r="C525" s="7"/>
      <c r="D525" s="7"/>
      <c r="E525" s="7"/>
      <c r="F525" s="9" t="str">
        <f>IFERROR(INDEX($A$2:$A$1000,MATCH(ROWS($F$2:F525),$G$2:$G$1000,0)),"")</f>
        <v/>
      </c>
      <c r="G525" s="9" t="str">
        <f>IF($E525="Yes",COUNTIF($E$2:$E525,"Yes"),"")</f>
        <v/>
      </c>
      <c r="H525" s="3" t="str">
        <f t="shared" si="8"/>
        <v/>
      </c>
    </row>
    <row r="526" spans="1:8" ht="14.25" customHeight="1" x14ac:dyDescent="0.3">
      <c r="A526" s="7"/>
      <c r="B526" s="7"/>
      <c r="C526" s="7"/>
      <c r="D526" s="7"/>
      <c r="E526" s="7"/>
      <c r="F526" s="9" t="str">
        <f>IFERROR(INDEX($A$2:$A$1000,MATCH(ROWS($F$2:F526),$G$2:$G$1000,0)),"")</f>
        <v/>
      </c>
      <c r="G526" s="9" t="str">
        <f>IF($E526="Yes",COUNTIF($E$2:$E526,"Yes"),"")</f>
        <v/>
      </c>
      <c r="H526" s="3" t="str">
        <f t="shared" si="8"/>
        <v/>
      </c>
    </row>
    <row r="527" spans="1:8" ht="14.25" customHeight="1" x14ac:dyDescent="0.3">
      <c r="A527" s="7"/>
      <c r="B527" s="7"/>
      <c r="C527" s="7"/>
      <c r="D527" s="7"/>
      <c r="E527" s="7"/>
      <c r="F527" s="9" t="str">
        <f>IFERROR(INDEX($A$2:$A$1000,MATCH(ROWS($F$2:F527),$G$2:$G$1000,0)),"")</f>
        <v/>
      </c>
      <c r="G527" s="9" t="str">
        <f>IF($E527="Yes",COUNTIF($E$2:$E527,"Yes"),"")</f>
        <v/>
      </c>
      <c r="H527" s="3" t="str">
        <f t="shared" si="8"/>
        <v/>
      </c>
    </row>
    <row r="528" spans="1:8" ht="14.25" customHeight="1" x14ac:dyDescent="0.3">
      <c r="A528" s="7"/>
      <c r="B528" s="7"/>
      <c r="C528" s="7"/>
      <c r="D528" s="7"/>
      <c r="E528" s="7"/>
      <c r="F528" s="9" t="str">
        <f>IFERROR(INDEX($A$2:$A$1000,MATCH(ROWS($F$2:F528),$G$2:$G$1000,0)),"")</f>
        <v/>
      </c>
      <c r="G528" s="9" t="str">
        <f>IF($E528="Yes",COUNTIF($E$2:$E528,"Yes"),"")</f>
        <v/>
      </c>
      <c r="H528" s="3" t="str">
        <f t="shared" si="8"/>
        <v/>
      </c>
    </row>
    <row r="529" spans="1:8" ht="14.25" customHeight="1" x14ac:dyDescent="0.3">
      <c r="A529" s="7"/>
      <c r="B529" s="7"/>
      <c r="C529" s="7"/>
      <c r="D529" s="7"/>
      <c r="E529" s="7"/>
      <c r="F529" s="9" t="str">
        <f>IFERROR(INDEX($A$2:$A$1000,MATCH(ROWS($F$2:F529),$G$2:$G$1000,0)),"")</f>
        <v/>
      </c>
      <c r="G529" s="9" t="str">
        <f>IF($E529="Yes",COUNTIF($E$2:$E529,"Yes"),"")</f>
        <v/>
      </c>
      <c r="H529" s="3" t="str">
        <f t="shared" si="8"/>
        <v/>
      </c>
    </row>
    <row r="530" spans="1:8" ht="14.25" customHeight="1" x14ac:dyDescent="0.3">
      <c r="A530" s="7"/>
      <c r="B530" s="7"/>
      <c r="C530" s="7"/>
      <c r="D530" s="7"/>
      <c r="E530" s="7"/>
      <c r="F530" s="9" t="str">
        <f>IFERROR(INDEX($A$2:$A$1000,MATCH(ROWS($F$2:F530),$G$2:$G$1000,0)),"")</f>
        <v/>
      </c>
      <c r="G530" s="9" t="str">
        <f>IF($E530="Yes",COUNTIF($E$2:$E530,"Yes"),"")</f>
        <v/>
      </c>
      <c r="H530" s="3" t="str">
        <f t="shared" si="8"/>
        <v/>
      </c>
    </row>
    <row r="531" spans="1:8" ht="14.25" customHeight="1" x14ac:dyDescent="0.3">
      <c r="A531" s="7"/>
      <c r="B531" s="7"/>
      <c r="C531" s="7"/>
      <c r="D531" s="7"/>
      <c r="E531" s="7"/>
      <c r="F531" s="9" t="str">
        <f>IFERROR(INDEX($A$2:$A$1000,MATCH(ROWS($F$2:F531),$G$2:$G$1000,0)),"")</f>
        <v/>
      </c>
      <c r="G531" s="9" t="str">
        <f>IF($E531="Yes",COUNTIF($E$2:$E531,"Yes"),"")</f>
        <v/>
      </c>
      <c r="H531" s="3" t="str">
        <f t="shared" si="8"/>
        <v/>
      </c>
    </row>
    <row r="532" spans="1:8" ht="14.25" customHeight="1" x14ac:dyDescent="0.3">
      <c r="A532" s="7"/>
      <c r="B532" s="7"/>
      <c r="C532" s="7"/>
      <c r="D532" s="7"/>
      <c r="E532" s="7"/>
      <c r="F532" s="9" t="str">
        <f>IFERROR(INDEX($A$2:$A$1000,MATCH(ROWS($F$2:F532),$G$2:$G$1000,0)),"")</f>
        <v/>
      </c>
      <c r="G532" s="9" t="str">
        <f>IF($E532="Yes",COUNTIF($E$2:$E532,"Yes"),"")</f>
        <v/>
      </c>
      <c r="H532" s="3" t="str">
        <f t="shared" si="8"/>
        <v/>
      </c>
    </row>
    <row r="533" spans="1:8" ht="14.25" customHeight="1" x14ac:dyDescent="0.3">
      <c r="A533" s="7"/>
      <c r="B533" s="7"/>
      <c r="C533" s="7"/>
      <c r="D533" s="7"/>
      <c r="E533" s="7"/>
      <c r="F533" s="9" t="str">
        <f>IFERROR(INDEX($A$2:$A$1000,MATCH(ROWS($F$2:F533),$G$2:$G$1000,0)),"")</f>
        <v/>
      </c>
      <c r="G533" s="9" t="str">
        <f>IF($E533="Yes",COUNTIF($E$2:$E533,"Yes"),"")</f>
        <v/>
      </c>
      <c r="H533" s="3" t="str">
        <f t="shared" si="8"/>
        <v/>
      </c>
    </row>
    <row r="534" spans="1:8" ht="14.25" customHeight="1" x14ac:dyDescent="0.3">
      <c r="A534" s="7"/>
      <c r="B534" s="7"/>
      <c r="C534" s="7"/>
      <c r="D534" s="7"/>
      <c r="E534" s="7"/>
      <c r="F534" s="9" t="str">
        <f>IFERROR(INDEX($A$2:$A$1000,MATCH(ROWS($F$2:F534),$G$2:$G$1000,0)),"")</f>
        <v/>
      </c>
      <c r="G534" s="9" t="str">
        <f>IF($E534="Yes",COUNTIF($E$2:$E534,"Yes"),"")</f>
        <v/>
      </c>
      <c r="H534" s="3" t="str">
        <f t="shared" si="8"/>
        <v/>
      </c>
    </row>
    <row r="535" spans="1:8" ht="14.25" customHeight="1" x14ac:dyDescent="0.3">
      <c r="A535" s="7"/>
      <c r="B535" s="7"/>
      <c r="C535" s="7"/>
      <c r="D535" s="7"/>
      <c r="E535" s="7"/>
      <c r="F535" s="9" t="str">
        <f>IFERROR(INDEX($A$2:$A$1000,MATCH(ROWS($F$2:F535),$G$2:$G$1000,0)),"")</f>
        <v/>
      </c>
      <c r="G535" s="9" t="str">
        <f>IF($E535="Yes",COUNTIF($E$2:$E535,"Yes"),"")</f>
        <v/>
      </c>
      <c r="H535" s="3" t="str">
        <f t="shared" si="8"/>
        <v/>
      </c>
    </row>
    <row r="536" spans="1:8" ht="14.25" customHeight="1" x14ac:dyDescent="0.3">
      <c r="A536" s="7"/>
      <c r="B536" s="7"/>
      <c r="C536" s="7"/>
      <c r="D536" s="7"/>
      <c r="E536" s="7"/>
      <c r="F536" s="9" t="str">
        <f>IFERROR(INDEX($A$2:$A$1000,MATCH(ROWS($F$2:F536),$G$2:$G$1000,0)),"")</f>
        <v/>
      </c>
      <c r="G536" s="9" t="str">
        <f>IF($E536="Yes",COUNTIF($E$2:$E536,"Yes"),"")</f>
        <v/>
      </c>
      <c r="H536" s="3" t="str">
        <f t="shared" si="8"/>
        <v/>
      </c>
    </row>
    <row r="537" spans="1:8" ht="14.25" customHeight="1" x14ac:dyDescent="0.3">
      <c r="A537" s="7"/>
      <c r="B537" s="7"/>
      <c r="C537" s="7"/>
      <c r="D537" s="7"/>
      <c r="E537" s="7"/>
      <c r="F537" s="9" t="str">
        <f>IFERROR(INDEX($A$2:$A$1000,MATCH(ROWS($F$2:F537),$G$2:$G$1000,0)),"")</f>
        <v/>
      </c>
      <c r="G537" s="9" t="str">
        <f>IF($E537="Yes",COUNTIF($E$2:$E537,"Yes"),"")</f>
        <v/>
      </c>
      <c r="H537" s="3" t="str">
        <f t="shared" si="8"/>
        <v/>
      </c>
    </row>
    <row r="538" spans="1:8" ht="14.25" customHeight="1" x14ac:dyDescent="0.3">
      <c r="A538" s="7"/>
      <c r="B538" s="7"/>
      <c r="C538" s="7"/>
      <c r="D538" s="7"/>
      <c r="E538" s="7"/>
      <c r="F538" s="9" t="str">
        <f>IFERROR(INDEX($A$2:$A$1000,MATCH(ROWS($F$2:F538),$G$2:$G$1000,0)),"")</f>
        <v/>
      </c>
      <c r="G538" s="9" t="str">
        <f>IF($E538="Yes",COUNTIF($E$2:$E538,"Yes"),"")</f>
        <v/>
      </c>
      <c r="H538" s="3" t="str">
        <f t="shared" si="8"/>
        <v/>
      </c>
    </row>
    <row r="539" spans="1:8" ht="14.25" customHeight="1" x14ac:dyDescent="0.3">
      <c r="A539" s="7"/>
      <c r="B539" s="7"/>
      <c r="C539" s="7"/>
      <c r="D539" s="7"/>
      <c r="E539" s="7"/>
      <c r="F539" s="9" t="str">
        <f>IFERROR(INDEX($A$2:$A$1000,MATCH(ROWS($F$2:F539),$G$2:$G$1000,0)),"")</f>
        <v/>
      </c>
      <c r="G539" s="9" t="str">
        <f>IF($E539="Yes",COUNTIF($E$2:$E539,"Yes"),"")</f>
        <v/>
      </c>
      <c r="H539" s="3" t="str">
        <f t="shared" si="8"/>
        <v/>
      </c>
    </row>
    <row r="540" spans="1:8" ht="14.25" customHeight="1" x14ac:dyDescent="0.3">
      <c r="A540" s="7"/>
      <c r="B540" s="7"/>
      <c r="C540" s="7"/>
      <c r="D540" s="7"/>
      <c r="E540" s="7"/>
      <c r="F540" s="9" t="str">
        <f>IFERROR(INDEX($A$2:$A$1000,MATCH(ROWS($F$2:F540),$G$2:$G$1000,0)),"")</f>
        <v/>
      </c>
      <c r="G540" s="9" t="str">
        <f>IF($E540="Yes",COUNTIF($E$2:$E540,"Yes"),"")</f>
        <v/>
      </c>
      <c r="H540" s="3" t="str">
        <f t="shared" si="8"/>
        <v/>
      </c>
    </row>
    <row r="541" spans="1:8" ht="14.25" customHeight="1" x14ac:dyDescent="0.3">
      <c r="A541" s="7"/>
      <c r="B541" s="7"/>
      <c r="C541" s="7"/>
      <c r="D541" s="7"/>
      <c r="E541" s="7"/>
      <c r="F541" s="9" t="str">
        <f>IFERROR(INDEX($A$2:$A$1000,MATCH(ROWS($F$2:F541),$G$2:$G$1000,0)),"")</f>
        <v/>
      </c>
      <c r="G541" s="9" t="str">
        <f>IF($E541="Yes",COUNTIF($E$2:$E541,"Yes"),"")</f>
        <v/>
      </c>
      <c r="H541" s="3" t="str">
        <f t="shared" si="8"/>
        <v/>
      </c>
    </row>
    <row r="542" spans="1:8" ht="14.25" customHeight="1" x14ac:dyDescent="0.3">
      <c r="A542" s="7"/>
      <c r="B542" s="7"/>
      <c r="C542" s="7"/>
      <c r="D542" s="7"/>
      <c r="E542" s="7"/>
      <c r="F542" s="9" t="str">
        <f>IFERROR(INDEX($A$2:$A$1000,MATCH(ROWS($F$2:F542),$G$2:$G$1000,0)),"")</f>
        <v/>
      </c>
      <c r="G542" s="9" t="str">
        <f>IF($E542="Yes",COUNTIF($E$2:$E542,"Yes"),"")</f>
        <v/>
      </c>
      <c r="H542" s="3" t="str">
        <f t="shared" si="8"/>
        <v/>
      </c>
    </row>
    <row r="543" spans="1:8" ht="14.25" customHeight="1" x14ac:dyDescent="0.3">
      <c r="A543" s="7"/>
      <c r="B543" s="7"/>
      <c r="C543" s="7"/>
      <c r="D543" s="7"/>
      <c r="E543" s="7"/>
      <c r="F543" s="9" t="str">
        <f>IFERROR(INDEX($A$2:$A$1000,MATCH(ROWS($F$2:F543),$G$2:$G$1000,0)),"")</f>
        <v/>
      </c>
      <c r="G543" s="9" t="str">
        <f>IF($E543="Yes",COUNTIF($E$2:$E543,"Yes"),"")</f>
        <v/>
      </c>
      <c r="H543" s="3" t="str">
        <f t="shared" si="8"/>
        <v/>
      </c>
    </row>
    <row r="544" spans="1:8" ht="14.25" customHeight="1" x14ac:dyDescent="0.3">
      <c r="A544" s="7"/>
      <c r="B544" s="7"/>
      <c r="C544" s="7"/>
      <c r="D544" s="7"/>
      <c r="E544" s="7"/>
      <c r="F544" s="9" t="str">
        <f>IFERROR(INDEX($A$2:$A$1000,MATCH(ROWS($F$2:F544),$G$2:$G$1000,0)),"")</f>
        <v/>
      </c>
      <c r="G544" s="9" t="str">
        <f>IF($E544="Yes",COUNTIF($E$2:$E544,"Yes"),"")</f>
        <v/>
      </c>
      <c r="H544" s="3" t="str">
        <f t="shared" si="8"/>
        <v/>
      </c>
    </row>
    <row r="545" spans="1:8" ht="14.25" customHeight="1" x14ac:dyDescent="0.3">
      <c r="A545" s="7"/>
      <c r="B545" s="7"/>
      <c r="C545" s="7"/>
      <c r="D545" s="7"/>
      <c r="E545" s="7"/>
      <c r="F545" s="9" t="str">
        <f>IFERROR(INDEX($A$2:$A$1000,MATCH(ROWS($F$2:F545),$G$2:$G$1000,0)),"")</f>
        <v/>
      </c>
      <c r="G545" s="9" t="str">
        <f>IF($E545="Yes",COUNTIF($E$2:$E545,"Yes"),"")</f>
        <v/>
      </c>
      <c r="H545" s="3" t="str">
        <f t="shared" si="8"/>
        <v/>
      </c>
    </row>
    <row r="546" spans="1:8" ht="14.25" customHeight="1" x14ac:dyDescent="0.3">
      <c r="A546" s="7"/>
      <c r="B546" s="7"/>
      <c r="C546" s="7"/>
      <c r="D546" s="7"/>
      <c r="E546" s="7"/>
      <c r="F546" s="9" t="str">
        <f>IFERROR(INDEX($A$2:$A$1000,MATCH(ROWS($F$2:F546),$G$2:$G$1000,0)),"")</f>
        <v/>
      </c>
      <c r="G546" s="9" t="str">
        <f>IF($E546="Yes",COUNTIF($E$2:$E546,"Yes"),"")</f>
        <v/>
      </c>
      <c r="H546" s="3" t="str">
        <f t="shared" si="8"/>
        <v/>
      </c>
    </row>
    <row r="547" spans="1:8" ht="14.25" customHeight="1" x14ac:dyDescent="0.3">
      <c r="A547" s="7"/>
      <c r="B547" s="7"/>
      <c r="C547" s="7"/>
      <c r="D547" s="7"/>
      <c r="E547" s="7"/>
      <c r="F547" s="9" t="str">
        <f>IFERROR(INDEX($A$2:$A$1000,MATCH(ROWS($F$2:F547),$G$2:$G$1000,0)),"")</f>
        <v/>
      </c>
      <c r="G547" s="9" t="str">
        <f>IF($E547="Yes",COUNTIF($E$2:$E547,"Yes"),"")</f>
        <v/>
      </c>
      <c r="H547" s="3" t="str">
        <f t="shared" si="8"/>
        <v/>
      </c>
    </row>
    <row r="548" spans="1:8" ht="14.25" customHeight="1" x14ac:dyDescent="0.3">
      <c r="A548" s="7"/>
      <c r="B548" s="7"/>
      <c r="C548" s="7"/>
      <c r="D548" s="7"/>
      <c r="E548" s="7"/>
      <c r="F548" s="9" t="str">
        <f>IFERROR(INDEX($A$2:$A$1000,MATCH(ROWS($F$2:F548),$G$2:$G$1000,0)),"")</f>
        <v/>
      </c>
      <c r="G548" s="9" t="str">
        <f>IF($E548="Yes",COUNTIF($E$2:$E548,"Yes"),"")</f>
        <v/>
      </c>
      <c r="H548" s="3" t="str">
        <f t="shared" si="8"/>
        <v/>
      </c>
    </row>
    <row r="549" spans="1:8" ht="14.25" customHeight="1" x14ac:dyDescent="0.3">
      <c r="A549" s="7"/>
      <c r="B549" s="7"/>
      <c r="C549" s="7"/>
      <c r="D549" s="7"/>
      <c r="E549" s="7"/>
      <c r="F549" s="9" t="str">
        <f>IFERROR(INDEX($A$2:$A$1000,MATCH(ROWS($F$2:F549),$G$2:$G$1000,0)),"")</f>
        <v/>
      </c>
      <c r="G549" s="9" t="str">
        <f>IF($E549="Yes",COUNTIF($E$2:$E549,"Yes"),"")</f>
        <v/>
      </c>
      <c r="H549" s="3" t="str">
        <f t="shared" si="8"/>
        <v/>
      </c>
    </row>
    <row r="550" spans="1:8" ht="14.25" customHeight="1" x14ac:dyDescent="0.3">
      <c r="A550" s="7"/>
      <c r="B550" s="7"/>
      <c r="C550" s="7"/>
      <c r="D550" s="7"/>
      <c r="E550" s="7"/>
      <c r="F550" s="9" t="str">
        <f>IFERROR(INDEX($A$2:$A$1000,MATCH(ROWS($F$2:F550),$G$2:$G$1000,0)),"")</f>
        <v/>
      </c>
      <c r="G550" s="9" t="str">
        <f>IF($E550="Yes",COUNTIF($E$2:$E550,"Yes"),"")</f>
        <v/>
      </c>
      <c r="H550" s="3" t="str">
        <f t="shared" si="8"/>
        <v/>
      </c>
    </row>
    <row r="551" spans="1:8" ht="14.25" customHeight="1" x14ac:dyDescent="0.3">
      <c r="A551" s="7"/>
      <c r="B551" s="7"/>
      <c r="C551" s="7"/>
      <c r="D551" s="7"/>
      <c r="E551" s="7"/>
      <c r="F551" s="9" t="str">
        <f>IFERROR(INDEX($A$2:$A$1000,MATCH(ROWS($F$2:F551),$G$2:$G$1000,0)),"")</f>
        <v/>
      </c>
      <c r="G551" s="9" t="str">
        <f>IF($E551="Yes",COUNTIF($E$2:$E551,"Yes"),"")</f>
        <v/>
      </c>
      <c r="H551" s="3" t="str">
        <f t="shared" si="8"/>
        <v/>
      </c>
    </row>
    <row r="552" spans="1:8" ht="14.25" customHeight="1" x14ac:dyDescent="0.3">
      <c r="A552" s="7"/>
      <c r="B552" s="7"/>
      <c r="C552" s="7"/>
      <c r="D552" s="7"/>
      <c r="E552" s="7"/>
      <c r="F552" s="9" t="str">
        <f>IFERROR(INDEX($A$2:$A$1000,MATCH(ROWS($F$2:F552),$G$2:$G$1000,0)),"")</f>
        <v/>
      </c>
      <c r="G552" s="9" t="str">
        <f>IF($E552="Yes",COUNTIF($E$2:$E552,"Yes"),"")</f>
        <v/>
      </c>
      <c r="H552" s="3" t="str">
        <f t="shared" si="8"/>
        <v/>
      </c>
    </row>
    <row r="553" spans="1:8" ht="14.25" customHeight="1" x14ac:dyDescent="0.3">
      <c r="A553" s="7"/>
      <c r="B553" s="7"/>
      <c r="C553" s="7"/>
      <c r="D553" s="7"/>
      <c r="E553" s="7"/>
      <c r="F553" s="9" t="str">
        <f>IFERROR(INDEX($A$2:$A$1000,MATCH(ROWS($F$2:F553),$G$2:$G$1000,0)),"")</f>
        <v/>
      </c>
      <c r="G553" s="9" t="str">
        <f>IF($E553="Yes",COUNTIF($E$2:$E553,"Yes"),"")</f>
        <v/>
      </c>
      <c r="H553" s="3" t="str">
        <f t="shared" si="8"/>
        <v/>
      </c>
    </row>
    <row r="554" spans="1:8" ht="14.25" customHeight="1" x14ac:dyDescent="0.3">
      <c r="A554" s="7"/>
      <c r="B554" s="7"/>
      <c r="C554" s="7"/>
      <c r="D554" s="7"/>
      <c r="E554" s="7"/>
      <c r="F554" s="9" t="str">
        <f>IFERROR(INDEX($A$2:$A$1000,MATCH(ROWS($F$2:F554),$G$2:$G$1000,0)),"")</f>
        <v/>
      </c>
      <c r="G554" s="9" t="str">
        <f>IF($E554="Yes",COUNTIF($E$2:$E554,"Yes"),"")</f>
        <v/>
      </c>
      <c r="H554" s="3" t="str">
        <f t="shared" si="8"/>
        <v/>
      </c>
    </row>
    <row r="555" spans="1:8" ht="14.25" customHeight="1" x14ac:dyDescent="0.3">
      <c r="A555" s="7"/>
      <c r="B555" s="7"/>
      <c r="C555" s="7"/>
      <c r="D555" s="7"/>
      <c r="E555" s="7"/>
      <c r="F555" s="9" t="str">
        <f>IFERROR(INDEX($A$2:$A$1000,MATCH(ROWS($F$2:F555),$G$2:$G$1000,0)),"")</f>
        <v/>
      </c>
      <c r="G555" s="9" t="str">
        <f>IF($E555="Yes",COUNTIF($E$2:$E555,"Yes"),"")</f>
        <v/>
      </c>
      <c r="H555" s="3" t="str">
        <f t="shared" si="8"/>
        <v/>
      </c>
    </row>
    <row r="556" spans="1:8" ht="14.25" customHeight="1" x14ac:dyDescent="0.3">
      <c r="A556" s="7"/>
      <c r="B556" s="7"/>
      <c r="C556" s="7"/>
      <c r="D556" s="7"/>
      <c r="E556" s="7"/>
      <c r="F556" s="9" t="str">
        <f>IFERROR(INDEX($A$2:$A$1000,MATCH(ROWS($F$2:F556),$G$2:$G$1000,0)),"")</f>
        <v/>
      </c>
      <c r="G556" s="9" t="str">
        <f>IF($E556="Yes",COUNTIF($E$2:$E556,"Yes"),"")</f>
        <v/>
      </c>
      <c r="H556" s="3" t="str">
        <f t="shared" si="8"/>
        <v/>
      </c>
    </row>
    <row r="557" spans="1:8" ht="14.25" customHeight="1" x14ac:dyDescent="0.3">
      <c r="A557" s="7"/>
      <c r="B557" s="7"/>
      <c r="C557" s="7"/>
      <c r="D557" s="7"/>
      <c r="E557" s="7"/>
      <c r="F557" s="9" t="str">
        <f>IFERROR(INDEX($A$2:$A$1000,MATCH(ROWS($F$2:F557),$G$2:$G$1000,0)),"")</f>
        <v/>
      </c>
      <c r="G557" s="9" t="str">
        <f>IF($E557="Yes",COUNTIF($E$2:$E557,"Yes"),"")</f>
        <v/>
      </c>
      <c r="H557" s="3" t="str">
        <f t="shared" si="8"/>
        <v/>
      </c>
    </row>
    <row r="558" spans="1:8" ht="14.25" customHeight="1" x14ac:dyDescent="0.3">
      <c r="A558" s="7"/>
      <c r="B558" s="7"/>
      <c r="C558" s="7"/>
      <c r="D558" s="7"/>
      <c r="E558" s="7"/>
      <c r="F558" s="9" t="str">
        <f>IFERROR(INDEX($A$2:$A$1000,MATCH(ROWS($F$2:F558),$G$2:$G$1000,0)),"")</f>
        <v/>
      </c>
      <c r="G558" s="9" t="str">
        <f>IF($E558="Yes",COUNTIF($E$2:$E558,"Yes"),"")</f>
        <v/>
      </c>
      <c r="H558" s="3" t="str">
        <f t="shared" si="8"/>
        <v/>
      </c>
    </row>
    <row r="559" spans="1:8" ht="14.25" customHeight="1" x14ac:dyDescent="0.3">
      <c r="A559" s="7"/>
      <c r="B559" s="7"/>
      <c r="C559" s="7"/>
      <c r="D559" s="7"/>
      <c r="E559" s="7"/>
      <c r="F559" s="9" t="str">
        <f>IFERROR(INDEX($A$2:$A$1000,MATCH(ROWS($F$2:F559),$G$2:$G$1000,0)),"")</f>
        <v/>
      </c>
      <c r="G559" s="9" t="str">
        <f>IF($E559="Yes",COUNTIF($E$2:$E559,"Yes"),"")</f>
        <v/>
      </c>
      <c r="H559" s="3" t="str">
        <f t="shared" si="8"/>
        <v/>
      </c>
    </row>
    <row r="560" spans="1:8" ht="14.25" customHeight="1" x14ac:dyDescent="0.3">
      <c r="A560" s="7"/>
      <c r="B560" s="7"/>
      <c r="C560" s="7"/>
      <c r="D560" s="7"/>
      <c r="E560" s="7"/>
      <c r="F560" s="9" t="str">
        <f>IFERROR(INDEX($A$2:$A$1000,MATCH(ROWS($F$2:F560),$G$2:$G$1000,0)),"")</f>
        <v/>
      </c>
      <c r="G560" s="9" t="str">
        <f>IF($E560="Yes",COUNTIF($E$2:$E560,"Yes"),"")</f>
        <v/>
      </c>
      <c r="H560" s="3" t="str">
        <f t="shared" si="8"/>
        <v/>
      </c>
    </row>
    <row r="561" spans="1:8" ht="14.25" customHeight="1" x14ac:dyDescent="0.3">
      <c r="A561" s="7"/>
      <c r="B561" s="7"/>
      <c r="C561" s="7"/>
      <c r="D561" s="7"/>
      <c r="E561" s="7"/>
      <c r="F561" s="9" t="str">
        <f>IFERROR(INDEX($A$2:$A$1000,MATCH(ROWS($F$2:F561),$G$2:$G$1000,0)),"")</f>
        <v/>
      </c>
      <c r="G561" s="9" t="str">
        <f>IF($E561="Yes",COUNTIF($E$2:$E561,"Yes"),"")</f>
        <v/>
      </c>
      <c r="H561" s="3" t="str">
        <f t="shared" si="8"/>
        <v/>
      </c>
    </row>
    <row r="562" spans="1:8" ht="14.25" customHeight="1" x14ac:dyDescent="0.3">
      <c r="A562" s="7"/>
      <c r="B562" s="7"/>
      <c r="C562" s="7"/>
      <c r="D562" s="7"/>
      <c r="E562" s="7"/>
      <c r="F562" s="9" t="str">
        <f>IFERROR(INDEX($A$2:$A$1000,MATCH(ROWS($F$2:F562),$G$2:$G$1000,0)),"")</f>
        <v/>
      </c>
      <c r="G562" s="9" t="str">
        <f>IF($E562="Yes",COUNTIF($E$2:$E562,"Yes"),"")</f>
        <v/>
      </c>
      <c r="H562" s="3" t="str">
        <f t="shared" si="8"/>
        <v/>
      </c>
    </row>
    <row r="563" spans="1:8" ht="14.25" customHeight="1" x14ac:dyDescent="0.3">
      <c r="A563" s="7"/>
      <c r="B563" s="7"/>
      <c r="C563" s="7"/>
      <c r="D563" s="7"/>
      <c r="E563" s="7"/>
      <c r="F563" s="9" t="str">
        <f>IFERROR(INDEX($A$2:$A$1000,MATCH(ROWS($F$2:F563),$G$2:$G$1000,0)),"")</f>
        <v/>
      </c>
      <c r="G563" s="9" t="str">
        <f>IF($E563="Yes",COUNTIF($E$2:$E563,"Yes"),"")</f>
        <v/>
      </c>
      <c r="H563" s="3" t="str">
        <f t="shared" si="8"/>
        <v/>
      </c>
    </row>
    <row r="564" spans="1:8" ht="14.25" customHeight="1" x14ac:dyDescent="0.3">
      <c r="A564" s="7"/>
      <c r="B564" s="7"/>
      <c r="C564" s="7"/>
      <c r="D564" s="7"/>
      <c r="E564" s="7"/>
      <c r="F564" s="9" t="str">
        <f>IFERROR(INDEX($A$2:$A$1000,MATCH(ROWS($F$2:F564),$G$2:$G$1000,0)),"")</f>
        <v/>
      </c>
      <c r="G564" s="9" t="str">
        <f>IF($E564="Yes",COUNTIF($E$2:$E564,"Yes"),"")</f>
        <v/>
      </c>
      <c r="H564" s="3" t="str">
        <f t="shared" si="8"/>
        <v/>
      </c>
    </row>
    <row r="565" spans="1:8" ht="14.25" customHeight="1" x14ac:dyDescent="0.3">
      <c r="A565" s="7"/>
      <c r="B565" s="7"/>
      <c r="C565" s="7"/>
      <c r="D565" s="7"/>
      <c r="E565" s="7"/>
      <c r="F565" s="9" t="str">
        <f>IFERROR(INDEX($A$2:$A$1000,MATCH(ROWS($F$2:F565),$G$2:$G$1000,0)),"")</f>
        <v/>
      </c>
      <c r="G565" s="9" t="str">
        <f>IF($E565="Yes",COUNTIF($E$2:$E565,"Yes"),"")</f>
        <v/>
      </c>
      <c r="H565" s="3" t="str">
        <f t="shared" si="8"/>
        <v/>
      </c>
    </row>
    <row r="566" spans="1:8" ht="14.25" customHeight="1" x14ac:dyDescent="0.3">
      <c r="A566" s="7"/>
      <c r="B566" s="7"/>
      <c r="C566" s="7"/>
      <c r="D566" s="7"/>
      <c r="E566" s="7"/>
      <c r="F566" s="9" t="str">
        <f>IFERROR(INDEX($A$2:$A$1000,MATCH(ROWS($F$2:F566),$G$2:$G$1000,0)),"")</f>
        <v/>
      </c>
      <c r="G566" s="9" t="str">
        <f>IF($E566="Yes",COUNTIF($E$2:$E566,"Yes"),"")</f>
        <v/>
      </c>
      <c r="H566" s="3" t="str">
        <f t="shared" si="8"/>
        <v/>
      </c>
    </row>
    <row r="567" spans="1:8" ht="14.25" customHeight="1" x14ac:dyDescent="0.3">
      <c r="A567" s="7"/>
      <c r="B567" s="7"/>
      <c r="C567" s="7"/>
      <c r="D567" s="7"/>
      <c r="E567" s="7"/>
      <c r="F567" s="9" t="str">
        <f>IFERROR(INDEX($A$2:$A$1000,MATCH(ROWS($F$2:F567),$G$2:$G$1000,0)),"")</f>
        <v/>
      </c>
      <c r="G567" s="9" t="str">
        <f>IF($E567="Yes",COUNTIF($E$2:$E567,"Yes"),"")</f>
        <v/>
      </c>
      <c r="H567" s="3" t="str">
        <f t="shared" si="8"/>
        <v/>
      </c>
    </row>
    <row r="568" spans="1:8" ht="14.25" customHeight="1" x14ac:dyDescent="0.3">
      <c r="A568" s="7"/>
      <c r="B568" s="7"/>
      <c r="C568" s="7"/>
      <c r="D568" s="7"/>
      <c r="E568" s="7"/>
      <c r="F568" s="9" t="str">
        <f>IFERROR(INDEX($A$2:$A$1000,MATCH(ROWS($F$2:F568),$G$2:$G$1000,0)),"")</f>
        <v/>
      </c>
      <c r="G568" s="9" t="str">
        <f>IF($E568="Yes",COUNTIF($E$2:$E568,"Yes"),"")</f>
        <v/>
      </c>
      <c r="H568" s="3" t="str">
        <f t="shared" si="8"/>
        <v/>
      </c>
    </row>
    <row r="569" spans="1:8" ht="14.25" customHeight="1" x14ac:dyDescent="0.3">
      <c r="A569" s="7"/>
      <c r="B569" s="7"/>
      <c r="C569" s="7"/>
      <c r="D569" s="7"/>
      <c r="E569" s="7"/>
      <c r="F569" s="9" t="str">
        <f>IFERROR(INDEX($A$2:$A$1000,MATCH(ROWS($F$2:F569),$G$2:$G$1000,0)),"")</f>
        <v/>
      </c>
      <c r="G569" s="9" t="str">
        <f>IF($E569="Yes",COUNTIF($E$2:$E569,"Yes"),"")</f>
        <v/>
      </c>
      <c r="H569" s="3" t="str">
        <f t="shared" si="8"/>
        <v/>
      </c>
    </row>
    <row r="570" spans="1:8" ht="14.25" customHeight="1" x14ac:dyDescent="0.3">
      <c r="A570" s="7"/>
      <c r="B570" s="7"/>
      <c r="C570" s="7"/>
      <c r="D570" s="7"/>
      <c r="E570" s="7"/>
      <c r="F570" s="9" t="str">
        <f>IFERROR(INDEX($A$2:$A$1000,MATCH(ROWS($F$2:F570),$G$2:$G$1000,0)),"")</f>
        <v/>
      </c>
      <c r="G570" s="9" t="str">
        <f>IF($E570="Yes",COUNTIF($E$2:$E570,"Yes"),"")</f>
        <v/>
      </c>
      <c r="H570" s="3" t="str">
        <f t="shared" si="8"/>
        <v/>
      </c>
    </row>
    <row r="571" spans="1:8" ht="14.25" customHeight="1" x14ac:dyDescent="0.3">
      <c r="A571" s="7"/>
      <c r="B571" s="7"/>
      <c r="C571" s="7"/>
      <c r="D571" s="7"/>
      <c r="E571" s="7"/>
      <c r="F571" s="9" t="str">
        <f>IFERROR(INDEX($A$2:$A$1000,MATCH(ROWS($F$2:F571),$G$2:$G$1000,0)),"")</f>
        <v/>
      </c>
      <c r="G571" s="9" t="str">
        <f>IF($E571="Yes",COUNTIF($E$2:$E571,"Yes"),"")</f>
        <v/>
      </c>
      <c r="H571" s="3" t="str">
        <f t="shared" si="8"/>
        <v/>
      </c>
    </row>
    <row r="572" spans="1:8" ht="14.25" customHeight="1" x14ac:dyDescent="0.3">
      <c r="A572" s="7"/>
      <c r="B572" s="7"/>
      <c r="C572" s="7"/>
      <c r="D572" s="7"/>
      <c r="E572" s="7"/>
      <c r="F572" s="9" t="str">
        <f>IFERROR(INDEX($A$2:$A$1000,MATCH(ROWS($F$2:F572),$G$2:$G$1000,0)),"")</f>
        <v/>
      </c>
      <c r="G572" s="9" t="str">
        <f>IF($E572="Yes",COUNTIF($E$2:$E572,"Yes"),"")</f>
        <v/>
      </c>
      <c r="H572" s="3" t="str">
        <f t="shared" si="8"/>
        <v/>
      </c>
    </row>
    <row r="573" spans="1:8" ht="14.25" customHeight="1" x14ac:dyDescent="0.3">
      <c r="A573" s="7"/>
      <c r="B573" s="7"/>
      <c r="C573" s="7"/>
      <c r="D573" s="7"/>
      <c r="E573" s="7"/>
      <c r="F573" s="9" t="str">
        <f>IFERROR(INDEX($A$2:$A$1000,MATCH(ROWS($F$2:F573),$G$2:$G$1000,0)),"")</f>
        <v/>
      </c>
      <c r="G573" s="9" t="str">
        <f>IF($E573="Yes",COUNTIF($E$2:$E573,"Yes"),"")</f>
        <v/>
      </c>
      <c r="H573" s="3" t="str">
        <f t="shared" si="8"/>
        <v/>
      </c>
    </row>
    <row r="574" spans="1:8" ht="14.25" customHeight="1" x14ac:dyDescent="0.3">
      <c r="A574" s="7"/>
      <c r="B574" s="7"/>
      <c r="C574" s="7"/>
      <c r="D574" s="7"/>
      <c r="E574" s="7"/>
      <c r="F574" s="9" t="str">
        <f>IFERROR(INDEX($A$2:$A$1000,MATCH(ROWS($F$2:F574),$G$2:$G$1000,0)),"")</f>
        <v/>
      </c>
      <c r="G574" s="9" t="str">
        <f>IF($E574="Yes",COUNTIF($E$2:$E574,"Yes"),"")</f>
        <v/>
      </c>
      <c r="H574" s="3" t="str">
        <f t="shared" si="8"/>
        <v/>
      </c>
    </row>
    <row r="575" spans="1:8" ht="14.25" customHeight="1" x14ac:dyDescent="0.3">
      <c r="A575" s="7"/>
      <c r="B575" s="7"/>
      <c r="C575" s="7"/>
      <c r="D575" s="7"/>
      <c r="E575" s="7"/>
      <c r="F575" s="9" t="str">
        <f>IFERROR(INDEX($A$2:$A$1000,MATCH(ROWS($F$2:F575),$G$2:$G$1000,0)),"")</f>
        <v/>
      </c>
      <c r="G575" s="9" t="str">
        <f>IF($E575="Yes",COUNTIF($E$2:$E575,"Yes"),"")</f>
        <v/>
      </c>
      <c r="H575" s="3" t="str">
        <f t="shared" si="8"/>
        <v/>
      </c>
    </row>
    <row r="576" spans="1:8" ht="14.25" customHeight="1" x14ac:dyDescent="0.3">
      <c r="A576" s="7"/>
      <c r="B576" s="7"/>
      <c r="C576" s="7"/>
      <c r="D576" s="7"/>
      <c r="E576" s="7"/>
      <c r="F576" s="9" t="str">
        <f>IFERROR(INDEX($A$2:$A$1000,MATCH(ROWS($F$2:F576),$G$2:$G$1000,0)),"")</f>
        <v/>
      </c>
      <c r="G576" s="9" t="str">
        <f>IF($E576="Yes",COUNTIF($E$2:$E576,"Yes"),"")</f>
        <v/>
      </c>
      <c r="H576" s="3" t="str">
        <f t="shared" si="8"/>
        <v/>
      </c>
    </row>
    <row r="577" spans="1:8" ht="14.25" customHeight="1" x14ac:dyDescent="0.3">
      <c r="A577" s="7"/>
      <c r="B577" s="7"/>
      <c r="C577" s="7"/>
      <c r="D577" s="7"/>
      <c r="E577" s="7"/>
      <c r="F577" s="9" t="str">
        <f>IFERROR(INDEX($A$2:$A$1000,MATCH(ROWS($F$2:F577),$G$2:$G$1000,0)),"")</f>
        <v/>
      </c>
      <c r="G577" s="9" t="str">
        <f>IF($E577="Yes",COUNTIF($E$2:$E577,"Yes"),"")</f>
        <v/>
      </c>
      <c r="H577" s="3" t="str">
        <f t="shared" si="8"/>
        <v/>
      </c>
    </row>
    <row r="578" spans="1:8" ht="14.25" customHeight="1" x14ac:dyDescent="0.3">
      <c r="A578" s="7"/>
      <c r="B578" s="7"/>
      <c r="C578" s="7"/>
      <c r="D578" s="7"/>
      <c r="E578" s="7"/>
      <c r="F578" s="9" t="str">
        <f>IFERROR(INDEX($A$2:$A$1000,MATCH(ROWS($F$2:F578),$G$2:$G$1000,0)),"")</f>
        <v/>
      </c>
      <c r="G578" s="9" t="str">
        <f>IF($E578="Yes",COUNTIF($E$2:$E578,"Yes"),"")</f>
        <v/>
      </c>
      <c r="H578" s="3" t="str">
        <f t="shared" ref="H578:H641" si="9">IF(COUNTA(A578:E578)=0,"",IF(COUNTIF($A$2:$A$1000,A578)&gt;1,"DUPLICATE YEAR_SEM",IF(OR(B578&lt;1,B578&gt;4,C578&lt;1,C578&gt;2),"INVALID YEAR/SEMESTER","OK")))</f>
        <v/>
      </c>
    </row>
    <row r="579" spans="1:8" ht="14.25" customHeight="1" x14ac:dyDescent="0.3">
      <c r="A579" s="7"/>
      <c r="B579" s="7"/>
      <c r="C579" s="7"/>
      <c r="D579" s="7"/>
      <c r="E579" s="7"/>
      <c r="F579" s="9" t="str">
        <f>IFERROR(INDEX($A$2:$A$1000,MATCH(ROWS($F$2:F579),$G$2:$G$1000,0)),"")</f>
        <v/>
      </c>
      <c r="G579" s="9" t="str">
        <f>IF($E579="Yes",COUNTIF($E$2:$E579,"Yes"),"")</f>
        <v/>
      </c>
      <c r="H579" s="3" t="str">
        <f t="shared" si="9"/>
        <v/>
      </c>
    </row>
    <row r="580" spans="1:8" ht="14.25" customHeight="1" x14ac:dyDescent="0.3">
      <c r="A580" s="7"/>
      <c r="B580" s="7"/>
      <c r="C580" s="7"/>
      <c r="D580" s="7"/>
      <c r="E580" s="7"/>
      <c r="F580" s="9" t="str">
        <f>IFERROR(INDEX($A$2:$A$1000,MATCH(ROWS($F$2:F580),$G$2:$G$1000,0)),"")</f>
        <v/>
      </c>
      <c r="G580" s="9" t="str">
        <f>IF($E580="Yes",COUNTIF($E$2:$E580,"Yes"),"")</f>
        <v/>
      </c>
      <c r="H580" s="3" t="str">
        <f t="shared" si="9"/>
        <v/>
      </c>
    </row>
    <row r="581" spans="1:8" ht="14.25" customHeight="1" x14ac:dyDescent="0.3">
      <c r="A581" s="7"/>
      <c r="B581" s="7"/>
      <c r="C581" s="7"/>
      <c r="D581" s="7"/>
      <c r="E581" s="7"/>
      <c r="F581" s="9" t="str">
        <f>IFERROR(INDEX($A$2:$A$1000,MATCH(ROWS($F$2:F581),$G$2:$G$1000,0)),"")</f>
        <v/>
      </c>
      <c r="G581" s="9" t="str">
        <f>IF($E581="Yes",COUNTIF($E$2:$E581,"Yes"),"")</f>
        <v/>
      </c>
      <c r="H581" s="3" t="str">
        <f t="shared" si="9"/>
        <v/>
      </c>
    </row>
    <row r="582" spans="1:8" ht="14.25" customHeight="1" x14ac:dyDescent="0.3">
      <c r="A582" s="7"/>
      <c r="B582" s="7"/>
      <c r="C582" s="7"/>
      <c r="D582" s="7"/>
      <c r="E582" s="7"/>
      <c r="F582" s="9" t="str">
        <f>IFERROR(INDEX($A$2:$A$1000,MATCH(ROWS($F$2:F582),$G$2:$G$1000,0)),"")</f>
        <v/>
      </c>
      <c r="G582" s="9" t="str">
        <f>IF($E582="Yes",COUNTIF($E$2:$E582,"Yes"),"")</f>
        <v/>
      </c>
      <c r="H582" s="3" t="str">
        <f t="shared" si="9"/>
        <v/>
      </c>
    </row>
    <row r="583" spans="1:8" ht="14.25" customHeight="1" x14ac:dyDescent="0.3">
      <c r="A583" s="7"/>
      <c r="B583" s="7"/>
      <c r="C583" s="7"/>
      <c r="D583" s="7"/>
      <c r="E583" s="7"/>
      <c r="F583" s="9" t="str">
        <f>IFERROR(INDEX($A$2:$A$1000,MATCH(ROWS($F$2:F583),$G$2:$G$1000,0)),"")</f>
        <v/>
      </c>
      <c r="G583" s="9" t="str">
        <f>IF($E583="Yes",COUNTIF($E$2:$E583,"Yes"),"")</f>
        <v/>
      </c>
      <c r="H583" s="3" t="str">
        <f t="shared" si="9"/>
        <v/>
      </c>
    </row>
    <row r="584" spans="1:8" ht="14.25" customHeight="1" x14ac:dyDescent="0.3">
      <c r="A584" s="7"/>
      <c r="B584" s="7"/>
      <c r="C584" s="7"/>
      <c r="D584" s="7"/>
      <c r="E584" s="7"/>
      <c r="F584" s="9" t="str">
        <f>IFERROR(INDEX($A$2:$A$1000,MATCH(ROWS($F$2:F584),$G$2:$G$1000,0)),"")</f>
        <v/>
      </c>
      <c r="G584" s="9" t="str">
        <f>IF($E584="Yes",COUNTIF($E$2:$E584,"Yes"),"")</f>
        <v/>
      </c>
      <c r="H584" s="3" t="str">
        <f t="shared" si="9"/>
        <v/>
      </c>
    </row>
    <row r="585" spans="1:8" ht="14.25" customHeight="1" x14ac:dyDescent="0.3">
      <c r="A585" s="7"/>
      <c r="B585" s="7"/>
      <c r="C585" s="7"/>
      <c r="D585" s="7"/>
      <c r="E585" s="7"/>
      <c r="F585" s="9" t="str">
        <f>IFERROR(INDEX($A$2:$A$1000,MATCH(ROWS($F$2:F585),$G$2:$G$1000,0)),"")</f>
        <v/>
      </c>
      <c r="G585" s="9" t="str">
        <f>IF($E585="Yes",COUNTIF($E$2:$E585,"Yes"),"")</f>
        <v/>
      </c>
      <c r="H585" s="3" t="str">
        <f t="shared" si="9"/>
        <v/>
      </c>
    </row>
    <row r="586" spans="1:8" ht="14.25" customHeight="1" x14ac:dyDescent="0.3">
      <c r="A586" s="7"/>
      <c r="B586" s="7"/>
      <c r="C586" s="7"/>
      <c r="D586" s="7"/>
      <c r="E586" s="7"/>
      <c r="F586" s="9" t="str">
        <f>IFERROR(INDEX($A$2:$A$1000,MATCH(ROWS($F$2:F586),$G$2:$G$1000,0)),"")</f>
        <v/>
      </c>
      <c r="G586" s="9" t="str">
        <f>IF($E586="Yes",COUNTIF($E$2:$E586,"Yes"),"")</f>
        <v/>
      </c>
      <c r="H586" s="3" t="str">
        <f t="shared" si="9"/>
        <v/>
      </c>
    </row>
    <row r="587" spans="1:8" ht="14.25" customHeight="1" x14ac:dyDescent="0.3">
      <c r="A587" s="7"/>
      <c r="B587" s="7"/>
      <c r="C587" s="7"/>
      <c r="D587" s="7"/>
      <c r="E587" s="7"/>
      <c r="F587" s="9" t="str">
        <f>IFERROR(INDEX($A$2:$A$1000,MATCH(ROWS($F$2:F587),$G$2:$G$1000,0)),"")</f>
        <v/>
      </c>
      <c r="G587" s="9" t="str">
        <f>IF($E587="Yes",COUNTIF($E$2:$E587,"Yes"),"")</f>
        <v/>
      </c>
      <c r="H587" s="3" t="str">
        <f t="shared" si="9"/>
        <v/>
      </c>
    </row>
    <row r="588" spans="1:8" ht="14.25" customHeight="1" x14ac:dyDescent="0.3">
      <c r="A588" s="7"/>
      <c r="B588" s="7"/>
      <c r="C588" s="7"/>
      <c r="D588" s="7"/>
      <c r="E588" s="7"/>
      <c r="F588" s="9" t="str">
        <f>IFERROR(INDEX($A$2:$A$1000,MATCH(ROWS($F$2:F588),$G$2:$G$1000,0)),"")</f>
        <v/>
      </c>
      <c r="G588" s="9" t="str">
        <f>IF($E588="Yes",COUNTIF($E$2:$E588,"Yes"),"")</f>
        <v/>
      </c>
      <c r="H588" s="3" t="str">
        <f t="shared" si="9"/>
        <v/>
      </c>
    </row>
    <row r="589" spans="1:8" ht="14.25" customHeight="1" x14ac:dyDescent="0.3">
      <c r="A589" s="7"/>
      <c r="B589" s="7"/>
      <c r="C589" s="7"/>
      <c r="D589" s="7"/>
      <c r="E589" s="7"/>
      <c r="F589" s="9" t="str">
        <f>IFERROR(INDEX($A$2:$A$1000,MATCH(ROWS($F$2:F589),$G$2:$G$1000,0)),"")</f>
        <v/>
      </c>
      <c r="G589" s="9" t="str">
        <f>IF($E589="Yes",COUNTIF($E$2:$E589,"Yes"),"")</f>
        <v/>
      </c>
      <c r="H589" s="3" t="str">
        <f t="shared" si="9"/>
        <v/>
      </c>
    </row>
    <row r="590" spans="1:8" ht="14.25" customHeight="1" x14ac:dyDescent="0.3">
      <c r="A590" s="7"/>
      <c r="B590" s="7"/>
      <c r="C590" s="7"/>
      <c r="D590" s="7"/>
      <c r="E590" s="7"/>
      <c r="F590" s="9" t="str">
        <f>IFERROR(INDEX($A$2:$A$1000,MATCH(ROWS($F$2:F590),$G$2:$G$1000,0)),"")</f>
        <v/>
      </c>
      <c r="G590" s="9" t="str">
        <f>IF($E590="Yes",COUNTIF($E$2:$E590,"Yes"),"")</f>
        <v/>
      </c>
      <c r="H590" s="3" t="str">
        <f t="shared" si="9"/>
        <v/>
      </c>
    </row>
    <row r="591" spans="1:8" ht="14.25" customHeight="1" x14ac:dyDescent="0.3">
      <c r="A591" s="7"/>
      <c r="B591" s="7"/>
      <c r="C591" s="7"/>
      <c r="D591" s="7"/>
      <c r="E591" s="7"/>
      <c r="F591" s="9" t="str">
        <f>IFERROR(INDEX($A$2:$A$1000,MATCH(ROWS($F$2:F591),$G$2:$G$1000,0)),"")</f>
        <v/>
      </c>
      <c r="G591" s="9" t="str">
        <f>IF($E591="Yes",COUNTIF($E$2:$E591,"Yes"),"")</f>
        <v/>
      </c>
      <c r="H591" s="3" t="str">
        <f t="shared" si="9"/>
        <v/>
      </c>
    </row>
    <row r="592" spans="1:8" ht="14.25" customHeight="1" x14ac:dyDescent="0.3">
      <c r="A592" s="7"/>
      <c r="B592" s="7"/>
      <c r="C592" s="7"/>
      <c r="D592" s="7"/>
      <c r="E592" s="7"/>
      <c r="F592" s="9" t="str">
        <f>IFERROR(INDEX($A$2:$A$1000,MATCH(ROWS($F$2:F592),$G$2:$G$1000,0)),"")</f>
        <v/>
      </c>
      <c r="G592" s="9" t="str">
        <f>IF($E592="Yes",COUNTIF($E$2:$E592,"Yes"),"")</f>
        <v/>
      </c>
      <c r="H592" s="3" t="str">
        <f t="shared" si="9"/>
        <v/>
      </c>
    </row>
    <row r="593" spans="1:8" ht="14.25" customHeight="1" x14ac:dyDescent="0.3">
      <c r="A593" s="7"/>
      <c r="B593" s="7"/>
      <c r="C593" s="7"/>
      <c r="D593" s="7"/>
      <c r="E593" s="7"/>
      <c r="F593" s="9" t="str">
        <f>IFERROR(INDEX($A$2:$A$1000,MATCH(ROWS($F$2:F593),$G$2:$G$1000,0)),"")</f>
        <v/>
      </c>
      <c r="G593" s="9" t="str">
        <f>IF($E593="Yes",COUNTIF($E$2:$E593,"Yes"),"")</f>
        <v/>
      </c>
      <c r="H593" s="3" t="str">
        <f t="shared" si="9"/>
        <v/>
      </c>
    </row>
    <row r="594" spans="1:8" ht="14.25" customHeight="1" x14ac:dyDescent="0.3">
      <c r="A594" s="7"/>
      <c r="B594" s="7"/>
      <c r="C594" s="7"/>
      <c r="D594" s="7"/>
      <c r="E594" s="7"/>
      <c r="F594" s="9" t="str">
        <f>IFERROR(INDEX($A$2:$A$1000,MATCH(ROWS($F$2:F594),$G$2:$G$1000,0)),"")</f>
        <v/>
      </c>
      <c r="G594" s="9" t="str">
        <f>IF($E594="Yes",COUNTIF($E$2:$E594,"Yes"),"")</f>
        <v/>
      </c>
      <c r="H594" s="3" t="str">
        <f t="shared" si="9"/>
        <v/>
      </c>
    </row>
    <row r="595" spans="1:8" ht="14.25" customHeight="1" x14ac:dyDescent="0.3">
      <c r="A595" s="7"/>
      <c r="B595" s="7"/>
      <c r="C595" s="7"/>
      <c r="D595" s="7"/>
      <c r="E595" s="7"/>
      <c r="F595" s="9" t="str">
        <f>IFERROR(INDEX($A$2:$A$1000,MATCH(ROWS($F$2:F595),$G$2:$G$1000,0)),"")</f>
        <v/>
      </c>
      <c r="G595" s="9" t="str">
        <f>IF($E595="Yes",COUNTIF($E$2:$E595,"Yes"),"")</f>
        <v/>
      </c>
      <c r="H595" s="3" t="str">
        <f t="shared" si="9"/>
        <v/>
      </c>
    </row>
    <row r="596" spans="1:8" ht="14.25" customHeight="1" x14ac:dyDescent="0.3">
      <c r="A596" s="7"/>
      <c r="B596" s="7"/>
      <c r="C596" s="7"/>
      <c r="D596" s="7"/>
      <c r="E596" s="7"/>
      <c r="F596" s="9" t="str">
        <f>IFERROR(INDEX($A$2:$A$1000,MATCH(ROWS($F$2:F596),$G$2:$G$1000,0)),"")</f>
        <v/>
      </c>
      <c r="G596" s="9" t="str">
        <f>IF($E596="Yes",COUNTIF($E$2:$E596,"Yes"),"")</f>
        <v/>
      </c>
      <c r="H596" s="3" t="str">
        <f t="shared" si="9"/>
        <v/>
      </c>
    </row>
    <row r="597" spans="1:8" ht="14.25" customHeight="1" x14ac:dyDescent="0.3">
      <c r="A597" s="7"/>
      <c r="B597" s="7"/>
      <c r="C597" s="7"/>
      <c r="D597" s="7"/>
      <c r="E597" s="7"/>
      <c r="F597" s="9" t="str">
        <f>IFERROR(INDEX($A$2:$A$1000,MATCH(ROWS($F$2:F597),$G$2:$G$1000,0)),"")</f>
        <v/>
      </c>
      <c r="G597" s="9" t="str">
        <f>IF($E597="Yes",COUNTIF($E$2:$E597,"Yes"),"")</f>
        <v/>
      </c>
      <c r="H597" s="3" t="str">
        <f t="shared" si="9"/>
        <v/>
      </c>
    </row>
    <row r="598" spans="1:8" ht="14.25" customHeight="1" x14ac:dyDescent="0.3">
      <c r="A598" s="7"/>
      <c r="B598" s="7"/>
      <c r="C598" s="7"/>
      <c r="D598" s="7"/>
      <c r="E598" s="7"/>
      <c r="F598" s="9" t="str">
        <f>IFERROR(INDEX($A$2:$A$1000,MATCH(ROWS($F$2:F598),$G$2:$G$1000,0)),"")</f>
        <v/>
      </c>
      <c r="G598" s="9" t="str">
        <f>IF($E598="Yes",COUNTIF($E$2:$E598,"Yes"),"")</f>
        <v/>
      </c>
      <c r="H598" s="3" t="str">
        <f t="shared" si="9"/>
        <v/>
      </c>
    </row>
    <row r="599" spans="1:8" ht="14.25" customHeight="1" x14ac:dyDescent="0.3">
      <c r="A599" s="7"/>
      <c r="B599" s="7"/>
      <c r="C599" s="7"/>
      <c r="D599" s="7"/>
      <c r="E599" s="7"/>
      <c r="F599" s="9" t="str">
        <f>IFERROR(INDEX($A$2:$A$1000,MATCH(ROWS($F$2:F599),$G$2:$G$1000,0)),"")</f>
        <v/>
      </c>
      <c r="G599" s="9" t="str">
        <f>IF($E599="Yes",COUNTIF($E$2:$E599,"Yes"),"")</f>
        <v/>
      </c>
      <c r="H599" s="3" t="str">
        <f t="shared" si="9"/>
        <v/>
      </c>
    </row>
    <row r="600" spans="1:8" ht="14.25" customHeight="1" x14ac:dyDescent="0.3">
      <c r="A600" s="7"/>
      <c r="B600" s="7"/>
      <c r="C600" s="7"/>
      <c r="D600" s="7"/>
      <c r="E600" s="7"/>
      <c r="F600" s="9" t="str">
        <f>IFERROR(INDEX($A$2:$A$1000,MATCH(ROWS($F$2:F600),$G$2:$G$1000,0)),"")</f>
        <v/>
      </c>
      <c r="G600" s="9" t="str">
        <f>IF($E600="Yes",COUNTIF($E$2:$E600,"Yes"),"")</f>
        <v/>
      </c>
      <c r="H600" s="3" t="str">
        <f t="shared" si="9"/>
        <v/>
      </c>
    </row>
    <row r="601" spans="1:8" ht="14.25" customHeight="1" x14ac:dyDescent="0.3">
      <c r="A601" s="7"/>
      <c r="B601" s="7"/>
      <c r="C601" s="7"/>
      <c r="D601" s="7"/>
      <c r="E601" s="7"/>
      <c r="F601" s="9" t="str">
        <f>IFERROR(INDEX($A$2:$A$1000,MATCH(ROWS($F$2:F601),$G$2:$G$1000,0)),"")</f>
        <v/>
      </c>
      <c r="G601" s="9" t="str">
        <f>IF($E601="Yes",COUNTIF($E$2:$E601,"Yes"),"")</f>
        <v/>
      </c>
      <c r="H601" s="3" t="str">
        <f t="shared" si="9"/>
        <v/>
      </c>
    </row>
    <row r="602" spans="1:8" ht="14.25" customHeight="1" x14ac:dyDescent="0.3">
      <c r="A602" s="7"/>
      <c r="B602" s="7"/>
      <c r="C602" s="7"/>
      <c r="D602" s="7"/>
      <c r="E602" s="7"/>
      <c r="F602" s="9" t="str">
        <f>IFERROR(INDEX($A$2:$A$1000,MATCH(ROWS($F$2:F602),$G$2:$G$1000,0)),"")</f>
        <v/>
      </c>
      <c r="G602" s="9" t="str">
        <f>IF($E602="Yes",COUNTIF($E$2:$E602,"Yes"),"")</f>
        <v/>
      </c>
      <c r="H602" s="3" t="str">
        <f t="shared" si="9"/>
        <v/>
      </c>
    </row>
    <row r="603" spans="1:8" ht="14.25" customHeight="1" x14ac:dyDescent="0.3">
      <c r="A603" s="7"/>
      <c r="B603" s="7"/>
      <c r="C603" s="7"/>
      <c r="D603" s="7"/>
      <c r="E603" s="7"/>
      <c r="F603" s="9" t="str">
        <f>IFERROR(INDEX($A$2:$A$1000,MATCH(ROWS($F$2:F603),$G$2:$G$1000,0)),"")</f>
        <v/>
      </c>
      <c r="G603" s="9" t="str">
        <f>IF($E603="Yes",COUNTIF($E$2:$E603,"Yes"),"")</f>
        <v/>
      </c>
      <c r="H603" s="3" t="str">
        <f t="shared" si="9"/>
        <v/>
      </c>
    </row>
    <row r="604" spans="1:8" ht="14.25" customHeight="1" x14ac:dyDescent="0.3">
      <c r="A604" s="7"/>
      <c r="B604" s="7"/>
      <c r="C604" s="7"/>
      <c r="D604" s="7"/>
      <c r="E604" s="7"/>
      <c r="F604" s="9" t="str">
        <f>IFERROR(INDEX($A$2:$A$1000,MATCH(ROWS($F$2:F604),$G$2:$G$1000,0)),"")</f>
        <v/>
      </c>
      <c r="G604" s="9" t="str">
        <f>IF($E604="Yes",COUNTIF($E$2:$E604,"Yes"),"")</f>
        <v/>
      </c>
      <c r="H604" s="3" t="str">
        <f t="shared" si="9"/>
        <v/>
      </c>
    </row>
    <row r="605" spans="1:8" ht="14.25" customHeight="1" x14ac:dyDescent="0.3">
      <c r="A605" s="7"/>
      <c r="B605" s="7"/>
      <c r="C605" s="7"/>
      <c r="D605" s="7"/>
      <c r="E605" s="7"/>
      <c r="F605" s="9" t="str">
        <f>IFERROR(INDEX($A$2:$A$1000,MATCH(ROWS($F$2:F605),$G$2:$G$1000,0)),"")</f>
        <v/>
      </c>
      <c r="G605" s="9" t="str">
        <f>IF($E605="Yes",COUNTIF($E$2:$E605,"Yes"),"")</f>
        <v/>
      </c>
      <c r="H605" s="3" t="str">
        <f t="shared" si="9"/>
        <v/>
      </c>
    </row>
    <row r="606" spans="1:8" ht="14.25" customHeight="1" x14ac:dyDescent="0.3">
      <c r="A606" s="7"/>
      <c r="B606" s="7"/>
      <c r="C606" s="7"/>
      <c r="D606" s="7"/>
      <c r="E606" s="7"/>
      <c r="F606" s="9" t="str">
        <f>IFERROR(INDEX($A$2:$A$1000,MATCH(ROWS($F$2:F606),$G$2:$G$1000,0)),"")</f>
        <v/>
      </c>
      <c r="G606" s="9" t="str">
        <f>IF($E606="Yes",COUNTIF($E$2:$E606,"Yes"),"")</f>
        <v/>
      </c>
      <c r="H606" s="3" t="str">
        <f t="shared" si="9"/>
        <v/>
      </c>
    </row>
    <row r="607" spans="1:8" ht="14.25" customHeight="1" x14ac:dyDescent="0.3">
      <c r="A607" s="7"/>
      <c r="B607" s="7"/>
      <c r="C607" s="7"/>
      <c r="D607" s="7"/>
      <c r="E607" s="7"/>
      <c r="F607" s="9" t="str">
        <f>IFERROR(INDEX($A$2:$A$1000,MATCH(ROWS($F$2:F607),$G$2:$G$1000,0)),"")</f>
        <v/>
      </c>
      <c r="G607" s="9" t="str">
        <f>IF($E607="Yes",COUNTIF($E$2:$E607,"Yes"),"")</f>
        <v/>
      </c>
      <c r="H607" s="3" t="str">
        <f t="shared" si="9"/>
        <v/>
      </c>
    </row>
    <row r="608" spans="1:8" ht="14.25" customHeight="1" x14ac:dyDescent="0.3">
      <c r="A608" s="7"/>
      <c r="B608" s="7"/>
      <c r="C608" s="7"/>
      <c r="D608" s="7"/>
      <c r="E608" s="7"/>
      <c r="F608" s="9" t="str">
        <f>IFERROR(INDEX($A$2:$A$1000,MATCH(ROWS($F$2:F608),$G$2:$G$1000,0)),"")</f>
        <v/>
      </c>
      <c r="G608" s="9" t="str">
        <f>IF($E608="Yes",COUNTIF($E$2:$E608,"Yes"),"")</f>
        <v/>
      </c>
      <c r="H608" s="3" t="str">
        <f t="shared" si="9"/>
        <v/>
      </c>
    </row>
    <row r="609" spans="1:8" ht="14.25" customHeight="1" x14ac:dyDescent="0.3">
      <c r="A609" s="7"/>
      <c r="B609" s="7"/>
      <c r="C609" s="7"/>
      <c r="D609" s="7"/>
      <c r="E609" s="7"/>
      <c r="F609" s="9" t="str">
        <f>IFERROR(INDEX($A$2:$A$1000,MATCH(ROWS($F$2:F609),$G$2:$G$1000,0)),"")</f>
        <v/>
      </c>
      <c r="G609" s="9" t="str">
        <f>IF($E609="Yes",COUNTIF($E$2:$E609,"Yes"),"")</f>
        <v/>
      </c>
      <c r="H609" s="3" t="str">
        <f t="shared" si="9"/>
        <v/>
      </c>
    </row>
    <row r="610" spans="1:8" ht="14.25" customHeight="1" x14ac:dyDescent="0.3">
      <c r="A610" s="7"/>
      <c r="B610" s="7"/>
      <c r="C610" s="7"/>
      <c r="D610" s="7"/>
      <c r="E610" s="7"/>
      <c r="F610" s="9" t="str">
        <f>IFERROR(INDEX($A$2:$A$1000,MATCH(ROWS($F$2:F610),$G$2:$G$1000,0)),"")</f>
        <v/>
      </c>
      <c r="G610" s="9" t="str">
        <f>IF($E610="Yes",COUNTIF($E$2:$E610,"Yes"),"")</f>
        <v/>
      </c>
      <c r="H610" s="3" t="str">
        <f t="shared" si="9"/>
        <v/>
      </c>
    </row>
    <row r="611" spans="1:8" ht="14.25" customHeight="1" x14ac:dyDescent="0.3">
      <c r="A611" s="7"/>
      <c r="B611" s="7"/>
      <c r="C611" s="7"/>
      <c r="D611" s="7"/>
      <c r="E611" s="7"/>
      <c r="F611" s="9" t="str">
        <f>IFERROR(INDEX($A$2:$A$1000,MATCH(ROWS($F$2:F611),$G$2:$G$1000,0)),"")</f>
        <v/>
      </c>
      <c r="G611" s="9" t="str">
        <f>IF($E611="Yes",COUNTIF($E$2:$E611,"Yes"),"")</f>
        <v/>
      </c>
      <c r="H611" s="3" t="str">
        <f t="shared" si="9"/>
        <v/>
      </c>
    </row>
    <row r="612" spans="1:8" ht="14.25" customHeight="1" x14ac:dyDescent="0.3">
      <c r="A612" s="7"/>
      <c r="B612" s="7"/>
      <c r="C612" s="7"/>
      <c r="D612" s="7"/>
      <c r="E612" s="7"/>
      <c r="F612" s="9" t="str">
        <f>IFERROR(INDEX($A$2:$A$1000,MATCH(ROWS($F$2:F612),$G$2:$G$1000,0)),"")</f>
        <v/>
      </c>
      <c r="G612" s="9" t="str">
        <f>IF($E612="Yes",COUNTIF($E$2:$E612,"Yes"),"")</f>
        <v/>
      </c>
      <c r="H612" s="3" t="str">
        <f t="shared" si="9"/>
        <v/>
      </c>
    </row>
    <row r="613" spans="1:8" ht="14.25" customHeight="1" x14ac:dyDescent="0.3">
      <c r="A613" s="7"/>
      <c r="B613" s="7"/>
      <c r="C613" s="7"/>
      <c r="D613" s="7"/>
      <c r="E613" s="7"/>
      <c r="F613" s="9" t="str">
        <f>IFERROR(INDEX($A$2:$A$1000,MATCH(ROWS($F$2:F613),$G$2:$G$1000,0)),"")</f>
        <v/>
      </c>
      <c r="G613" s="9" t="str">
        <f>IF($E613="Yes",COUNTIF($E$2:$E613,"Yes"),"")</f>
        <v/>
      </c>
      <c r="H613" s="3" t="str">
        <f t="shared" si="9"/>
        <v/>
      </c>
    </row>
    <row r="614" spans="1:8" ht="14.25" customHeight="1" x14ac:dyDescent="0.3">
      <c r="A614" s="7"/>
      <c r="B614" s="7"/>
      <c r="C614" s="7"/>
      <c r="D614" s="7"/>
      <c r="E614" s="7"/>
      <c r="F614" s="9" t="str">
        <f>IFERROR(INDEX($A$2:$A$1000,MATCH(ROWS($F$2:F614),$G$2:$G$1000,0)),"")</f>
        <v/>
      </c>
      <c r="G614" s="9" t="str">
        <f>IF($E614="Yes",COUNTIF($E$2:$E614,"Yes"),"")</f>
        <v/>
      </c>
      <c r="H614" s="3" t="str">
        <f t="shared" si="9"/>
        <v/>
      </c>
    </row>
    <row r="615" spans="1:8" ht="14.25" customHeight="1" x14ac:dyDescent="0.3">
      <c r="A615" s="7"/>
      <c r="B615" s="7"/>
      <c r="C615" s="7"/>
      <c r="D615" s="7"/>
      <c r="E615" s="7"/>
      <c r="F615" s="9" t="str">
        <f>IFERROR(INDEX($A$2:$A$1000,MATCH(ROWS($F$2:F615),$G$2:$G$1000,0)),"")</f>
        <v/>
      </c>
      <c r="G615" s="9" t="str">
        <f>IF($E615="Yes",COUNTIF($E$2:$E615,"Yes"),"")</f>
        <v/>
      </c>
      <c r="H615" s="3" t="str">
        <f t="shared" si="9"/>
        <v/>
      </c>
    </row>
    <row r="616" spans="1:8" ht="14.25" customHeight="1" x14ac:dyDescent="0.3">
      <c r="A616" s="7"/>
      <c r="B616" s="7"/>
      <c r="C616" s="7"/>
      <c r="D616" s="7"/>
      <c r="E616" s="7"/>
      <c r="F616" s="9" t="str">
        <f>IFERROR(INDEX($A$2:$A$1000,MATCH(ROWS($F$2:F616),$G$2:$G$1000,0)),"")</f>
        <v/>
      </c>
      <c r="G616" s="9" t="str">
        <f>IF($E616="Yes",COUNTIF($E$2:$E616,"Yes"),"")</f>
        <v/>
      </c>
      <c r="H616" s="3" t="str">
        <f t="shared" si="9"/>
        <v/>
      </c>
    </row>
    <row r="617" spans="1:8" ht="14.25" customHeight="1" x14ac:dyDescent="0.3">
      <c r="A617" s="7"/>
      <c r="B617" s="7"/>
      <c r="C617" s="7"/>
      <c r="D617" s="7"/>
      <c r="E617" s="7"/>
      <c r="F617" s="9" t="str">
        <f>IFERROR(INDEX($A$2:$A$1000,MATCH(ROWS($F$2:F617),$G$2:$G$1000,0)),"")</f>
        <v/>
      </c>
      <c r="G617" s="9" t="str">
        <f>IF($E617="Yes",COUNTIF($E$2:$E617,"Yes"),"")</f>
        <v/>
      </c>
      <c r="H617" s="3" t="str">
        <f t="shared" si="9"/>
        <v/>
      </c>
    </row>
    <row r="618" spans="1:8" ht="14.25" customHeight="1" x14ac:dyDescent="0.3">
      <c r="A618" s="7"/>
      <c r="B618" s="7"/>
      <c r="C618" s="7"/>
      <c r="D618" s="7"/>
      <c r="E618" s="7"/>
      <c r="F618" s="9" t="str">
        <f>IFERROR(INDEX($A$2:$A$1000,MATCH(ROWS($F$2:F618),$G$2:$G$1000,0)),"")</f>
        <v/>
      </c>
      <c r="G618" s="9" t="str">
        <f>IF($E618="Yes",COUNTIF($E$2:$E618,"Yes"),"")</f>
        <v/>
      </c>
      <c r="H618" s="3" t="str">
        <f t="shared" si="9"/>
        <v/>
      </c>
    </row>
    <row r="619" spans="1:8" ht="14.25" customHeight="1" x14ac:dyDescent="0.3">
      <c r="A619" s="7"/>
      <c r="B619" s="7"/>
      <c r="C619" s="7"/>
      <c r="D619" s="7"/>
      <c r="E619" s="7"/>
      <c r="F619" s="9" t="str">
        <f>IFERROR(INDEX($A$2:$A$1000,MATCH(ROWS($F$2:F619),$G$2:$G$1000,0)),"")</f>
        <v/>
      </c>
      <c r="G619" s="9" t="str">
        <f>IF($E619="Yes",COUNTIF($E$2:$E619,"Yes"),"")</f>
        <v/>
      </c>
      <c r="H619" s="3" t="str">
        <f t="shared" si="9"/>
        <v/>
      </c>
    </row>
    <row r="620" spans="1:8" ht="14.25" customHeight="1" x14ac:dyDescent="0.3">
      <c r="A620" s="7"/>
      <c r="B620" s="7"/>
      <c r="C620" s="7"/>
      <c r="D620" s="7"/>
      <c r="E620" s="7"/>
      <c r="F620" s="9" t="str">
        <f>IFERROR(INDEX($A$2:$A$1000,MATCH(ROWS($F$2:F620),$G$2:$G$1000,0)),"")</f>
        <v/>
      </c>
      <c r="G620" s="9" t="str">
        <f>IF($E620="Yes",COUNTIF($E$2:$E620,"Yes"),"")</f>
        <v/>
      </c>
      <c r="H620" s="3" t="str">
        <f t="shared" si="9"/>
        <v/>
      </c>
    </row>
    <row r="621" spans="1:8" ht="14.25" customHeight="1" x14ac:dyDescent="0.3">
      <c r="A621" s="7"/>
      <c r="B621" s="7"/>
      <c r="C621" s="7"/>
      <c r="D621" s="7"/>
      <c r="E621" s="7"/>
      <c r="F621" s="9" t="str">
        <f>IFERROR(INDEX($A$2:$A$1000,MATCH(ROWS($F$2:F621),$G$2:$G$1000,0)),"")</f>
        <v/>
      </c>
      <c r="G621" s="9" t="str">
        <f>IF($E621="Yes",COUNTIF($E$2:$E621,"Yes"),"")</f>
        <v/>
      </c>
      <c r="H621" s="3" t="str">
        <f t="shared" si="9"/>
        <v/>
      </c>
    </row>
    <row r="622" spans="1:8" ht="14.25" customHeight="1" x14ac:dyDescent="0.3">
      <c r="A622" s="7"/>
      <c r="B622" s="7"/>
      <c r="C622" s="7"/>
      <c r="D622" s="7"/>
      <c r="E622" s="7"/>
      <c r="F622" s="9" t="str">
        <f>IFERROR(INDEX($A$2:$A$1000,MATCH(ROWS($F$2:F622),$G$2:$G$1000,0)),"")</f>
        <v/>
      </c>
      <c r="G622" s="9" t="str">
        <f>IF($E622="Yes",COUNTIF($E$2:$E622,"Yes"),"")</f>
        <v/>
      </c>
      <c r="H622" s="3" t="str">
        <f t="shared" si="9"/>
        <v/>
      </c>
    </row>
    <row r="623" spans="1:8" ht="14.25" customHeight="1" x14ac:dyDescent="0.3">
      <c r="A623" s="7"/>
      <c r="B623" s="7"/>
      <c r="C623" s="7"/>
      <c r="D623" s="7"/>
      <c r="E623" s="7"/>
      <c r="F623" s="9" t="str">
        <f>IFERROR(INDEX($A$2:$A$1000,MATCH(ROWS($F$2:F623),$G$2:$G$1000,0)),"")</f>
        <v/>
      </c>
      <c r="G623" s="9" t="str">
        <f>IF($E623="Yes",COUNTIF($E$2:$E623,"Yes"),"")</f>
        <v/>
      </c>
      <c r="H623" s="3" t="str">
        <f t="shared" si="9"/>
        <v/>
      </c>
    </row>
    <row r="624" spans="1:8" ht="14.25" customHeight="1" x14ac:dyDescent="0.3">
      <c r="A624" s="7"/>
      <c r="B624" s="7"/>
      <c r="C624" s="7"/>
      <c r="D624" s="7"/>
      <c r="E624" s="7"/>
      <c r="F624" s="9" t="str">
        <f>IFERROR(INDEX($A$2:$A$1000,MATCH(ROWS($F$2:F624),$G$2:$G$1000,0)),"")</f>
        <v/>
      </c>
      <c r="G624" s="9" t="str">
        <f>IF($E624="Yes",COUNTIF($E$2:$E624,"Yes"),"")</f>
        <v/>
      </c>
      <c r="H624" s="3" t="str">
        <f t="shared" si="9"/>
        <v/>
      </c>
    </row>
    <row r="625" spans="1:8" ht="14.25" customHeight="1" x14ac:dyDescent="0.3">
      <c r="A625" s="7"/>
      <c r="B625" s="7"/>
      <c r="C625" s="7"/>
      <c r="D625" s="7"/>
      <c r="E625" s="7"/>
      <c r="F625" s="9" t="str">
        <f>IFERROR(INDEX($A$2:$A$1000,MATCH(ROWS($F$2:F625),$G$2:$G$1000,0)),"")</f>
        <v/>
      </c>
      <c r="G625" s="9" t="str">
        <f>IF($E625="Yes",COUNTIF($E$2:$E625,"Yes"),"")</f>
        <v/>
      </c>
      <c r="H625" s="3" t="str">
        <f t="shared" si="9"/>
        <v/>
      </c>
    </row>
    <row r="626" spans="1:8" ht="14.25" customHeight="1" x14ac:dyDescent="0.3">
      <c r="A626" s="7"/>
      <c r="B626" s="7"/>
      <c r="C626" s="7"/>
      <c r="D626" s="7"/>
      <c r="E626" s="7"/>
      <c r="F626" s="9" t="str">
        <f>IFERROR(INDEX($A$2:$A$1000,MATCH(ROWS($F$2:F626),$G$2:$G$1000,0)),"")</f>
        <v/>
      </c>
      <c r="G626" s="9" t="str">
        <f>IF($E626="Yes",COUNTIF($E$2:$E626,"Yes"),"")</f>
        <v/>
      </c>
      <c r="H626" s="3" t="str">
        <f t="shared" si="9"/>
        <v/>
      </c>
    </row>
    <row r="627" spans="1:8" ht="14.25" customHeight="1" x14ac:dyDescent="0.3">
      <c r="A627" s="7"/>
      <c r="B627" s="7"/>
      <c r="C627" s="7"/>
      <c r="D627" s="7"/>
      <c r="E627" s="7"/>
      <c r="F627" s="9" t="str">
        <f>IFERROR(INDEX($A$2:$A$1000,MATCH(ROWS($F$2:F627),$G$2:$G$1000,0)),"")</f>
        <v/>
      </c>
      <c r="G627" s="9" t="str">
        <f>IF($E627="Yes",COUNTIF($E$2:$E627,"Yes"),"")</f>
        <v/>
      </c>
      <c r="H627" s="3" t="str">
        <f t="shared" si="9"/>
        <v/>
      </c>
    </row>
    <row r="628" spans="1:8" ht="14.25" customHeight="1" x14ac:dyDescent="0.3">
      <c r="A628" s="7"/>
      <c r="B628" s="7"/>
      <c r="C628" s="7"/>
      <c r="D628" s="7"/>
      <c r="E628" s="7"/>
      <c r="F628" s="9" t="str">
        <f>IFERROR(INDEX($A$2:$A$1000,MATCH(ROWS($F$2:F628),$G$2:$G$1000,0)),"")</f>
        <v/>
      </c>
      <c r="G628" s="9" t="str">
        <f>IF($E628="Yes",COUNTIF($E$2:$E628,"Yes"),"")</f>
        <v/>
      </c>
      <c r="H628" s="3" t="str">
        <f t="shared" si="9"/>
        <v/>
      </c>
    </row>
    <row r="629" spans="1:8" ht="14.25" customHeight="1" x14ac:dyDescent="0.3">
      <c r="A629" s="7"/>
      <c r="B629" s="7"/>
      <c r="C629" s="7"/>
      <c r="D629" s="7"/>
      <c r="E629" s="7"/>
      <c r="F629" s="9" t="str">
        <f>IFERROR(INDEX($A$2:$A$1000,MATCH(ROWS($F$2:F629),$G$2:$G$1000,0)),"")</f>
        <v/>
      </c>
      <c r="G629" s="9" t="str">
        <f>IF($E629="Yes",COUNTIF($E$2:$E629,"Yes"),"")</f>
        <v/>
      </c>
      <c r="H629" s="3" t="str">
        <f t="shared" si="9"/>
        <v/>
      </c>
    </row>
    <row r="630" spans="1:8" ht="14.25" customHeight="1" x14ac:dyDescent="0.3">
      <c r="A630" s="7"/>
      <c r="B630" s="7"/>
      <c r="C630" s="7"/>
      <c r="D630" s="7"/>
      <c r="E630" s="7"/>
      <c r="F630" s="9" t="str">
        <f>IFERROR(INDEX($A$2:$A$1000,MATCH(ROWS($F$2:F630),$G$2:$G$1000,0)),"")</f>
        <v/>
      </c>
      <c r="G630" s="9" t="str">
        <f>IF($E630="Yes",COUNTIF($E$2:$E630,"Yes"),"")</f>
        <v/>
      </c>
      <c r="H630" s="3" t="str">
        <f t="shared" si="9"/>
        <v/>
      </c>
    </row>
    <row r="631" spans="1:8" ht="14.25" customHeight="1" x14ac:dyDescent="0.3">
      <c r="A631" s="7"/>
      <c r="B631" s="7"/>
      <c r="C631" s="7"/>
      <c r="D631" s="7"/>
      <c r="E631" s="7"/>
      <c r="F631" s="9" t="str">
        <f>IFERROR(INDEX($A$2:$A$1000,MATCH(ROWS($F$2:F631),$G$2:$G$1000,0)),"")</f>
        <v/>
      </c>
      <c r="G631" s="9" t="str">
        <f>IF($E631="Yes",COUNTIF($E$2:$E631,"Yes"),"")</f>
        <v/>
      </c>
      <c r="H631" s="3" t="str">
        <f t="shared" si="9"/>
        <v/>
      </c>
    </row>
    <row r="632" spans="1:8" ht="14.25" customHeight="1" x14ac:dyDescent="0.3">
      <c r="A632" s="7"/>
      <c r="B632" s="7"/>
      <c r="C632" s="7"/>
      <c r="D632" s="7"/>
      <c r="E632" s="7"/>
      <c r="F632" s="9" t="str">
        <f>IFERROR(INDEX($A$2:$A$1000,MATCH(ROWS($F$2:F632),$G$2:$G$1000,0)),"")</f>
        <v/>
      </c>
      <c r="G632" s="9" t="str">
        <f>IF($E632="Yes",COUNTIF($E$2:$E632,"Yes"),"")</f>
        <v/>
      </c>
      <c r="H632" s="3" t="str">
        <f t="shared" si="9"/>
        <v/>
      </c>
    </row>
    <row r="633" spans="1:8" ht="14.25" customHeight="1" x14ac:dyDescent="0.3">
      <c r="A633" s="7"/>
      <c r="B633" s="7"/>
      <c r="C633" s="7"/>
      <c r="D633" s="7"/>
      <c r="E633" s="7"/>
      <c r="F633" s="9" t="str">
        <f>IFERROR(INDEX($A$2:$A$1000,MATCH(ROWS($F$2:F633),$G$2:$G$1000,0)),"")</f>
        <v/>
      </c>
      <c r="G633" s="9" t="str">
        <f>IF($E633="Yes",COUNTIF($E$2:$E633,"Yes"),"")</f>
        <v/>
      </c>
      <c r="H633" s="3" t="str">
        <f t="shared" si="9"/>
        <v/>
      </c>
    </row>
    <row r="634" spans="1:8" ht="14.25" customHeight="1" x14ac:dyDescent="0.3">
      <c r="A634" s="7"/>
      <c r="B634" s="7"/>
      <c r="C634" s="7"/>
      <c r="D634" s="7"/>
      <c r="E634" s="7"/>
      <c r="F634" s="9" t="str">
        <f>IFERROR(INDEX($A$2:$A$1000,MATCH(ROWS($F$2:F634),$G$2:$G$1000,0)),"")</f>
        <v/>
      </c>
      <c r="G634" s="9" t="str">
        <f>IF($E634="Yes",COUNTIF($E$2:$E634,"Yes"),"")</f>
        <v/>
      </c>
      <c r="H634" s="3" t="str">
        <f t="shared" si="9"/>
        <v/>
      </c>
    </row>
    <row r="635" spans="1:8" ht="14.25" customHeight="1" x14ac:dyDescent="0.3">
      <c r="A635" s="7"/>
      <c r="B635" s="7"/>
      <c r="C635" s="7"/>
      <c r="D635" s="7"/>
      <c r="E635" s="7"/>
      <c r="F635" s="9" t="str">
        <f>IFERROR(INDEX($A$2:$A$1000,MATCH(ROWS($F$2:F635),$G$2:$G$1000,0)),"")</f>
        <v/>
      </c>
      <c r="G635" s="9" t="str">
        <f>IF($E635="Yes",COUNTIF($E$2:$E635,"Yes"),"")</f>
        <v/>
      </c>
      <c r="H635" s="3" t="str">
        <f t="shared" si="9"/>
        <v/>
      </c>
    </row>
    <row r="636" spans="1:8" ht="14.25" customHeight="1" x14ac:dyDescent="0.3">
      <c r="A636" s="7"/>
      <c r="B636" s="7"/>
      <c r="C636" s="7"/>
      <c r="D636" s="7"/>
      <c r="E636" s="7"/>
      <c r="F636" s="9" t="str">
        <f>IFERROR(INDEX($A$2:$A$1000,MATCH(ROWS($F$2:F636),$G$2:$G$1000,0)),"")</f>
        <v/>
      </c>
      <c r="G636" s="9" t="str">
        <f>IF($E636="Yes",COUNTIF($E$2:$E636,"Yes"),"")</f>
        <v/>
      </c>
      <c r="H636" s="3" t="str">
        <f t="shared" si="9"/>
        <v/>
      </c>
    </row>
    <row r="637" spans="1:8" ht="14.25" customHeight="1" x14ac:dyDescent="0.3">
      <c r="A637" s="7"/>
      <c r="B637" s="7"/>
      <c r="C637" s="7"/>
      <c r="D637" s="7"/>
      <c r="E637" s="7"/>
      <c r="F637" s="9" t="str">
        <f>IFERROR(INDEX($A$2:$A$1000,MATCH(ROWS($F$2:F637),$G$2:$G$1000,0)),"")</f>
        <v/>
      </c>
      <c r="G637" s="9" t="str">
        <f>IF($E637="Yes",COUNTIF($E$2:$E637,"Yes"),"")</f>
        <v/>
      </c>
      <c r="H637" s="3" t="str">
        <f t="shared" si="9"/>
        <v/>
      </c>
    </row>
    <row r="638" spans="1:8" ht="14.25" customHeight="1" x14ac:dyDescent="0.3">
      <c r="A638" s="7"/>
      <c r="B638" s="7"/>
      <c r="C638" s="7"/>
      <c r="D638" s="7"/>
      <c r="E638" s="7"/>
      <c r="F638" s="9" t="str">
        <f>IFERROR(INDEX($A$2:$A$1000,MATCH(ROWS($F$2:F638),$G$2:$G$1000,0)),"")</f>
        <v/>
      </c>
      <c r="G638" s="9" t="str">
        <f>IF($E638="Yes",COUNTIF($E$2:$E638,"Yes"),"")</f>
        <v/>
      </c>
      <c r="H638" s="3" t="str">
        <f t="shared" si="9"/>
        <v/>
      </c>
    </row>
    <row r="639" spans="1:8" ht="14.25" customHeight="1" x14ac:dyDescent="0.3">
      <c r="A639" s="7"/>
      <c r="B639" s="7"/>
      <c r="C639" s="7"/>
      <c r="D639" s="7"/>
      <c r="E639" s="7"/>
      <c r="F639" s="9" t="str">
        <f>IFERROR(INDEX($A$2:$A$1000,MATCH(ROWS($F$2:F639),$G$2:$G$1000,0)),"")</f>
        <v/>
      </c>
      <c r="G639" s="9" t="str">
        <f>IF($E639="Yes",COUNTIF($E$2:$E639,"Yes"),"")</f>
        <v/>
      </c>
      <c r="H639" s="3" t="str">
        <f t="shared" si="9"/>
        <v/>
      </c>
    </row>
    <row r="640" spans="1:8" ht="14.25" customHeight="1" x14ac:dyDescent="0.3">
      <c r="A640" s="7"/>
      <c r="B640" s="7"/>
      <c r="C640" s="7"/>
      <c r="D640" s="7"/>
      <c r="E640" s="7"/>
      <c r="F640" s="9" t="str">
        <f>IFERROR(INDEX($A$2:$A$1000,MATCH(ROWS($F$2:F640),$G$2:$G$1000,0)),"")</f>
        <v/>
      </c>
      <c r="G640" s="9" t="str">
        <f>IF($E640="Yes",COUNTIF($E$2:$E640,"Yes"),"")</f>
        <v/>
      </c>
      <c r="H640" s="3" t="str">
        <f t="shared" si="9"/>
        <v/>
      </c>
    </row>
    <row r="641" spans="1:8" ht="14.25" customHeight="1" x14ac:dyDescent="0.3">
      <c r="A641" s="7"/>
      <c r="B641" s="7"/>
      <c r="C641" s="7"/>
      <c r="D641" s="7"/>
      <c r="E641" s="7"/>
      <c r="F641" s="9" t="str">
        <f>IFERROR(INDEX($A$2:$A$1000,MATCH(ROWS($F$2:F641),$G$2:$G$1000,0)),"")</f>
        <v/>
      </c>
      <c r="G641" s="9" t="str">
        <f>IF($E641="Yes",COUNTIF($E$2:$E641,"Yes"),"")</f>
        <v/>
      </c>
      <c r="H641" s="3" t="str">
        <f t="shared" si="9"/>
        <v/>
      </c>
    </row>
    <row r="642" spans="1:8" ht="14.25" customHeight="1" x14ac:dyDescent="0.3">
      <c r="A642" s="7"/>
      <c r="B642" s="7"/>
      <c r="C642" s="7"/>
      <c r="D642" s="7"/>
      <c r="E642" s="7"/>
      <c r="F642" s="9" t="str">
        <f>IFERROR(INDEX($A$2:$A$1000,MATCH(ROWS($F$2:F642),$G$2:$G$1000,0)),"")</f>
        <v/>
      </c>
      <c r="G642" s="9" t="str">
        <f>IF($E642="Yes",COUNTIF($E$2:$E642,"Yes"),"")</f>
        <v/>
      </c>
      <c r="H642" s="3" t="str">
        <f t="shared" ref="H642:H705" si="10">IF(COUNTA(A642:E642)=0,"",IF(COUNTIF($A$2:$A$1000,A642)&gt;1,"DUPLICATE YEAR_SEM",IF(OR(B642&lt;1,B642&gt;4,C642&lt;1,C642&gt;2),"INVALID YEAR/SEMESTER","OK")))</f>
        <v/>
      </c>
    </row>
    <row r="643" spans="1:8" ht="14.25" customHeight="1" x14ac:dyDescent="0.3">
      <c r="A643" s="7"/>
      <c r="B643" s="7"/>
      <c r="C643" s="7"/>
      <c r="D643" s="7"/>
      <c r="E643" s="7"/>
      <c r="F643" s="9" t="str">
        <f>IFERROR(INDEX($A$2:$A$1000,MATCH(ROWS($F$2:F643),$G$2:$G$1000,0)),"")</f>
        <v/>
      </c>
      <c r="G643" s="9" t="str">
        <f>IF($E643="Yes",COUNTIF($E$2:$E643,"Yes"),"")</f>
        <v/>
      </c>
      <c r="H643" s="3" t="str">
        <f t="shared" si="10"/>
        <v/>
      </c>
    </row>
    <row r="644" spans="1:8" ht="14.25" customHeight="1" x14ac:dyDescent="0.3">
      <c r="A644" s="7"/>
      <c r="B644" s="7"/>
      <c r="C644" s="7"/>
      <c r="D644" s="7"/>
      <c r="E644" s="7"/>
      <c r="F644" s="9" t="str">
        <f>IFERROR(INDEX($A$2:$A$1000,MATCH(ROWS($F$2:F644),$G$2:$G$1000,0)),"")</f>
        <v/>
      </c>
      <c r="G644" s="9" t="str">
        <f>IF($E644="Yes",COUNTIF($E$2:$E644,"Yes"),"")</f>
        <v/>
      </c>
      <c r="H644" s="3" t="str">
        <f t="shared" si="10"/>
        <v/>
      </c>
    </row>
    <row r="645" spans="1:8" ht="14.25" customHeight="1" x14ac:dyDescent="0.3">
      <c r="A645" s="7"/>
      <c r="B645" s="7"/>
      <c r="C645" s="7"/>
      <c r="D645" s="7"/>
      <c r="E645" s="7"/>
      <c r="F645" s="9" t="str">
        <f>IFERROR(INDEX($A$2:$A$1000,MATCH(ROWS($F$2:F645),$G$2:$G$1000,0)),"")</f>
        <v/>
      </c>
      <c r="G645" s="9" t="str">
        <f>IF($E645="Yes",COUNTIF($E$2:$E645,"Yes"),"")</f>
        <v/>
      </c>
      <c r="H645" s="3" t="str">
        <f t="shared" si="10"/>
        <v/>
      </c>
    </row>
    <row r="646" spans="1:8" ht="14.25" customHeight="1" x14ac:dyDescent="0.3">
      <c r="A646" s="7"/>
      <c r="B646" s="7"/>
      <c r="C646" s="7"/>
      <c r="D646" s="7"/>
      <c r="E646" s="7"/>
      <c r="F646" s="9" t="str">
        <f>IFERROR(INDEX($A$2:$A$1000,MATCH(ROWS($F$2:F646),$G$2:$G$1000,0)),"")</f>
        <v/>
      </c>
      <c r="G646" s="9" t="str">
        <f>IF($E646="Yes",COUNTIF($E$2:$E646,"Yes"),"")</f>
        <v/>
      </c>
      <c r="H646" s="3" t="str">
        <f t="shared" si="10"/>
        <v/>
      </c>
    </row>
    <row r="647" spans="1:8" ht="14.25" customHeight="1" x14ac:dyDescent="0.3">
      <c r="A647" s="7"/>
      <c r="B647" s="7"/>
      <c r="C647" s="7"/>
      <c r="D647" s="7"/>
      <c r="E647" s="7"/>
      <c r="F647" s="9" t="str">
        <f>IFERROR(INDEX($A$2:$A$1000,MATCH(ROWS($F$2:F647),$G$2:$G$1000,0)),"")</f>
        <v/>
      </c>
      <c r="G647" s="9" t="str">
        <f>IF($E647="Yes",COUNTIF($E$2:$E647,"Yes"),"")</f>
        <v/>
      </c>
      <c r="H647" s="3" t="str">
        <f t="shared" si="10"/>
        <v/>
      </c>
    </row>
    <row r="648" spans="1:8" ht="14.25" customHeight="1" x14ac:dyDescent="0.3">
      <c r="A648" s="7"/>
      <c r="B648" s="7"/>
      <c r="C648" s="7"/>
      <c r="D648" s="7"/>
      <c r="E648" s="7"/>
      <c r="F648" s="9" t="str">
        <f>IFERROR(INDEX($A$2:$A$1000,MATCH(ROWS($F$2:F648),$G$2:$G$1000,0)),"")</f>
        <v/>
      </c>
      <c r="G648" s="9" t="str">
        <f>IF($E648="Yes",COUNTIF($E$2:$E648,"Yes"),"")</f>
        <v/>
      </c>
      <c r="H648" s="3" t="str">
        <f t="shared" si="10"/>
        <v/>
      </c>
    </row>
    <row r="649" spans="1:8" ht="14.25" customHeight="1" x14ac:dyDescent="0.3">
      <c r="A649" s="7"/>
      <c r="B649" s="7"/>
      <c r="C649" s="7"/>
      <c r="D649" s="7"/>
      <c r="E649" s="7"/>
      <c r="F649" s="9" t="str">
        <f>IFERROR(INDEX($A$2:$A$1000,MATCH(ROWS($F$2:F649),$G$2:$G$1000,0)),"")</f>
        <v/>
      </c>
      <c r="G649" s="9" t="str">
        <f>IF($E649="Yes",COUNTIF($E$2:$E649,"Yes"),"")</f>
        <v/>
      </c>
      <c r="H649" s="3" t="str">
        <f t="shared" si="10"/>
        <v/>
      </c>
    </row>
    <row r="650" spans="1:8" ht="14.25" customHeight="1" x14ac:dyDescent="0.3">
      <c r="A650" s="7"/>
      <c r="B650" s="7"/>
      <c r="C650" s="7"/>
      <c r="D650" s="7"/>
      <c r="E650" s="7"/>
      <c r="F650" s="9" t="str">
        <f>IFERROR(INDEX($A$2:$A$1000,MATCH(ROWS($F$2:F650),$G$2:$G$1000,0)),"")</f>
        <v/>
      </c>
      <c r="G650" s="9" t="str">
        <f>IF($E650="Yes",COUNTIF($E$2:$E650,"Yes"),"")</f>
        <v/>
      </c>
      <c r="H650" s="3" t="str">
        <f t="shared" si="10"/>
        <v/>
      </c>
    </row>
    <row r="651" spans="1:8" ht="14.25" customHeight="1" x14ac:dyDescent="0.3">
      <c r="A651" s="7"/>
      <c r="B651" s="7"/>
      <c r="C651" s="7"/>
      <c r="D651" s="7"/>
      <c r="E651" s="7"/>
      <c r="F651" s="9" t="str">
        <f>IFERROR(INDEX($A$2:$A$1000,MATCH(ROWS($F$2:F651),$G$2:$G$1000,0)),"")</f>
        <v/>
      </c>
      <c r="G651" s="9" t="str">
        <f>IF($E651="Yes",COUNTIF($E$2:$E651,"Yes"),"")</f>
        <v/>
      </c>
      <c r="H651" s="3" t="str">
        <f t="shared" si="10"/>
        <v/>
      </c>
    </row>
    <row r="652" spans="1:8" ht="14.25" customHeight="1" x14ac:dyDescent="0.3">
      <c r="A652" s="7"/>
      <c r="B652" s="7"/>
      <c r="C652" s="7"/>
      <c r="D652" s="7"/>
      <c r="E652" s="7"/>
      <c r="F652" s="9" t="str">
        <f>IFERROR(INDEX($A$2:$A$1000,MATCH(ROWS($F$2:F652),$G$2:$G$1000,0)),"")</f>
        <v/>
      </c>
      <c r="G652" s="9" t="str">
        <f>IF($E652="Yes",COUNTIF($E$2:$E652,"Yes"),"")</f>
        <v/>
      </c>
      <c r="H652" s="3" t="str">
        <f t="shared" si="10"/>
        <v/>
      </c>
    </row>
    <row r="653" spans="1:8" ht="14.25" customHeight="1" x14ac:dyDescent="0.3">
      <c r="A653" s="7"/>
      <c r="B653" s="7"/>
      <c r="C653" s="7"/>
      <c r="D653" s="7"/>
      <c r="E653" s="7"/>
      <c r="F653" s="9" t="str">
        <f>IFERROR(INDEX($A$2:$A$1000,MATCH(ROWS($F$2:F653),$G$2:$G$1000,0)),"")</f>
        <v/>
      </c>
      <c r="G653" s="9" t="str">
        <f>IF($E653="Yes",COUNTIF($E$2:$E653,"Yes"),"")</f>
        <v/>
      </c>
      <c r="H653" s="3" t="str">
        <f t="shared" si="10"/>
        <v/>
      </c>
    </row>
    <row r="654" spans="1:8" ht="14.25" customHeight="1" x14ac:dyDescent="0.3">
      <c r="A654" s="7"/>
      <c r="B654" s="7"/>
      <c r="C654" s="7"/>
      <c r="D654" s="7"/>
      <c r="E654" s="7"/>
      <c r="F654" s="9" t="str">
        <f>IFERROR(INDEX($A$2:$A$1000,MATCH(ROWS($F$2:F654),$G$2:$G$1000,0)),"")</f>
        <v/>
      </c>
      <c r="G654" s="9" t="str">
        <f>IF($E654="Yes",COUNTIF($E$2:$E654,"Yes"),"")</f>
        <v/>
      </c>
      <c r="H654" s="3" t="str">
        <f t="shared" si="10"/>
        <v/>
      </c>
    </row>
    <row r="655" spans="1:8" ht="14.25" customHeight="1" x14ac:dyDescent="0.3">
      <c r="A655" s="7"/>
      <c r="B655" s="7"/>
      <c r="C655" s="7"/>
      <c r="D655" s="7"/>
      <c r="E655" s="7"/>
      <c r="F655" s="9" t="str">
        <f>IFERROR(INDEX($A$2:$A$1000,MATCH(ROWS($F$2:F655),$G$2:$G$1000,0)),"")</f>
        <v/>
      </c>
      <c r="G655" s="9" t="str">
        <f>IF($E655="Yes",COUNTIF($E$2:$E655,"Yes"),"")</f>
        <v/>
      </c>
      <c r="H655" s="3" t="str">
        <f t="shared" si="10"/>
        <v/>
      </c>
    </row>
    <row r="656" spans="1:8" ht="14.25" customHeight="1" x14ac:dyDescent="0.3">
      <c r="A656" s="7"/>
      <c r="B656" s="7"/>
      <c r="C656" s="7"/>
      <c r="D656" s="7"/>
      <c r="E656" s="7"/>
      <c r="F656" s="9" t="str">
        <f>IFERROR(INDEX($A$2:$A$1000,MATCH(ROWS($F$2:F656),$G$2:$G$1000,0)),"")</f>
        <v/>
      </c>
      <c r="G656" s="9" t="str">
        <f>IF($E656="Yes",COUNTIF($E$2:$E656,"Yes"),"")</f>
        <v/>
      </c>
      <c r="H656" s="3" t="str">
        <f t="shared" si="10"/>
        <v/>
      </c>
    </row>
    <row r="657" spans="1:8" ht="14.25" customHeight="1" x14ac:dyDescent="0.3">
      <c r="A657" s="7"/>
      <c r="B657" s="7"/>
      <c r="C657" s="7"/>
      <c r="D657" s="7"/>
      <c r="E657" s="7"/>
      <c r="F657" s="9" t="str">
        <f>IFERROR(INDEX($A$2:$A$1000,MATCH(ROWS($F$2:F657),$G$2:$G$1000,0)),"")</f>
        <v/>
      </c>
      <c r="G657" s="9" t="str">
        <f>IF($E657="Yes",COUNTIF($E$2:$E657,"Yes"),"")</f>
        <v/>
      </c>
      <c r="H657" s="3" t="str">
        <f t="shared" si="10"/>
        <v/>
      </c>
    </row>
    <row r="658" spans="1:8" ht="14.25" customHeight="1" x14ac:dyDescent="0.3">
      <c r="A658" s="7"/>
      <c r="B658" s="7"/>
      <c r="C658" s="7"/>
      <c r="D658" s="7"/>
      <c r="E658" s="7"/>
      <c r="F658" s="9" t="str">
        <f>IFERROR(INDEX($A$2:$A$1000,MATCH(ROWS($F$2:F658),$G$2:$G$1000,0)),"")</f>
        <v/>
      </c>
      <c r="G658" s="9" t="str">
        <f>IF($E658="Yes",COUNTIF($E$2:$E658,"Yes"),"")</f>
        <v/>
      </c>
      <c r="H658" s="3" t="str">
        <f t="shared" si="10"/>
        <v/>
      </c>
    </row>
    <row r="659" spans="1:8" ht="14.25" customHeight="1" x14ac:dyDescent="0.3">
      <c r="A659" s="7"/>
      <c r="B659" s="7"/>
      <c r="C659" s="7"/>
      <c r="D659" s="7"/>
      <c r="E659" s="7"/>
      <c r="F659" s="9" t="str">
        <f>IFERROR(INDEX($A$2:$A$1000,MATCH(ROWS($F$2:F659),$G$2:$G$1000,0)),"")</f>
        <v/>
      </c>
      <c r="G659" s="9" t="str">
        <f>IF($E659="Yes",COUNTIF($E$2:$E659,"Yes"),"")</f>
        <v/>
      </c>
      <c r="H659" s="3" t="str">
        <f t="shared" si="10"/>
        <v/>
      </c>
    </row>
    <row r="660" spans="1:8" ht="14.25" customHeight="1" x14ac:dyDescent="0.3">
      <c r="A660" s="7"/>
      <c r="B660" s="7"/>
      <c r="C660" s="7"/>
      <c r="D660" s="7"/>
      <c r="E660" s="7"/>
      <c r="F660" s="9" t="str">
        <f>IFERROR(INDEX($A$2:$A$1000,MATCH(ROWS($F$2:F660),$G$2:$G$1000,0)),"")</f>
        <v/>
      </c>
      <c r="G660" s="9" t="str">
        <f>IF($E660="Yes",COUNTIF($E$2:$E660,"Yes"),"")</f>
        <v/>
      </c>
      <c r="H660" s="3" t="str">
        <f t="shared" si="10"/>
        <v/>
      </c>
    </row>
    <row r="661" spans="1:8" ht="14.25" customHeight="1" x14ac:dyDescent="0.3">
      <c r="A661" s="7"/>
      <c r="B661" s="7"/>
      <c r="C661" s="7"/>
      <c r="D661" s="7"/>
      <c r="E661" s="7"/>
      <c r="F661" s="9" t="str">
        <f>IFERROR(INDEX($A$2:$A$1000,MATCH(ROWS($F$2:F661),$G$2:$G$1000,0)),"")</f>
        <v/>
      </c>
      <c r="G661" s="9" t="str">
        <f>IF($E661="Yes",COUNTIF($E$2:$E661,"Yes"),"")</f>
        <v/>
      </c>
      <c r="H661" s="3" t="str">
        <f t="shared" si="10"/>
        <v/>
      </c>
    </row>
    <row r="662" spans="1:8" ht="14.25" customHeight="1" x14ac:dyDescent="0.3">
      <c r="A662" s="7"/>
      <c r="B662" s="7"/>
      <c r="C662" s="7"/>
      <c r="D662" s="7"/>
      <c r="E662" s="7"/>
      <c r="F662" s="9" t="str">
        <f>IFERROR(INDEX($A$2:$A$1000,MATCH(ROWS($F$2:F662),$G$2:$G$1000,0)),"")</f>
        <v/>
      </c>
      <c r="G662" s="9" t="str">
        <f>IF($E662="Yes",COUNTIF($E$2:$E662,"Yes"),"")</f>
        <v/>
      </c>
      <c r="H662" s="3" t="str">
        <f t="shared" si="10"/>
        <v/>
      </c>
    </row>
    <row r="663" spans="1:8" ht="14.25" customHeight="1" x14ac:dyDescent="0.3">
      <c r="A663" s="7"/>
      <c r="B663" s="7"/>
      <c r="C663" s="7"/>
      <c r="D663" s="7"/>
      <c r="E663" s="7"/>
      <c r="F663" s="9" t="str">
        <f>IFERROR(INDEX($A$2:$A$1000,MATCH(ROWS($F$2:F663),$G$2:$G$1000,0)),"")</f>
        <v/>
      </c>
      <c r="G663" s="9" t="str">
        <f>IF($E663="Yes",COUNTIF($E$2:$E663,"Yes"),"")</f>
        <v/>
      </c>
      <c r="H663" s="3" t="str">
        <f t="shared" si="10"/>
        <v/>
      </c>
    </row>
    <row r="664" spans="1:8" ht="14.25" customHeight="1" x14ac:dyDescent="0.3">
      <c r="A664" s="7"/>
      <c r="B664" s="7"/>
      <c r="C664" s="7"/>
      <c r="D664" s="7"/>
      <c r="E664" s="7"/>
      <c r="F664" s="9" t="str">
        <f>IFERROR(INDEX($A$2:$A$1000,MATCH(ROWS($F$2:F664),$G$2:$G$1000,0)),"")</f>
        <v/>
      </c>
      <c r="G664" s="9" t="str">
        <f>IF($E664="Yes",COUNTIF($E$2:$E664,"Yes"),"")</f>
        <v/>
      </c>
      <c r="H664" s="3" t="str">
        <f t="shared" si="10"/>
        <v/>
      </c>
    </row>
    <row r="665" spans="1:8" ht="14.25" customHeight="1" x14ac:dyDescent="0.3">
      <c r="A665" s="7"/>
      <c r="B665" s="7"/>
      <c r="C665" s="7"/>
      <c r="D665" s="7"/>
      <c r="E665" s="7"/>
      <c r="F665" s="9" t="str">
        <f>IFERROR(INDEX($A$2:$A$1000,MATCH(ROWS($F$2:F665),$G$2:$G$1000,0)),"")</f>
        <v/>
      </c>
      <c r="G665" s="9" t="str">
        <f>IF($E665="Yes",COUNTIF($E$2:$E665,"Yes"),"")</f>
        <v/>
      </c>
      <c r="H665" s="3" t="str">
        <f t="shared" si="10"/>
        <v/>
      </c>
    </row>
    <row r="666" spans="1:8" ht="14.25" customHeight="1" x14ac:dyDescent="0.3">
      <c r="A666" s="7"/>
      <c r="B666" s="7"/>
      <c r="C666" s="7"/>
      <c r="D666" s="7"/>
      <c r="E666" s="7"/>
      <c r="F666" s="9" t="str">
        <f>IFERROR(INDEX($A$2:$A$1000,MATCH(ROWS($F$2:F666),$G$2:$G$1000,0)),"")</f>
        <v/>
      </c>
      <c r="G666" s="9" t="str">
        <f>IF($E666="Yes",COUNTIF($E$2:$E666,"Yes"),"")</f>
        <v/>
      </c>
      <c r="H666" s="3" t="str">
        <f t="shared" si="10"/>
        <v/>
      </c>
    </row>
    <row r="667" spans="1:8" ht="14.25" customHeight="1" x14ac:dyDescent="0.3">
      <c r="A667" s="7"/>
      <c r="B667" s="7"/>
      <c r="C667" s="7"/>
      <c r="D667" s="7"/>
      <c r="E667" s="7"/>
      <c r="F667" s="9" t="str">
        <f>IFERROR(INDEX($A$2:$A$1000,MATCH(ROWS($F$2:F667),$G$2:$G$1000,0)),"")</f>
        <v/>
      </c>
      <c r="G667" s="9" t="str">
        <f>IF($E667="Yes",COUNTIF($E$2:$E667,"Yes"),"")</f>
        <v/>
      </c>
      <c r="H667" s="3" t="str">
        <f t="shared" si="10"/>
        <v/>
      </c>
    </row>
    <row r="668" spans="1:8" ht="14.25" customHeight="1" x14ac:dyDescent="0.3">
      <c r="A668" s="7"/>
      <c r="B668" s="7"/>
      <c r="C668" s="7"/>
      <c r="D668" s="7"/>
      <c r="E668" s="7"/>
      <c r="F668" s="9" t="str">
        <f>IFERROR(INDEX($A$2:$A$1000,MATCH(ROWS($F$2:F668),$G$2:$G$1000,0)),"")</f>
        <v/>
      </c>
      <c r="G668" s="9" t="str">
        <f>IF($E668="Yes",COUNTIF($E$2:$E668,"Yes"),"")</f>
        <v/>
      </c>
      <c r="H668" s="3" t="str">
        <f t="shared" si="10"/>
        <v/>
      </c>
    </row>
    <row r="669" spans="1:8" ht="14.25" customHeight="1" x14ac:dyDescent="0.3">
      <c r="A669" s="7"/>
      <c r="B669" s="7"/>
      <c r="C669" s="7"/>
      <c r="D669" s="7"/>
      <c r="E669" s="7"/>
      <c r="F669" s="9" t="str">
        <f>IFERROR(INDEX($A$2:$A$1000,MATCH(ROWS($F$2:F669),$G$2:$G$1000,0)),"")</f>
        <v/>
      </c>
      <c r="G669" s="9" t="str">
        <f>IF($E669="Yes",COUNTIF($E$2:$E669,"Yes"),"")</f>
        <v/>
      </c>
      <c r="H669" s="3" t="str">
        <f t="shared" si="10"/>
        <v/>
      </c>
    </row>
    <row r="670" spans="1:8" ht="14.25" customHeight="1" x14ac:dyDescent="0.3">
      <c r="A670" s="7"/>
      <c r="B670" s="7"/>
      <c r="C670" s="7"/>
      <c r="D670" s="7"/>
      <c r="E670" s="7"/>
      <c r="F670" s="9" t="str">
        <f>IFERROR(INDEX($A$2:$A$1000,MATCH(ROWS($F$2:F670),$G$2:$G$1000,0)),"")</f>
        <v/>
      </c>
      <c r="G670" s="9" t="str">
        <f>IF($E670="Yes",COUNTIF($E$2:$E670,"Yes"),"")</f>
        <v/>
      </c>
      <c r="H670" s="3" t="str">
        <f t="shared" si="10"/>
        <v/>
      </c>
    </row>
    <row r="671" spans="1:8" ht="14.25" customHeight="1" x14ac:dyDescent="0.3">
      <c r="A671" s="7"/>
      <c r="B671" s="7"/>
      <c r="C671" s="7"/>
      <c r="D671" s="7"/>
      <c r="E671" s="7"/>
      <c r="F671" s="9" t="str">
        <f>IFERROR(INDEX($A$2:$A$1000,MATCH(ROWS($F$2:F671),$G$2:$G$1000,0)),"")</f>
        <v/>
      </c>
      <c r="G671" s="9" t="str">
        <f>IF($E671="Yes",COUNTIF($E$2:$E671,"Yes"),"")</f>
        <v/>
      </c>
      <c r="H671" s="3" t="str">
        <f t="shared" si="10"/>
        <v/>
      </c>
    </row>
    <row r="672" spans="1:8" ht="14.25" customHeight="1" x14ac:dyDescent="0.3">
      <c r="A672" s="7"/>
      <c r="B672" s="7"/>
      <c r="C672" s="7"/>
      <c r="D672" s="7"/>
      <c r="E672" s="7"/>
      <c r="F672" s="9" t="str">
        <f>IFERROR(INDEX($A$2:$A$1000,MATCH(ROWS($F$2:F672),$G$2:$G$1000,0)),"")</f>
        <v/>
      </c>
      <c r="G672" s="9" t="str">
        <f>IF($E672="Yes",COUNTIF($E$2:$E672,"Yes"),"")</f>
        <v/>
      </c>
      <c r="H672" s="3" t="str">
        <f t="shared" si="10"/>
        <v/>
      </c>
    </row>
    <row r="673" spans="1:8" ht="14.25" customHeight="1" x14ac:dyDescent="0.3">
      <c r="A673" s="7"/>
      <c r="B673" s="7"/>
      <c r="C673" s="7"/>
      <c r="D673" s="7"/>
      <c r="E673" s="7"/>
      <c r="F673" s="9" t="str">
        <f>IFERROR(INDEX($A$2:$A$1000,MATCH(ROWS($F$2:F673),$G$2:$G$1000,0)),"")</f>
        <v/>
      </c>
      <c r="G673" s="9" t="str">
        <f>IF($E673="Yes",COUNTIF($E$2:$E673,"Yes"),"")</f>
        <v/>
      </c>
      <c r="H673" s="3" t="str">
        <f t="shared" si="10"/>
        <v/>
      </c>
    </row>
    <row r="674" spans="1:8" ht="14.25" customHeight="1" x14ac:dyDescent="0.3">
      <c r="A674" s="7"/>
      <c r="B674" s="7"/>
      <c r="C674" s="7"/>
      <c r="D674" s="7"/>
      <c r="E674" s="7"/>
      <c r="F674" s="9" t="str">
        <f>IFERROR(INDEX($A$2:$A$1000,MATCH(ROWS($F$2:F674),$G$2:$G$1000,0)),"")</f>
        <v/>
      </c>
      <c r="G674" s="9" t="str">
        <f>IF($E674="Yes",COUNTIF($E$2:$E674,"Yes"),"")</f>
        <v/>
      </c>
      <c r="H674" s="3" t="str">
        <f t="shared" si="10"/>
        <v/>
      </c>
    </row>
    <row r="675" spans="1:8" ht="14.25" customHeight="1" x14ac:dyDescent="0.3">
      <c r="A675" s="7"/>
      <c r="B675" s="7"/>
      <c r="C675" s="7"/>
      <c r="D675" s="7"/>
      <c r="E675" s="7"/>
      <c r="F675" s="9" t="str">
        <f>IFERROR(INDEX($A$2:$A$1000,MATCH(ROWS($F$2:F675),$G$2:$G$1000,0)),"")</f>
        <v/>
      </c>
      <c r="G675" s="9" t="str">
        <f>IF($E675="Yes",COUNTIF($E$2:$E675,"Yes"),"")</f>
        <v/>
      </c>
      <c r="H675" s="3" t="str">
        <f t="shared" si="10"/>
        <v/>
      </c>
    </row>
    <row r="676" spans="1:8" ht="14.25" customHeight="1" x14ac:dyDescent="0.3">
      <c r="A676" s="7"/>
      <c r="B676" s="7"/>
      <c r="C676" s="7"/>
      <c r="D676" s="7"/>
      <c r="E676" s="7"/>
      <c r="F676" s="9" t="str">
        <f>IFERROR(INDEX($A$2:$A$1000,MATCH(ROWS($F$2:F676),$G$2:$G$1000,0)),"")</f>
        <v/>
      </c>
      <c r="G676" s="9" t="str">
        <f>IF($E676="Yes",COUNTIF($E$2:$E676,"Yes"),"")</f>
        <v/>
      </c>
      <c r="H676" s="3" t="str">
        <f t="shared" si="10"/>
        <v/>
      </c>
    </row>
    <row r="677" spans="1:8" ht="14.25" customHeight="1" x14ac:dyDescent="0.3">
      <c r="A677" s="7"/>
      <c r="B677" s="7"/>
      <c r="C677" s="7"/>
      <c r="D677" s="7"/>
      <c r="E677" s="7"/>
      <c r="F677" s="9" t="str">
        <f>IFERROR(INDEX($A$2:$A$1000,MATCH(ROWS($F$2:F677),$G$2:$G$1000,0)),"")</f>
        <v/>
      </c>
      <c r="G677" s="9" t="str">
        <f>IF($E677="Yes",COUNTIF($E$2:$E677,"Yes"),"")</f>
        <v/>
      </c>
      <c r="H677" s="3" t="str">
        <f t="shared" si="10"/>
        <v/>
      </c>
    </row>
    <row r="678" spans="1:8" ht="14.25" customHeight="1" x14ac:dyDescent="0.3">
      <c r="A678" s="7"/>
      <c r="B678" s="7"/>
      <c r="C678" s="7"/>
      <c r="D678" s="7"/>
      <c r="E678" s="7"/>
      <c r="F678" s="9" t="str">
        <f>IFERROR(INDEX($A$2:$A$1000,MATCH(ROWS($F$2:F678),$G$2:$G$1000,0)),"")</f>
        <v/>
      </c>
      <c r="G678" s="9" t="str">
        <f>IF($E678="Yes",COUNTIF($E$2:$E678,"Yes"),"")</f>
        <v/>
      </c>
      <c r="H678" s="3" t="str">
        <f t="shared" si="10"/>
        <v/>
      </c>
    </row>
    <row r="679" spans="1:8" ht="14.25" customHeight="1" x14ac:dyDescent="0.3">
      <c r="A679" s="7"/>
      <c r="B679" s="7"/>
      <c r="C679" s="7"/>
      <c r="D679" s="7"/>
      <c r="E679" s="7"/>
      <c r="F679" s="9" t="str">
        <f>IFERROR(INDEX($A$2:$A$1000,MATCH(ROWS($F$2:F679),$G$2:$G$1000,0)),"")</f>
        <v/>
      </c>
      <c r="G679" s="9" t="str">
        <f>IF($E679="Yes",COUNTIF($E$2:$E679,"Yes"),"")</f>
        <v/>
      </c>
      <c r="H679" s="3" t="str">
        <f t="shared" si="10"/>
        <v/>
      </c>
    </row>
    <row r="680" spans="1:8" ht="14.25" customHeight="1" x14ac:dyDescent="0.3">
      <c r="A680" s="7"/>
      <c r="B680" s="7"/>
      <c r="C680" s="7"/>
      <c r="D680" s="7"/>
      <c r="E680" s="7"/>
      <c r="F680" s="9" t="str">
        <f>IFERROR(INDEX($A$2:$A$1000,MATCH(ROWS($F$2:F680),$G$2:$G$1000,0)),"")</f>
        <v/>
      </c>
      <c r="G680" s="9" t="str">
        <f>IF($E680="Yes",COUNTIF($E$2:$E680,"Yes"),"")</f>
        <v/>
      </c>
      <c r="H680" s="3" t="str">
        <f t="shared" si="10"/>
        <v/>
      </c>
    </row>
    <row r="681" spans="1:8" ht="14.25" customHeight="1" x14ac:dyDescent="0.3">
      <c r="A681" s="7"/>
      <c r="B681" s="7"/>
      <c r="C681" s="7"/>
      <c r="D681" s="7"/>
      <c r="E681" s="7"/>
      <c r="F681" s="9" t="str">
        <f>IFERROR(INDEX($A$2:$A$1000,MATCH(ROWS($F$2:F681),$G$2:$G$1000,0)),"")</f>
        <v/>
      </c>
      <c r="G681" s="9" t="str">
        <f>IF($E681="Yes",COUNTIF($E$2:$E681,"Yes"),"")</f>
        <v/>
      </c>
      <c r="H681" s="3" t="str">
        <f t="shared" si="10"/>
        <v/>
      </c>
    </row>
    <row r="682" spans="1:8" ht="14.25" customHeight="1" x14ac:dyDescent="0.3">
      <c r="A682" s="7"/>
      <c r="B682" s="7"/>
      <c r="C682" s="7"/>
      <c r="D682" s="7"/>
      <c r="E682" s="7"/>
      <c r="F682" s="9" t="str">
        <f>IFERROR(INDEX($A$2:$A$1000,MATCH(ROWS($F$2:F682),$G$2:$G$1000,0)),"")</f>
        <v/>
      </c>
      <c r="G682" s="9" t="str">
        <f>IF($E682="Yes",COUNTIF($E$2:$E682,"Yes"),"")</f>
        <v/>
      </c>
      <c r="H682" s="3" t="str">
        <f t="shared" si="10"/>
        <v/>
      </c>
    </row>
    <row r="683" spans="1:8" ht="14.25" customHeight="1" x14ac:dyDescent="0.3">
      <c r="A683" s="7"/>
      <c r="B683" s="7"/>
      <c r="C683" s="7"/>
      <c r="D683" s="7"/>
      <c r="E683" s="7"/>
      <c r="F683" s="9" t="str">
        <f>IFERROR(INDEX($A$2:$A$1000,MATCH(ROWS($F$2:F683),$G$2:$G$1000,0)),"")</f>
        <v/>
      </c>
      <c r="G683" s="9" t="str">
        <f>IF($E683="Yes",COUNTIF($E$2:$E683,"Yes"),"")</f>
        <v/>
      </c>
      <c r="H683" s="3" t="str">
        <f t="shared" si="10"/>
        <v/>
      </c>
    </row>
    <row r="684" spans="1:8" ht="14.25" customHeight="1" x14ac:dyDescent="0.3">
      <c r="A684" s="7"/>
      <c r="B684" s="7"/>
      <c r="C684" s="7"/>
      <c r="D684" s="7"/>
      <c r="E684" s="7"/>
      <c r="F684" s="9" t="str">
        <f>IFERROR(INDEX($A$2:$A$1000,MATCH(ROWS($F$2:F684),$G$2:$G$1000,0)),"")</f>
        <v/>
      </c>
      <c r="G684" s="9" t="str">
        <f>IF($E684="Yes",COUNTIF($E$2:$E684,"Yes"),"")</f>
        <v/>
      </c>
      <c r="H684" s="3" t="str">
        <f t="shared" si="10"/>
        <v/>
      </c>
    </row>
    <row r="685" spans="1:8" ht="14.25" customHeight="1" x14ac:dyDescent="0.3">
      <c r="A685" s="7"/>
      <c r="B685" s="7"/>
      <c r="C685" s="7"/>
      <c r="D685" s="7"/>
      <c r="E685" s="7"/>
      <c r="F685" s="9" t="str">
        <f>IFERROR(INDEX($A$2:$A$1000,MATCH(ROWS($F$2:F685),$G$2:$G$1000,0)),"")</f>
        <v/>
      </c>
      <c r="G685" s="9" t="str">
        <f>IF($E685="Yes",COUNTIF($E$2:$E685,"Yes"),"")</f>
        <v/>
      </c>
      <c r="H685" s="3" t="str">
        <f t="shared" si="10"/>
        <v/>
      </c>
    </row>
    <row r="686" spans="1:8" ht="14.25" customHeight="1" x14ac:dyDescent="0.3">
      <c r="A686" s="7"/>
      <c r="B686" s="7"/>
      <c r="C686" s="7"/>
      <c r="D686" s="7"/>
      <c r="E686" s="7"/>
      <c r="F686" s="9" t="str">
        <f>IFERROR(INDEX($A$2:$A$1000,MATCH(ROWS($F$2:F686),$G$2:$G$1000,0)),"")</f>
        <v/>
      </c>
      <c r="G686" s="9" t="str">
        <f>IF($E686="Yes",COUNTIF($E$2:$E686,"Yes"),"")</f>
        <v/>
      </c>
      <c r="H686" s="3" t="str">
        <f t="shared" si="10"/>
        <v/>
      </c>
    </row>
    <row r="687" spans="1:8" ht="14.25" customHeight="1" x14ac:dyDescent="0.3">
      <c r="A687" s="7"/>
      <c r="B687" s="7"/>
      <c r="C687" s="7"/>
      <c r="D687" s="7"/>
      <c r="E687" s="7"/>
      <c r="F687" s="9" t="str">
        <f>IFERROR(INDEX($A$2:$A$1000,MATCH(ROWS($F$2:F687),$G$2:$G$1000,0)),"")</f>
        <v/>
      </c>
      <c r="G687" s="9" t="str">
        <f>IF($E687="Yes",COUNTIF($E$2:$E687,"Yes"),"")</f>
        <v/>
      </c>
      <c r="H687" s="3" t="str">
        <f t="shared" si="10"/>
        <v/>
      </c>
    </row>
    <row r="688" spans="1:8" ht="14.25" customHeight="1" x14ac:dyDescent="0.3">
      <c r="A688" s="7"/>
      <c r="B688" s="7"/>
      <c r="C688" s="7"/>
      <c r="D688" s="7"/>
      <c r="E688" s="7"/>
      <c r="F688" s="9" t="str">
        <f>IFERROR(INDEX($A$2:$A$1000,MATCH(ROWS($F$2:F688),$G$2:$G$1000,0)),"")</f>
        <v/>
      </c>
      <c r="G688" s="9" t="str">
        <f>IF($E688="Yes",COUNTIF($E$2:$E688,"Yes"),"")</f>
        <v/>
      </c>
      <c r="H688" s="3" t="str">
        <f t="shared" si="10"/>
        <v/>
      </c>
    </row>
    <row r="689" spans="1:8" ht="14.25" customHeight="1" x14ac:dyDescent="0.3">
      <c r="A689" s="7"/>
      <c r="B689" s="7"/>
      <c r="C689" s="7"/>
      <c r="D689" s="7"/>
      <c r="E689" s="7"/>
      <c r="F689" s="9" t="str">
        <f>IFERROR(INDEX($A$2:$A$1000,MATCH(ROWS($F$2:F689),$G$2:$G$1000,0)),"")</f>
        <v/>
      </c>
      <c r="G689" s="9" t="str">
        <f>IF($E689="Yes",COUNTIF($E$2:$E689,"Yes"),"")</f>
        <v/>
      </c>
      <c r="H689" s="3" t="str">
        <f t="shared" si="10"/>
        <v/>
      </c>
    </row>
    <row r="690" spans="1:8" ht="14.25" customHeight="1" x14ac:dyDescent="0.3">
      <c r="A690" s="7"/>
      <c r="B690" s="7"/>
      <c r="C690" s="7"/>
      <c r="D690" s="7"/>
      <c r="E690" s="7"/>
      <c r="F690" s="9" t="str">
        <f>IFERROR(INDEX($A$2:$A$1000,MATCH(ROWS($F$2:F690),$G$2:$G$1000,0)),"")</f>
        <v/>
      </c>
      <c r="G690" s="9" t="str">
        <f>IF($E690="Yes",COUNTIF($E$2:$E690,"Yes"),"")</f>
        <v/>
      </c>
      <c r="H690" s="3" t="str">
        <f t="shared" si="10"/>
        <v/>
      </c>
    </row>
    <row r="691" spans="1:8" ht="14.25" customHeight="1" x14ac:dyDescent="0.3">
      <c r="A691" s="7"/>
      <c r="B691" s="7"/>
      <c r="C691" s="7"/>
      <c r="D691" s="7"/>
      <c r="E691" s="7"/>
      <c r="F691" s="9" t="str">
        <f>IFERROR(INDEX($A$2:$A$1000,MATCH(ROWS($F$2:F691),$G$2:$G$1000,0)),"")</f>
        <v/>
      </c>
      <c r="G691" s="9" t="str">
        <f>IF($E691="Yes",COUNTIF($E$2:$E691,"Yes"),"")</f>
        <v/>
      </c>
      <c r="H691" s="3" t="str">
        <f t="shared" si="10"/>
        <v/>
      </c>
    </row>
    <row r="692" spans="1:8" ht="14.25" customHeight="1" x14ac:dyDescent="0.3">
      <c r="A692" s="7"/>
      <c r="B692" s="7"/>
      <c r="C692" s="7"/>
      <c r="D692" s="7"/>
      <c r="E692" s="7"/>
      <c r="F692" s="9" t="str">
        <f>IFERROR(INDEX($A$2:$A$1000,MATCH(ROWS($F$2:F692),$G$2:$G$1000,0)),"")</f>
        <v/>
      </c>
      <c r="G692" s="9" t="str">
        <f>IF($E692="Yes",COUNTIF($E$2:$E692,"Yes"),"")</f>
        <v/>
      </c>
      <c r="H692" s="3" t="str">
        <f t="shared" si="10"/>
        <v/>
      </c>
    </row>
    <row r="693" spans="1:8" ht="14.25" customHeight="1" x14ac:dyDescent="0.3">
      <c r="A693" s="7"/>
      <c r="B693" s="7"/>
      <c r="C693" s="7"/>
      <c r="D693" s="7"/>
      <c r="E693" s="7"/>
      <c r="F693" s="9" t="str">
        <f>IFERROR(INDEX($A$2:$A$1000,MATCH(ROWS($F$2:F693),$G$2:$G$1000,0)),"")</f>
        <v/>
      </c>
      <c r="G693" s="9" t="str">
        <f>IF($E693="Yes",COUNTIF($E$2:$E693,"Yes"),"")</f>
        <v/>
      </c>
      <c r="H693" s="3" t="str">
        <f t="shared" si="10"/>
        <v/>
      </c>
    </row>
    <row r="694" spans="1:8" ht="14.25" customHeight="1" x14ac:dyDescent="0.3">
      <c r="A694" s="7"/>
      <c r="B694" s="7"/>
      <c r="C694" s="7"/>
      <c r="D694" s="7"/>
      <c r="E694" s="7"/>
      <c r="F694" s="9" t="str">
        <f>IFERROR(INDEX($A$2:$A$1000,MATCH(ROWS($F$2:F694),$G$2:$G$1000,0)),"")</f>
        <v/>
      </c>
      <c r="G694" s="9" t="str">
        <f>IF($E694="Yes",COUNTIF($E$2:$E694,"Yes"),"")</f>
        <v/>
      </c>
      <c r="H694" s="3" t="str">
        <f t="shared" si="10"/>
        <v/>
      </c>
    </row>
    <row r="695" spans="1:8" ht="14.25" customHeight="1" x14ac:dyDescent="0.3">
      <c r="A695" s="7"/>
      <c r="B695" s="7"/>
      <c r="C695" s="7"/>
      <c r="D695" s="7"/>
      <c r="E695" s="7"/>
      <c r="F695" s="9" t="str">
        <f>IFERROR(INDEX($A$2:$A$1000,MATCH(ROWS($F$2:F695),$G$2:$G$1000,0)),"")</f>
        <v/>
      </c>
      <c r="G695" s="9" t="str">
        <f>IF($E695="Yes",COUNTIF($E$2:$E695,"Yes"),"")</f>
        <v/>
      </c>
      <c r="H695" s="3" t="str">
        <f t="shared" si="10"/>
        <v/>
      </c>
    </row>
    <row r="696" spans="1:8" ht="14.25" customHeight="1" x14ac:dyDescent="0.3">
      <c r="A696" s="7"/>
      <c r="B696" s="7"/>
      <c r="C696" s="7"/>
      <c r="D696" s="7"/>
      <c r="E696" s="7"/>
      <c r="F696" s="9" t="str">
        <f>IFERROR(INDEX($A$2:$A$1000,MATCH(ROWS($F$2:F696),$G$2:$G$1000,0)),"")</f>
        <v/>
      </c>
      <c r="G696" s="9" t="str">
        <f>IF($E696="Yes",COUNTIF($E$2:$E696,"Yes"),"")</f>
        <v/>
      </c>
      <c r="H696" s="3" t="str">
        <f t="shared" si="10"/>
        <v/>
      </c>
    </row>
    <row r="697" spans="1:8" ht="14.25" customHeight="1" x14ac:dyDescent="0.3">
      <c r="A697" s="7"/>
      <c r="B697" s="7"/>
      <c r="C697" s="7"/>
      <c r="D697" s="7"/>
      <c r="E697" s="7"/>
      <c r="F697" s="9" t="str">
        <f>IFERROR(INDEX($A$2:$A$1000,MATCH(ROWS($F$2:F697),$G$2:$G$1000,0)),"")</f>
        <v/>
      </c>
      <c r="G697" s="9" t="str">
        <f>IF($E697="Yes",COUNTIF($E$2:$E697,"Yes"),"")</f>
        <v/>
      </c>
      <c r="H697" s="3" t="str">
        <f t="shared" si="10"/>
        <v/>
      </c>
    </row>
    <row r="698" spans="1:8" ht="14.25" customHeight="1" x14ac:dyDescent="0.3">
      <c r="A698" s="7"/>
      <c r="B698" s="7"/>
      <c r="C698" s="7"/>
      <c r="D698" s="7"/>
      <c r="E698" s="7"/>
      <c r="F698" s="9" t="str">
        <f>IFERROR(INDEX($A$2:$A$1000,MATCH(ROWS($F$2:F698),$G$2:$G$1000,0)),"")</f>
        <v/>
      </c>
      <c r="G698" s="9" t="str">
        <f>IF($E698="Yes",COUNTIF($E$2:$E698,"Yes"),"")</f>
        <v/>
      </c>
      <c r="H698" s="3" t="str">
        <f t="shared" si="10"/>
        <v/>
      </c>
    </row>
    <row r="699" spans="1:8" ht="14.25" customHeight="1" x14ac:dyDescent="0.3">
      <c r="A699" s="7"/>
      <c r="B699" s="7"/>
      <c r="C699" s="7"/>
      <c r="D699" s="7"/>
      <c r="E699" s="7"/>
      <c r="F699" s="9" t="str">
        <f>IFERROR(INDEX($A$2:$A$1000,MATCH(ROWS($F$2:F699),$G$2:$G$1000,0)),"")</f>
        <v/>
      </c>
      <c r="G699" s="9" t="str">
        <f>IF($E699="Yes",COUNTIF($E$2:$E699,"Yes"),"")</f>
        <v/>
      </c>
      <c r="H699" s="3" t="str">
        <f t="shared" si="10"/>
        <v/>
      </c>
    </row>
    <row r="700" spans="1:8" ht="14.25" customHeight="1" x14ac:dyDescent="0.3">
      <c r="A700" s="7"/>
      <c r="B700" s="7"/>
      <c r="C700" s="7"/>
      <c r="D700" s="7"/>
      <c r="E700" s="7"/>
      <c r="F700" s="9" t="str">
        <f>IFERROR(INDEX($A$2:$A$1000,MATCH(ROWS($F$2:F700),$G$2:$G$1000,0)),"")</f>
        <v/>
      </c>
      <c r="G700" s="9" t="str">
        <f>IF($E700="Yes",COUNTIF($E$2:$E700,"Yes"),"")</f>
        <v/>
      </c>
      <c r="H700" s="3" t="str">
        <f t="shared" si="10"/>
        <v/>
      </c>
    </row>
    <row r="701" spans="1:8" ht="14.25" customHeight="1" x14ac:dyDescent="0.3">
      <c r="A701" s="7"/>
      <c r="B701" s="7"/>
      <c r="C701" s="7"/>
      <c r="D701" s="7"/>
      <c r="E701" s="7"/>
      <c r="F701" s="9" t="str">
        <f>IFERROR(INDEX($A$2:$A$1000,MATCH(ROWS($F$2:F701),$G$2:$G$1000,0)),"")</f>
        <v/>
      </c>
      <c r="G701" s="9" t="str">
        <f>IF($E701="Yes",COUNTIF($E$2:$E701,"Yes"),"")</f>
        <v/>
      </c>
      <c r="H701" s="3" t="str">
        <f t="shared" si="10"/>
        <v/>
      </c>
    </row>
    <row r="702" spans="1:8" ht="14.25" customHeight="1" x14ac:dyDescent="0.3">
      <c r="A702" s="7"/>
      <c r="B702" s="7"/>
      <c r="C702" s="7"/>
      <c r="D702" s="7"/>
      <c r="E702" s="7"/>
      <c r="F702" s="9" t="str">
        <f>IFERROR(INDEX($A$2:$A$1000,MATCH(ROWS($F$2:F702),$G$2:$G$1000,0)),"")</f>
        <v/>
      </c>
      <c r="G702" s="9" t="str">
        <f>IF($E702="Yes",COUNTIF($E$2:$E702,"Yes"),"")</f>
        <v/>
      </c>
      <c r="H702" s="3" t="str">
        <f t="shared" si="10"/>
        <v/>
      </c>
    </row>
    <row r="703" spans="1:8" ht="14.25" customHeight="1" x14ac:dyDescent="0.3">
      <c r="A703" s="7"/>
      <c r="B703" s="7"/>
      <c r="C703" s="7"/>
      <c r="D703" s="7"/>
      <c r="E703" s="7"/>
      <c r="F703" s="9" t="str">
        <f>IFERROR(INDEX($A$2:$A$1000,MATCH(ROWS($F$2:F703),$G$2:$G$1000,0)),"")</f>
        <v/>
      </c>
      <c r="G703" s="9" t="str">
        <f>IF($E703="Yes",COUNTIF($E$2:$E703,"Yes"),"")</f>
        <v/>
      </c>
      <c r="H703" s="3" t="str">
        <f t="shared" si="10"/>
        <v/>
      </c>
    </row>
    <row r="704" spans="1:8" ht="14.25" customHeight="1" x14ac:dyDescent="0.3">
      <c r="A704" s="7"/>
      <c r="B704" s="7"/>
      <c r="C704" s="7"/>
      <c r="D704" s="7"/>
      <c r="E704" s="7"/>
      <c r="F704" s="9" t="str">
        <f>IFERROR(INDEX($A$2:$A$1000,MATCH(ROWS($F$2:F704),$G$2:$G$1000,0)),"")</f>
        <v/>
      </c>
      <c r="G704" s="9" t="str">
        <f>IF($E704="Yes",COUNTIF($E$2:$E704,"Yes"),"")</f>
        <v/>
      </c>
      <c r="H704" s="3" t="str">
        <f t="shared" si="10"/>
        <v/>
      </c>
    </row>
    <row r="705" spans="1:8" ht="14.25" customHeight="1" x14ac:dyDescent="0.3">
      <c r="A705" s="7"/>
      <c r="B705" s="7"/>
      <c r="C705" s="7"/>
      <c r="D705" s="7"/>
      <c r="E705" s="7"/>
      <c r="F705" s="9" t="str">
        <f>IFERROR(INDEX($A$2:$A$1000,MATCH(ROWS($F$2:F705),$G$2:$G$1000,0)),"")</f>
        <v/>
      </c>
      <c r="G705" s="9" t="str">
        <f>IF($E705="Yes",COUNTIF($E$2:$E705,"Yes"),"")</f>
        <v/>
      </c>
      <c r="H705" s="3" t="str">
        <f t="shared" si="10"/>
        <v/>
      </c>
    </row>
    <row r="706" spans="1:8" ht="14.25" customHeight="1" x14ac:dyDescent="0.3">
      <c r="A706" s="7"/>
      <c r="B706" s="7"/>
      <c r="C706" s="7"/>
      <c r="D706" s="7"/>
      <c r="E706" s="7"/>
      <c r="F706" s="9" t="str">
        <f>IFERROR(INDEX($A$2:$A$1000,MATCH(ROWS($F$2:F706),$G$2:$G$1000,0)),"")</f>
        <v/>
      </c>
      <c r="G706" s="9" t="str">
        <f>IF($E706="Yes",COUNTIF($E$2:$E706,"Yes"),"")</f>
        <v/>
      </c>
      <c r="H706" s="3" t="str">
        <f t="shared" ref="H706:H769" si="11">IF(COUNTA(A706:E706)=0,"",IF(COUNTIF($A$2:$A$1000,A706)&gt;1,"DUPLICATE YEAR_SEM",IF(OR(B706&lt;1,B706&gt;4,C706&lt;1,C706&gt;2),"INVALID YEAR/SEMESTER","OK")))</f>
        <v/>
      </c>
    </row>
    <row r="707" spans="1:8" ht="14.25" customHeight="1" x14ac:dyDescent="0.3">
      <c r="A707" s="7"/>
      <c r="B707" s="7"/>
      <c r="C707" s="7"/>
      <c r="D707" s="7"/>
      <c r="E707" s="7"/>
      <c r="F707" s="9" t="str">
        <f>IFERROR(INDEX($A$2:$A$1000,MATCH(ROWS($F$2:F707),$G$2:$G$1000,0)),"")</f>
        <v/>
      </c>
      <c r="G707" s="9" t="str">
        <f>IF($E707="Yes",COUNTIF($E$2:$E707,"Yes"),"")</f>
        <v/>
      </c>
      <c r="H707" s="3" t="str">
        <f t="shared" si="11"/>
        <v/>
      </c>
    </row>
    <row r="708" spans="1:8" ht="14.25" customHeight="1" x14ac:dyDescent="0.3">
      <c r="A708" s="7"/>
      <c r="B708" s="7"/>
      <c r="C708" s="7"/>
      <c r="D708" s="7"/>
      <c r="E708" s="7"/>
      <c r="F708" s="9" t="str">
        <f>IFERROR(INDEX($A$2:$A$1000,MATCH(ROWS($F$2:F708),$G$2:$G$1000,0)),"")</f>
        <v/>
      </c>
      <c r="G708" s="9" t="str">
        <f>IF($E708="Yes",COUNTIF($E$2:$E708,"Yes"),"")</f>
        <v/>
      </c>
      <c r="H708" s="3" t="str">
        <f t="shared" si="11"/>
        <v/>
      </c>
    </row>
    <row r="709" spans="1:8" ht="14.25" customHeight="1" x14ac:dyDescent="0.3">
      <c r="A709" s="7"/>
      <c r="B709" s="7"/>
      <c r="C709" s="7"/>
      <c r="D709" s="7"/>
      <c r="E709" s="7"/>
      <c r="F709" s="9" t="str">
        <f>IFERROR(INDEX($A$2:$A$1000,MATCH(ROWS($F$2:F709),$G$2:$G$1000,0)),"")</f>
        <v/>
      </c>
      <c r="G709" s="9" t="str">
        <f>IF($E709="Yes",COUNTIF($E$2:$E709,"Yes"),"")</f>
        <v/>
      </c>
      <c r="H709" s="3" t="str">
        <f t="shared" si="11"/>
        <v/>
      </c>
    </row>
    <row r="710" spans="1:8" ht="14.25" customHeight="1" x14ac:dyDescent="0.3">
      <c r="A710" s="7"/>
      <c r="B710" s="7"/>
      <c r="C710" s="7"/>
      <c r="D710" s="7"/>
      <c r="E710" s="7"/>
      <c r="F710" s="9" t="str">
        <f>IFERROR(INDEX($A$2:$A$1000,MATCH(ROWS($F$2:F710),$G$2:$G$1000,0)),"")</f>
        <v/>
      </c>
      <c r="G710" s="9" t="str">
        <f>IF($E710="Yes",COUNTIF($E$2:$E710,"Yes"),"")</f>
        <v/>
      </c>
      <c r="H710" s="3" t="str">
        <f t="shared" si="11"/>
        <v/>
      </c>
    </row>
    <row r="711" spans="1:8" ht="14.25" customHeight="1" x14ac:dyDescent="0.3">
      <c r="A711" s="7"/>
      <c r="B711" s="7"/>
      <c r="C711" s="7"/>
      <c r="D711" s="7"/>
      <c r="E711" s="7"/>
      <c r="F711" s="9" t="str">
        <f>IFERROR(INDEX($A$2:$A$1000,MATCH(ROWS($F$2:F711),$G$2:$G$1000,0)),"")</f>
        <v/>
      </c>
      <c r="G711" s="9" t="str">
        <f>IF($E711="Yes",COUNTIF($E$2:$E711,"Yes"),"")</f>
        <v/>
      </c>
      <c r="H711" s="3" t="str">
        <f t="shared" si="11"/>
        <v/>
      </c>
    </row>
    <row r="712" spans="1:8" ht="14.25" customHeight="1" x14ac:dyDescent="0.3">
      <c r="A712" s="7"/>
      <c r="B712" s="7"/>
      <c r="C712" s="7"/>
      <c r="D712" s="7"/>
      <c r="E712" s="7"/>
      <c r="F712" s="9" t="str">
        <f>IFERROR(INDEX($A$2:$A$1000,MATCH(ROWS($F$2:F712),$G$2:$G$1000,0)),"")</f>
        <v/>
      </c>
      <c r="G712" s="9" t="str">
        <f>IF($E712="Yes",COUNTIF($E$2:$E712,"Yes"),"")</f>
        <v/>
      </c>
      <c r="H712" s="3" t="str">
        <f t="shared" si="11"/>
        <v/>
      </c>
    </row>
    <row r="713" spans="1:8" ht="14.25" customHeight="1" x14ac:dyDescent="0.3">
      <c r="A713" s="7"/>
      <c r="B713" s="7"/>
      <c r="C713" s="7"/>
      <c r="D713" s="7"/>
      <c r="E713" s="7"/>
      <c r="F713" s="9" t="str">
        <f>IFERROR(INDEX($A$2:$A$1000,MATCH(ROWS($F$2:F713),$G$2:$G$1000,0)),"")</f>
        <v/>
      </c>
      <c r="G713" s="9" t="str">
        <f>IF($E713="Yes",COUNTIF($E$2:$E713,"Yes"),"")</f>
        <v/>
      </c>
      <c r="H713" s="3" t="str">
        <f t="shared" si="11"/>
        <v/>
      </c>
    </row>
    <row r="714" spans="1:8" ht="14.25" customHeight="1" x14ac:dyDescent="0.3">
      <c r="A714" s="7"/>
      <c r="B714" s="7"/>
      <c r="C714" s="7"/>
      <c r="D714" s="7"/>
      <c r="E714" s="7"/>
      <c r="F714" s="9" t="str">
        <f>IFERROR(INDEX($A$2:$A$1000,MATCH(ROWS($F$2:F714),$G$2:$G$1000,0)),"")</f>
        <v/>
      </c>
      <c r="G714" s="9" t="str">
        <f>IF($E714="Yes",COUNTIF($E$2:$E714,"Yes"),"")</f>
        <v/>
      </c>
      <c r="H714" s="3" t="str">
        <f t="shared" si="11"/>
        <v/>
      </c>
    </row>
    <row r="715" spans="1:8" ht="14.25" customHeight="1" x14ac:dyDescent="0.3">
      <c r="A715" s="7"/>
      <c r="B715" s="7"/>
      <c r="C715" s="7"/>
      <c r="D715" s="7"/>
      <c r="E715" s="7"/>
      <c r="F715" s="9" t="str">
        <f>IFERROR(INDEX($A$2:$A$1000,MATCH(ROWS($F$2:F715),$G$2:$G$1000,0)),"")</f>
        <v/>
      </c>
      <c r="G715" s="9" t="str">
        <f>IF($E715="Yes",COUNTIF($E$2:$E715,"Yes"),"")</f>
        <v/>
      </c>
      <c r="H715" s="3" t="str">
        <f t="shared" si="11"/>
        <v/>
      </c>
    </row>
    <row r="716" spans="1:8" ht="14.25" customHeight="1" x14ac:dyDescent="0.3">
      <c r="A716" s="7"/>
      <c r="B716" s="7"/>
      <c r="C716" s="7"/>
      <c r="D716" s="7"/>
      <c r="E716" s="7"/>
      <c r="F716" s="9" t="str">
        <f>IFERROR(INDEX($A$2:$A$1000,MATCH(ROWS($F$2:F716),$G$2:$G$1000,0)),"")</f>
        <v/>
      </c>
      <c r="G716" s="9" t="str">
        <f>IF($E716="Yes",COUNTIF($E$2:$E716,"Yes"),"")</f>
        <v/>
      </c>
      <c r="H716" s="3" t="str">
        <f t="shared" si="11"/>
        <v/>
      </c>
    </row>
    <row r="717" spans="1:8" ht="14.25" customHeight="1" x14ac:dyDescent="0.3">
      <c r="A717" s="7"/>
      <c r="B717" s="7"/>
      <c r="C717" s="7"/>
      <c r="D717" s="7"/>
      <c r="E717" s="7"/>
      <c r="F717" s="9" t="str">
        <f>IFERROR(INDEX($A$2:$A$1000,MATCH(ROWS($F$2:F717),$G$2:$G$1000,0)),"")</f>
        <v/>
      </c>
      <c r="G717" s="9" t="str">
        <f>IF($E717="Yes",COUNTIF($E$2:$E717,"Yes"),"")</f>
        <v/>
      </c>
      <c r="H717" s="3" t="str">
        <f t="shared" si="11"/>
        <v/>
      </c>
    </row>
    <row r="718" spans="1:8" ht="14.25" customHeight="1" x14ac:dyDescent="0.3">
      <c r="A718" s="7"/>
      <c r="B718" s="7"/>
      <c r="C718" s="7"/>
      <c r="D718" s="7"/>
      <c r="E718" s="7"/>
      <c r="F718" s="9" t="str">
        <f>IFERROR(INDEX($A$2:$A$1000,MATCH(ROWS($F$2:F718),$G$2:$G$1000,0)),"")</f>
        <v/>
      </c>
      <c r="G718" s="9" t="str">
        <f>IF($E718="Yes",COUNTIF($E$2:$E718,"Yes"),"")</f>
        <v/>
      </c>
      <c r="H718" s="3" t="str">
        <f t="shared" si="11"/>
        <v/>
      </c>
    </row>
    <row r="719" spans="1:8" ht="14.25" customHeight="1" x14ac:dyDescent="0.3">
      <c r="A719" s="7"/>
      <c r="B719" s="7"/>
      <c r="C719" s="7"/>
      <c r="D719" s="7"/>
      <c r="E719" s="7"/>
      <c r="F719" s="9" t="str">
        <f>IFERROR(INDEX($A$2:$A$1000,MATCH(ROWS($F$2:F719),$G$2:$G$1000,0)),"")</f>
        <v/>
      </c>
      <c r="G719" s="9" t="str">
        <f>IF($E719="Yes",COUNTIF($E$2:$E719,"Yes"),"")</f>
        <v/>
      </c>
      <c r="H719" s="3" t="str">
        <f t="shared" si="11"/>
        <v/>
      </c>
    </row>
    <row r="720" spans="1:8" ht="14.25" customHeight="1" x14ac:dyDescent="0.3">
      <c r="A720" s="7"/>
      <c r="B720" s="7"/>
      <c r="C720" s="7"/>
      <c r="D720" s="7"/>
      <c r="E720" s="7"/>
      <c r="F720" s="9" t="str">
        <f>IFERROR(INDEX($A$2:$A$1000,MATCH(ROWS($F$2:F720),$G$2:$G$1000,0)),"")</f>
        <v/>
      </c>
      <c r="G720" s="9" t="str">
        <f>IF($E720="Yes",COUNTIF($E$2:$E720,"Yes"),"")</f>
        <v/>
      </c>
      <c r="H720" s="3" t="str">
        <f t="shared" si="11"/>
        <v/>
      </c>
    </row>
    <row r="721" spans="1:8" ht="14.25" customHeight="1" x14ac:dyDescent="0.3">
      <c r="A721" s="7"/>
      <c r="B721" s="7"/>
      <c r="C721" s="7"/>
      <c r="D721" s="7"/>
      <c r="E721" s="7"/>
      <c r="F721" s="9" t="str">
        <f>IFERROR(INDEX($A$2:$A$1000,MATCH(ROWS($F$2:F721),$G$2:$G$1000,0)),"")</f>
        <v/>
      </c>
      <c r="G721" s="9" t="str">
        <f>IF($E721="Yes",COUNTIF($E$2:$E721,"Yes"),"")</f>
        <v/>
      </c>
      <c r="H721" s="3" t="str">
        <f t="shared" si="11"/>
        <v/>
      </c>
    </row>
    <row r="722" spans="1:8" ht="14.25" customHeight="1" x14ac:dyDescent="0.3">
      <c r="A722" s="7"/>
      <c r="B722" s="7"/>
      <c r="C722" s="7"/>
      <c r="D722" s="7"/>
      <c r="E722" s="7"/>
      <c r="F722" s="9" t="str">
        <f>IFERROR(INDEX($A$2:$A$1000,MATCH(ROWS($F$2:F722),$G$2:$G$1000,0)),"")</f>
        <v/>
      </c>
      <c r="G722" s="9" t="str">
        <f>IF($E722="Yes",COUNTIF($E$2:$E722,"Yes"),"")</f>
        <v/>
      </c>
      <c r="H722" s="3" t="str">
        <f t="shared" si="11"/>
        <v/>
      </c>
    </row>
    <row r="723" spans="1:8" ht="14.25" customHeight="1" x14ac:dyDescent="0.3">
      <c r="A723" s="7"/>
      <c r="B723" s="7"/>
      <c r="C723" s="7"/>
      <c r="D723" s="7"/>
      <c r="E723" s="7"/>
      <c r="F723" s="9" t="str">
        <f>IFERROR(INDEX($A$2:$A$1000,MATCH(ROWS($F$2:F723),$G$2:$G$1000,0)),"")</f>
        <v/>
      </c>
      <c r="G723" s="9" t="str">
        <f>IF($E723="Yes",COUNTIF($E$2:$E723,"Yes"),"")</f>
        <v/>
      </c>
      <c r="H723" s="3" t="str">
        <f t="shared" si="11"/>
        <v/>
      </c>
    </row>
    <row r="724" spans="1:8" ht="14.25" customHeight="1" x14ac:dyDescent="0.3">
      <c r="A724" s="7"/>
      <c r="B724" s="7"/>
      <c r="C724" s="7"/>
      <c r="D724" s="7"/>
      <c r="E724" s="7"/>
      <c r="F724" s="9" t="str">
        <f>IFERROR(INDEX($A$2:$A$1000,MATCH(ROWS($F$2:F724),$G$2:$G$1000,0)),"")</f>
        <v/>
      </c>
      <c r="G724" s="9" t="str">
        <f>IF($E724="Yes",COUNTIF($E$2:$E724,"Yes"),"")</f>
        <v/>
      </c>
      <c r="H724" s="3" t="str">
        <f t="shared" si="11"/>
        <v/>
      </c>
    </row>
    <row r="725" spans="1:8" ht="14.25" customHeight="1" x14ac:dyDescent="0.3">
      <c r="A725" s="7"/>
      <c r="B725" s="7"/>
      <c r="C725" s="7"/>
      <c r="D725" s="7"/>
      <c r="E725" s="7"/>
      <c r="F725" s="9" t="str">
        <f>IFERROR(INDEX($A$2:$A$1000,MATCH(ROWS($F$2:F725),$G$2:$G$1000,0)),"")</f>
        <v/>
      </c>
      <c r="G725" s="9" t="str">
        <f>IF($E725="Yes",COUNTIF($E$2:$E725,"Yes"),"")</f>
        <v/>
      </c>
      <c r="H725" s="3" t="str">
        <f t="shared" si="11"/>
        <v/>
      </c>
    </row>
    <row r="726" spans="1:8" ht="14.25" customHeight="1" x14ac:dyDescent="0.3">
      <c r="A726" s="7"/>
      <c r="B726" s="7"/>
      <c r="C726" s="7"/>
      <c r="D726" s="7"/>
      <c r="E726" s="7"/>
      <c r="F726" s="9" t="str">
        <f>IFERROR(INDEX($A$2:$A$1000,MATCH(ROWS($F$2:F726),$G$2:$G$1000,0)),"")</f>
        <v/>
      </c>
      <c r="G726" s="9" t="str">
        <f>IF($E726="Yes",COUNTIF($E$2:$E726,"Yes"),"")</f>
        <v/>
      </c>
      <c r="H726" s="3" t="str">
        <f t="shared" si="11"/>
        <v/>
      </c>
    </row>
    <row r="727" spans="1:8" ht="14.25" customHeight="1" x14ac:dyDescent="0.3">
      <c r="A727" s="7"/>
      <c r="B727" s="7"/>
      <c r="C727" s="7"/>
      <c r="D727" s="7"/>
      <c r="E727" s="7"/>
      <c r="F727" s="9" t="str">
        <f>IFERROR(INDEX($A$2:$A$1000,MATCH(ROWS($F$2:F727),$G$2:$G$1000,0)),"")</f>
        <v/>
      </c>
      <c r="G727" s="9" t="str">
        <f>IF($E727="Yes",COUNTIF($E$2:$E727,"Yes"),"")</f>
        <v/>
      </c>
      <c r="H727" s="3" t="str">
        <f t="shared" si="11"/>
        <v/>
      </c>
    </row>
    <row r="728" spans="1:8" ht="14.25" customHeight="1" x14ac:dyDescent="0.3">
      <c r="A728" s="7"/>
      <c r="B728" s="7"/>
      <c r="C728" s="7"/>
      <c r="D728" s="7"/>
      <c r="E728" s="7"/>
      <c r="F728" s="9" t="str">
        <f>IFERROR(INDEX($A$2:$A$1000,MATCH(ROWS($F$2:F728),$G$2:$G$1000,0)),"")</f>
        <v/>
      </c>
      <c r="G728" s="9" t="str">
        <f>IF($E728="Yes",COUNTIF($E$2:$E728,"Yes"),"")</f>
        <v/>
      </c>
      <c r="H728" s="3" t="str">
        <f t="shared" si="11"/>
        <v/>
      </c>
    </row>
    <row r="729" spans="1:8" ht="14.25" customHeight="1" x14ac:dyDescent="0.3">
      <c r="A729" s="7"/>
      <c r="B729" s="7"/>
      <c r="C729" s="7"/>
      <c r="D729" s="7"/>
      <c r="E729" s="7"/>
      <c r="F729" s="9" t="str">
        <f>IFERROR(INDEX($A$2:$A$1000,MATCH(ROWS($F$2:F729),$G$2:$G$1000,0)),"")</f>
        <v/>
      </c>
      <c r="G729" s="9" t="str">
        <f>IF($E729="Yes",COUNTIF($E$2:$E729,"Yes"),"")</f>
        <v/>
      </c>
      <c r="H729" s="3" t="str">
        <f t="shared" si="11"/>
        <v/>
      </c>
    </row>
    <row r="730" spans="1:8" ht="14.25" customHeight="1" x14ac:dyDescent="0.3">
      <c r="A730" s="7"/>
      <c r="B730" s="7"/>
      <c r="C730" s="7"/>
      <c r="D730" s="7"/>
      <c r="E730" s="7"/>
      <c r="F730" s="9" t="str">
        <f>IFERROR(INDEX($A$2:$A$1000,MATCH(ROWS($F$2:F730),$G$2:$G$1000,0)),"")</f>
        <v/>
      </c>
      <c r="G730" s="9" t="str">
        <f>IF($E730="Yes",COUNTIF($E$2:$E730,"Yes"),"")</f>
        <v/>
      </c>
      <c r="H730" s="3" t="str">
        <f t="shared" si="11"/>
        <v/>
      </c>
    </row>
    <row r="731" spans="1:8" ht="14.25" customHeight="1" x14ac:dyDescent="0.3">
      <c r="A731" s="7"/>
      <c r="B731" s="7"/>
      <c r="C731" s="7"/>
      <c r="D731" s="7"/>
      <c r="E731" s="7"/>
      <c r="F731" s="9" t="str">
        <f>IFERROR(INDEX($A$2:$A$1000,MATCH(ROWS($F$2:F731),$G$2:$G$1000,0)),"")</f>
        <v/>
      </c>
      <c r="G731" s="9" t="str">
        <f>IF($E731="Yes",COUNTIF($E$2:$E731,"Yes"),"")</f>
        <v/>
      </c>
      <c r="H731" s="3" t="str">
        <f t="shared" si="11"/>
        <v/>
      </c>
    </row>
    <row r="732" spans="1:8" ht="14.25" customHeight="1" x14ac:dyDescent="0.3">
      <c r="A732" s="7"/>
      <c r="B732" s="7"/>
      <c r="C732" s="7"/>
      <c r="D732" s="7"/>
      <c r="E732" s="7"/>
      <c r="F732" s="9" t="str">
        <f>IFERROR(INDEX($A$2:$A$1000,MATCH(ROWS($F$2:F732),$G$2:$G$1000,0)),"")</f>
        <v/>
      </c>
      <c r="G732" s="9" t="str">
        <f>IF($E732="Yes",COUNTIF($E$2:$E732,"Yes"),"")</f>
        <v/>
      </c>
      <c r="H732" s="3" t="str">
        <f t="shared" si="11"/>
        <v/>
      </c>
    </row>
    <row r="733" spans="1:8" ht="14.25" customHeight="1" x14ac:dyDescent="0.3">
      <c r="A733" s="7"/>
      <c r="B733" s="7"/>
      <c r="C733" s="7"/>
      <c r="D733" s="7"/>
      <c r="E733" s="7"/>
      <c r="F733" s="9" t="str">
        <f>IFERROR(INDEX($A$2:$A$1000,MATCH(ROWS($F$2:F733),$G$2:$G$1000,0)),"")</f>
        <v/>
      </c>
      <c r="G733" s="9" t="str">
        <f>IF($E733="Yes",COUNTIF($E$2:$E733,"Yes"),"")</f>
        <v/>
      </c>
      <c r="H733" s="3" t="str">
        <f t="shared" si="11"/>
        <v/>
      </c>
    </row>
    <row r="734" spans="1:8" ht="14.25" customHeight="1" x14ac:dyDescent="0.3">
      <c r="A734" s="7"/>
      <c r="B734" s="7"/>
      <c r="C734" s="7"/>
      <c r="D734" s="7"/>
      <c r="E734" s="7"/>
      <c r="F734" s="9" t="str">
        <f>IFERROR(INDEX($A$2:$A$1000,MATCH(ROWS($F$2:F734),$G$2:$G$1000,0)),"")</f>
        <v/>
      </c>
      <c r="G734" s="9" t="str">
        <f>IF($E734="Yes",COUNTIF($E$2:$E734,"Yes"),"")</f>
        <v/>
      </c>
      <c r="H734" s="3" t="str">
        <f t="shared" si="11"/>
        <v/>
      </c>
    </row>
    <row r="735" spans="1:8" ht="14.25" customHeight="1" x14ac:dyDescent="0.3">
      <c r="A735" s="7"/>
      <c r="B735" s="7"/>
      <c r="C735" s="7"/>
      <c r="D735" s="7"/>
      <c r="E735" s="7"/>
      <c r="F735" s="9" t="str">
        <f>IFERROR(INDEX($A$2:$A$1000,MATCH(ROWS($F$2:F735),$G$2:$G$1000,0)),"")</f>
        <v/>
      </c>
      <c r="G735" s="9" t="str">
        <f>IF($E735="Yes",COUNTIF($E$2:$E735,"Yes"),"")</f>
        <v/>
      </c>
      <c r="H735" s="3" t="str">
        <f t="shared" si="11"/>
        <v/>
      </c>
    </row>
    <row r="736" spans="1:8" ht="14.25" customHeight="1" x14ac:dyDescent="0.3">
      <c r="A736" s="7"/>
      <c r="B736" s="7"/>
      <c r="C736" s="7"/>
      <c r="D736" s="7"/>
      <c r="E736" s="7"/>
      <c r="F736" s="9" t="str">
        <f>IFERROR(INDEX($A$2:$A$1000,MATCH(ROWS($F$2:F736),$G$2:$G$1000,0)),"")</f>
        <v/>
      </c>
      <c r="G736" s="9" t="str">
        <f>IF($E736="Yes",COUNTIF($E$2:$E736,"Yes"),"")</f>
        <v/>
      </c>
      <c r="H736" s="3" t="str">
        <f t="shared" si="11"/>
        <v/>
      </c>
    </row>
    <row r="737" spans="1:8" ht="14.25" customHeight="1" x14ac:dyDescent="0.3">
      <c r="A737" s="7"/>
      <c r="B737" s="7"/>
      <c r="C737" s="7"/>
      <c r="D737" s="7"/>
      <c r="E737" s="7"/>
      <c r="F737" s="9" t="str">
        <f>IFERROR(INDEX($A$2:$A$1000,MATCH(ROWS($F$2:F737),$G$2:$G$1000,0)),"")</f>
        <v/>
      </c>
      <c r="G737" s="9" t="str">
        <f>IF($E737="Yes",COUNTIF($E$2:$E737,"Yes"),"")</f>
        <v/>
      </c>
      <c r="H737" s="3" t="str">
        <f t="shared" si="11"/>
        <v/>
      </c>
    </row>
    <row r="738" spans="1:8" ht="14.25" customHeight="1" x14ac:dyDescent="0.3">
      <c r="A738" s="7"/>
      <c r="B738" s="7"/>
      <c r="C738" s="7"/>
      <c r="D738" s="7"/>
      <c r="E738" s="7"/>
      <c r="F738" s="9" t="str">
        <f>IFERROR(INDEX($A$2:$A$1000,MATCH(ROWS($F$2:F738),$G$2:$G$1000,0)),"")</f>
        <v/>
      </c>
      <c r="G738" s="9" t="str">
        <f>IF($E738="Yes",COUNTIF($E$2:$E738,"Yes"),"")</f>
        <v/>
      </c>
      <c r="H738" s="3" t="str">
        <f t="shared" si="11"/>
        <v/>
      </c>
    </row>
    <row r="739" spans="1:8" ht="14.25" customHeight="1" x14ac:dyDescent="0.3">
      <c r="A739" s="7"/>
      <c r="B739" s="7"/>
      <c r="C739" s="7"/>
      <c r="D739" s="7"/>
      <c r="E739" s="7"/>
      <c r="F739" s="9" t="str">
        <f>IFERROR(INDEX($A$2:$A$1000,MATCH(ROWS($F$2:F739),$G$2:$G$1000,0)),"")</f>
        <v/>
      </c>
      <c r="G739" s="9" t="str">
        <f>IF($E739="Yes",COUNTIF($E$2:$E739,"Yes"),"")</f>
        <v/>
      </c>
      <c r="H739" s="3" t="str">
        <f t="shared" si="11"/>
        <v/>
      </c>
    </row>
    <row r="740" spans="1:8" ht="14.25" customHeight="1" x14ac:dyDescent="0.3">
      <c r="A740" s="7"/>
      <c r="B740" s="7"/>
      <c r="C740" s="7"/>
      <c r="D740" s="7"/>
      <c r="E740" s="7"/>
      <c r="F740" s="9" t="str">
        <f>IFERROR(INDEX($A$2:$A$1000,MATCH(ROWS($F$2:F740),$G$2:$G$1000,0)),"")</f>
        <v/>
      </c>
      <c r="G740" s="9" t="str">
        <f>IF($E740="Yes",COUNTIF($E$2:$E740,"Yes"),"")</f>
        <v/>
      </c>
      <c r="H740" s="3" t="str">
        <f t="shared" si="11"/>
        <v/>
      </c>
    </row>
    <row r="741" spans="1:8" ht="14.25" customHeight="1" x14ac:dyDescent="0.3">
      <c r="A741" s="7"/>
      <c r="B741" s="7"/>
      <c r="C741" s="7"/>
      <c r="D741" s="7"/>
      <c r="E741" s="7"/>
      <c r="F741" s="9" t="str">
        <f>IFERROR(INDEX($A$2:$A$1000,MATCH(ROWS($F$2:F741),$G$2:$G$1000,0)),"")</f>
        <v/>
      </c>
      <c r="G741" s="9" t="str">
        <f>IF($E741="Yes",COUNTIF($E$2:$E741,"Yes"),"")</f>
        <v/>
      </c>
      <c r="H741" s="3" t="str">
        <f t="shared" si="11"/>
        <v/>
      </c>
    </row>
    <row r="742" spans="1:8" ht="14.25" customHeight="1" x14ac:dyDescent="0.3">
      <c r="A742" s="7"/>
      <c r="B742" s="7"/>
      <c r="C742" s="7"/>
      <c r="D742" s="7"/>
      <c r="E742" s="7"/>
      <c r="F742" s="9" t="str">
        <f>IFERROR(INDEX($A$2:$A$1000,MATCH(ROWS($F$2:F742),$G$2:$G$1000,0)),"")</f>
        <v/>
      </c>
      <c r="G742" s="9" t="str">
        <f>IF($E742="Yes",COUNTIF($E$2:$E742,"Yes"),"")</f>
        <v/>
      </c>
      <c r="H742" s="3" t="str">
        <f t="shared" si="11"/>
        <v/>
      </c>
    </row>
    <row r="743" spans="1:8" ht="14.25" customHeight="1" x14ac:dyDescent="0.3">
      <c r="A743" s="7"/>
      <c r="B743" s="7"/>
      <c r="C743" s="7"/>
      <c r="D743" s="7"/>
      <c r="E743" s="7"/>
      <c r="F743" s="9" t="str">
        <f>IFERROR(INDEX($A$2:$A$1000,MATCH(ROWS($F$2:F743),$G$2:$G$1000,0)),"")</f>
        <v/>
      </c>
      <c r="G743" s="9" t="str">
        <f>IF($E743="Yes",COUNTIF($E$2:$E743,"Yes"),"")</f>
        <v/>
      </c>
      <c r="H743" s="3" t="str">
        <f t="shared" si="11"/>
        <v/>
      </c>
    </row>
    <row r="744" spans="1:8" ht="14.25" customHeight="1" x14ac:dyDescent="0.3">
      <c r="A744" s="7"/>
      <c r="B744" s="7"/>
      <c r="C744" s="7"/>
      <c r="D744" s="7"/>
      <c r="E744" s="7"/>
      <c r="F744" s="9" t="str">
        <f>IFERROR(INDEX($A$2:$A$1000,MATCH(ROWS($F$2:F744),$G$2:$G$1000,0)),"")</f>
        <v/>
      </c>
      <c r="G744" s="9" t="str">
        <f>IF($E744="Yes",COUNTIF($E$2:$E744,"Yes"),"")</f>
        <v/>
      </c>
      <c r="H744" s="3" t="str">
        <f t="shared" si="11"/>
        <v/>
      </c>
    </row>
    <row r="745" spans="1:8" ht="14.25" customHeight="1" x14ac:dyDescent="0.3">
      <c r="A745" s="7"/>
      <c r="B745" s="7"/>
      <c r="C745" s="7"/>
      <c r="D745" s="7"/>
      <c r="E745" s="7"/>
      <c r="F745" s="9" t="str">
        <f>IFERROR(INDEX($A$2:$A$1000,MATCH(ROWS($F$2:F745),$G$2:$G$1000,0)),"")</f>
        <v/>
      </c>
      <c r="G745" s="9" t="str">
        <f>IF($E745="Yes",COUNTIF($E$2:$E745,"Yes"),"")</f>
        <v/>
      </c>
      <c r="H745" s="3" t="str">
        <f t="shared" si="11"/>
        <v/>
      </c>
    </row>
    <row r="746" spans="1:8" ht="14.25" customHeight="1" x14ac:dyDescent="0.3">
      <c r="A746" s="7"/>
      <c r="B746" s="7"/>
      <c r="C746" s="7"/>
      <c r="D746" s="7"/>
      <c r="E746" s="7"/>
      <c r="F746" s="9" t="str">
        <f>IFERROR(INDEX($A$2:$A$1000,MATCH(ROWS($F$2:F746),$G$2:$G$1000,0)),"")</f>
        <v/>
      </c>
      <c r="G746" s="9" t="str">
        <f>IF($E746="Yes",COUNTIF($E$2:$E746,"Yes"),"")</f>
        <v/>
      </c>
      <c r="H746" s="3" t="str">
        <f t="shared" si="11"/>
        <v/>
      </c>
    </row>
    <row r="747" spans="1:8" ht="14.25" customHeight="1" x14ac:dyDescent="0.3">
      <c r="A747" s="7"/>
      <c r="B747" s="7"/>
      <c r="C747" s="7"/>
      <c r="D747" s="7"/>
      <c r="E747" s="7"/>
      <c r="F747" s="9" t="str">
        <f>IFERROR(INDEX($A$2:$A$1000,MATCH(ROWS($F$2:F747),$G$2:$G$1000,0)),"")</f>
        <v/>
      </c>
      <c r="G747" s="9" t="str">
        <f>IF($E747="Yes",COUNTIF($E$2:$E747,"Yes"),"")</f>
        <v/>
      </c>
      <c r="H747" s="3" t="str">
        <f t="shared" si="11"/>
        <v/>
      </c>
    </row>
    <row r="748" spans="1:8" ht="14.25" customHeight="1" x14ac:dyDescent="0.3">
      <c r="A748" s="7"/>
      <c r="B748" s="7"/>
      <c r="C748" s="7"/>
      <c r="D748" s="7"/>
      <c r="E748" s="7"/>
      <c r="F748" s="9" t="str">
        <f>IFERROR(INDEX($A$2:$A$1000,MATCH(ROWS($F$2:F748),$G$2:$G$1000,0)),"")</f>
        <v/>
      </c>
      <c r="G748" s="9" t="str">
        <f>IF($E748="Yes",COUNTIF($E$2:$E748,"Yes"),"")</f>
        <v/>
      </c>
      <c r="H748" s="3" t="str">
        <f t="shared" si="11"/>
        <v/>
      </c>
    </row>
    <row r="749" spans="1:8" ht="14.25" customHeight="1" x14ac:dyDescent="0.3">
      <c r="A749" s="7"/>
      <c r="B749" s="7"/>
      <c r="C749" s="7"/>
      <c r="D749" s="7"/>
      <c r="E749" s="7"/>
      <c r="F749" s="9" t="str">
        <f>IFERROR(INDEX($A$2:$A$1000,MATCH(ROWS($F$2:F749),$G$2:$G$1000,0)),"")</f>
        <v/>
      </c>
      <c r="G749" s="9" t="str">
        <f>IF($E749="Yes",COUNTIF($E$2:$E749,"Yes"),"")</f>
        <v/>
      </c>
      <c r="H749" s="3" t="str">
        <f t="shared" si="11"/>
        <v/>
      </c>
    </row>
    <row r="750" spans="1:8" ht="14.25" customHeight="1" x14ac:dyDescent="0.3">
      <c r="A750" s="7"/>
      <c r="B750" s="7"/>
      <c r="C750" s="7"/>
      <c r="D750" s="7"/>
      <c r="E750" s="7"/>
      <c r="F750" s="9" t="str">
        <f>IFERROR(INDEX($A$2:$A$1000,MATCH(ROWS($F$2:F750),$G$2:$G$1000,0)),"")</f>
        <v/>
      </c>
      <c r="G750" s="9" t="str">
        <f>IF($E750="Yes",COUNTIF($E$2:$E750,"Yes"),"")</f>
        <v/>
      </c>
      <c r="H750" s="3" t="str">
        <f t="shared" si="11"/>
        <v/>
      </c>
    </row>
    <row r="751" spans="1:8" ht="14.25" customHeight="1" x14ac:dyDescent="0.3">
      <c r="A751" s="7"/>
      <c r="B751" s="7"/>
      <c r="C751" s="7"/>
      <c r="D751" s="7"/>
      <c r="E751" s="7"/>
      <c r="F751" s="9" t="str">
        <f>IFERROR(INDEX($A$2:$A$1000,MATCH(ROWS($F$2:F751),$G$2:$G$1000,0)),"")</f>
        <v/>
      </c>
      <c r="G751" s="9" t="str">
        <f>IF($E751="Yes",COUNTIF($E$2:$E751,"Yes"),"")</f>
        <v/>
      </c>
      <c r="H751" s="3" t="str">
        <f t="shared" si="11"/>
        <v/>
      </c>
    </row>
    <row r="752" spans="1:8" ht="14.25" customHeight="1" x14ac:dyDescent="0.3">
      <c r="A752" s="7"/>
      <c r="B752" s="7"/>
      <c r="C752" s="7"/>
      <c r="D752" s="7"/>
      <c r="E752" s="7"/>
      <c r="F752" s="9" t="str">
        <f>IFERROR(INDEX($A$2:$A$1000,MATCH(ROWS($F$2:F752),$G$2:$G$1000,0)),"")</f>
        <v/>
      </c>
      <c r="G752" s="9" t="str">
        <f>IF($E752="Yes",COUNTIF($E$2:$E752,"Yes"),"")</f>
        <v/>
      </c>
      <c r="H752" s="3" t="str">
        <f t="shared" si="11"/>
        <v/>
      </c>
    </row>
    <row r="753" spans="1:8" ht="14.25" customHeight="1" x14ac:dyDescent="0.3">
      <c r="A753" s="7"/>
      <c r="B753" s="7"/>
      <c r="C753" s="7"/>
      <c r="D753" s="7"/>
      <c r="E753" s="7"/>
      <c r="F753" s="9" t="str">
        <f>IFERROR(INDEX($A$2:$A$1000,MATCH(ROWS($F$2:F753),$G$2:$G$1000,0)),"")</f>
        <v/>
      </c>
      <c r="G753" s="9" t="str">
        <f>IF($E753="Yes",COUNTIF($E$2:$E753,"Yes"),"")</f>
        <v/>
      </c>
      <c r="H753" s="3" t="str">
        <f t="shared" si="11"/>
        <v/>
      </c>
    </row>
    <row r="754" spans="1:8" ht="14.25" customHeight="1" x14ac:dyDescent="0.3">
      <c r="A754" s="7"/>
      <c r="B754" s="7"/>
      <c r="C754" s="7"/>
      <c r="D754" s="7"/>
      <c r="E754" s="7"/>
      <c r="F754" s="9" t="str">
        <f>IFERROR(INDEX($A$2:$A$1000,MATCH(ROWS($F$2:F754),$G$2:$G$1000,0)),"")</f>
        <v/>
      </c>
      <c r="G754" s="9" t="str">
        <f>IF($E754="Yes",COUNTIF($E$2:$E754,"Yes"),"")</f>
        <v/>
      </c>
      <c r="H754" s="3" t="str">
        <f t="shared" si="11"/>
        <v/>
      </c>
    </row>
    <row r="755" spans="1:8" ht="14.25" customHeight="1" x14ac:dyDescent="0.3">
      <c r="A755" s="7"/>
      <c r="B755" s="7"/>
      <c r="C755" s="7"/>
      <c r="D755" s="7"/>
      <c r="E755" s="7"/>
      <c r="F755" s="9" t="str">
        <f>IFERROR(INDEX($A$2:$A$1000,MATCH(ROWS($F$2:F755),$G$2:$G$1000,0)),"")</f>
        <v/>
      </c>
      <c r="G755" s="9" t="str">
        <f>IF($E755="Yes",COUNTIF($E$2:$E755,"Yes"),"")</f>
        <v/>
      </c>
      <c r="H755" s="3" t="str">
        <f t="shared" si="11"/>
        <v/>
      </c>
    </row>
    <row r="756" spans="1:8" ht="14.25" customHeight="1" x14ac:dyDescent="0.3">
      <c r="A756" s="7"/>
      <c r="B756" s="7"/>
      <c r="C756" s="7"/>
      <c r="D756" s="7"/>
      <c r="E756" s="7"/>
      <c r="F756" s="9" t="str">
        <f>IFERROR(INDEX($A$2:$A$1000,MATCH(ROWS($F$2:F756),$G$2:$G$1000,0)),"")</f>
        <v/>
      </c>
      <c r="G756" s="9" t="str">
        <f>IF($E756="Yes",COUNTIF($E$2:$E756,"Yes"),"")</f>
        <v/>
      </c>
      <c r="H756" s="3" t="str">
        <f t="shared" si="11"/>
        <v/>
      </c>
    </row>
    <row r="757" spans="1:8" ht="14.25" customHeight="1" x14ac:dyDescent="0.3">
      <c r="A757" s="7"/>
      <c r="B757" s="7"/>
      <c r="C757" s="7"/>
      <c r="D757" s="7"/>
      <c r="E757" s="7"/>
      <c r="F757" s="9" t="str">
        <f>IFERROR(INDEX($A$2:$A$1000,MATCH(ROWS($F$2:F757),$G$2:$G$1000,0)),"")</f>
        <v/>
      </c>
      <c r="G757" s="9" t="str">
        <f>IF($E757="Yes",COUNTIF($E$2:$E757,"Yes"),"")</f>
        <v/>
      </c>
      <c r="H757" s="3" t="str">
        <f t="shared" si="11"/>
        <v/>
      </c>
    </row>
    <row r="758" spans="1:8" ht="14.25" customHeight="1" x14ac:dyDescent="0.3">
      <c r="A758" s="7"/>
      <c r="B758" s="7"/>
      <c r="C758" s="7"/>
      <c r="D758" s="7"/>
      <c r="E758" s="7"/>
      <c r="F758" s="9" t="str">
        <f>IFERROR(INDEX($A$2:$A$1000,MATCH(ROWS($F$2:F758),$G$2:$G$1000,0)),"")</f>
        <v/>
      </c>
      <c r="G758" s="9" t="str">
        <f>IF($E758="Yes",COUNTIF($E$2:$E758,"Yes"),"")</f>
        <v/>
      </c>
      <c r="H758" s="3" t="str">
        <f t="shared" si="11"/>
        <v/>
      </c>
    </row>
    <row r="759" spans="1:8" ht="14.25" customHeight="1" x14ac:dyDescent="0.3">
      <c r="A759" s="7"/>
      <c r="B759" s="7"/>
      <c r="C759" s="7"/>
      <c r="D759" s="7"/>
      <c r="E759" s="7"/>
      <c r="F759" s="9" t="str">
        <f>IFERROR(INDEX($A$2:$A$1000,MATCH(ROWS($F$2:F759),$G$2:$G$1000,0)),"")</f>
        <v/>
      </c>
      <c r="G759" s="9" t="str">
        <f>IF($E759="Yes",COUNTIF($E$2:$E759,"Yes"),"")</f>
        <v/>
      </c>
      <c r="H759" s="3" t="str">
        <f t="shared" si="11"/>
        <v/>
      </c>
    </row>
    <row r="760" spans="1:8" ht="14.25" customHeight="1" x14ac:dyDescent="0.3">
      <c r="A760" s="7"/>
      <c r="B760" s="7"/>
      <c r="C760" s="7"/>
      <c r="D760" s="7"/>
      <c r="E760" s="7"/>
      <c r="F760" s="9" t="str">
        <f>IFERROR(INDEX($A$2:$A$1000,MATCH(ROWS($F$2:F760),$G$2:$G$1000,0)),"")</f>
        <v/>
      </c>
      <c r="G760" s="9" t="str">
        <f>IF($E760="Yes",COUNTIF($E$2:$E760,"Yes"),"")</f>
        <v/>
      </c>
      <c r="H760" s="3" t="str">
        <f t="shared" si="11"/>
        <v/>
      </c>
    </row>
    <row r="761" spans="1:8" ht="14.25" customHeight="1" x14ac:dyDescent="0.3">
      <c r="A761" s="7"/>
      <c r="B761" s="7"/>
      <c r="C761" s="7"/>
      <c r="D761" s="7"/>
      <c r="E761" s="7"/>
      <c r="F761" s="9" t="str">
        <f>IFERROR(INDEX($A$2:$A$1000,MATCH(ROWS($F$2:F761),$G$2:$G$1000,0)),"")</f>
        <v/>
      </c>
      <c r="G761" s="9" t="str">
        <f>IF($E761="Yes",COUNTIF($E$2:$E761,"Yes"),"")</f>
        <v/>
      </c>
      <c r="H761" s="3" t="str">
        <f t="shared" si="11"/>
        <v/>
      </c>
    </row>
    <row r="762" spans="1:8" ht="14.25" customHeight="1" x14ac:dyDescent="0.3">
      <c r="A762" s="7"/>
      <c r="B762" s="7"/>
      <c r="C762" s="7"/>
      <c r="D762" s="7"/>
      <c r="E762" s="7"/>
      <c r="F762" s="9" t="str">
        <f>IFERROR(INDEX($A$2:$A$1000,MATCH(ROWS($F$2:F762),$G$2:$G$1000,0)),"")</f>
        <v/>
      </c>
      <c r="G762" s="9" t="str">
        <f>IF($E762="Yes",COUNTIF($E$2:$E762,"Yes"),"")</f>
        <v/>
      </c>
      <c r="H762" s="3" t="str">
        <f t="shared" si="11"/>
        <v/>
      </c>
    </row>
    <row r="763" spans="1:8" ht="14.25" customHeight="1" x14ac:dyDescent="0.3">
      <c r="A763" s="7"/>
      <c r="B763" s="7"/>
      <c r="C763" s="7"/>
      <c r="D763" s="7"/>
      <c r="E763" s="7"/>
      <c r="F763" s="9" t="str">
        <f>IFERROR(INDEX($A$2:$A$1000,MATCH(ROWS($F$2:F763),$G$2:$G$1000,0)),"")</f>
        <v/>
      </c>
      <c r="G763" s="9" t="str">
        <f>IF($E763="Yes",COUNTIF($E$2:$E763,"Yes"),"")</f>
        <v/>
      </c>
      <c r="H763" s="3" t="str">
        <f t="shared" si="11"/>
        <v/>
      </c>
    </row>
    <row r="764" spans="1:8" ht="14.25" customHeight="1" x14ac:dyDescent="0.3">
      <c r="A764" s="7"/>
      <c r="B764" s="7"/>
      <c r="C764" s="7"/>
      <c r="D764" s="7"/>
      <c r="E764" s="7"/>
      <c r="F764" s="9" t="str">
        <f>IFERROR(INDEX($A$2:$A$1000,MATCH(ROWS($F$2:F764),$G$2:$G$1000,0)),"")</f>
        <v/>
      </c>
      <c r="G764" s="9" t="str">
        <f>IF($E764="Yes",COUNTIF($E$2:$E764,"Yes"),"")</f>
        <v/>
      </c>
      <c r="H764" s="3" t="str">
        <f t="shared" si="11"/>
        <v/>
      </c>
    </row>
    <row r="765" spans="1:8" ht="14.25" customHeight="1" x14ac:dyDescent="0.3">
      <c r="A765" s="7"/>
      <c r="B765" s="7"/>
      <c r="C765" s="7"/>
      <c r="D765" s="7"/>
      <c r="E765" s="7"/>
      <c r="F765" s="9" t="str">
        <f>IFERROR(INDEX($A$2:$A$1000,MATCH(ROWS($F$2:F765),$G$2:$G$1000,0)),"")</f>
        <v/>
      </c>
      <c r="G765" s="9" t="str">
        <f>IF($E765="Yes",COUNTIF($E$2:$E765,"Yes"),"")</f>
        <v/>
      </c>
      <c r="H765" s="3" t="str">
        <f t="shared" si="11"/>
        <v/>
      </c>
    </row>
    <row r="766" spans="1:8" ht="14.25" customHeight="1" x14ac:dyDescent="0.3">
      <c r="A766" s="7"/>
      <c r="B766" s="7"/>
      <c r="C766" s="7"/>
      <c r="D766" s="7"/>
      <c r="E766" s="7"/>
      <c r="F766" s="9" t="str">
        <f>IFERROR(INDEX($A$2:$A$1000,MATCH(ROWS($F$2:F766),$G$2:$G$1000,0)),"")</f>
        <v/>
      </c>
      <c r="G766" s="9" t="str">
        <f>IF($E766="Yes",COUNTIF($E$2:$E766,"Yes"),"")</f>
        <v/>
      </c>
      <c r="H766" s="3" t="str">
        <f t="shared" si="11"/>
        <v/>
      </c>
    </row>
    <row r="767" spans="1:8" ht="14.25" customHeight="1" x14ac:dyDescent="0.3">
      <c r="A767" s="7"/>
      <c r="B767" s="7"/>
      <c r="C767" s="7"/>
      <c r="D767" s="7"/>
      <c r="E767" s="7"/>
      <c r="F767" s="9" t="str">
        <f>IFERROR(INDEX($A$2:$A$1000,MATCH(ROWS($F$2:F767),$G$2:$G$1000,0)),"")</f>
        <v/>
      </c>
      <c r="G767" s="9" t="str">
        <f>IF($E767="Yes",COUNTIF($E$2:$E767,"Yes"),"")</f>
        <v/>
      </c>
      <c r="H767" s="3" t="str">
        <f t="shared" si="11"/>
        <v/>
      </c>
    </row>
    <row r="768" spans="1:8" ht="14.25" customHeight="1" x14ac:dyDescent="0.3">
      <c r="A768" s="7"/>
      <c r="B768" s="7"/>
      <c r="C768" s="7"/>
      <c r="D768" s="7"/>
      <c r="E768" s="7"/>
      <c r="F768" s="9" t="str">
        <f>IFERROR(INDEX($A$2:$A$1000,MATCH(ROWS($F$2:F768),$G$2:$G$1000,0)),"")</f>
        <v/>
      </c>
      <c r="G768" s="9" t="str">
        <f>IF($E768="Yes",COUNTIF($E$2:$E768,"Yes"),"")</f>
        <v/>
      </c>
      <c r="H768" s="3" t="str">
        <f t="shared" si="11"/>
        <v/>
      </c>
    </row>
    <row r="769" spans="1:8" ht="14.25" customHeight="1" x14ac:dyDescent="0.3">
      <c r="A769" s="7"/>
      <c r="B769" s="7"/>
      <c r="C769" s="7"/>
      <c r="D769" s="7"/>
      <c r="E769" s="7"/>
      <c r="F769" s="9" t="str">
        <f>IFERROR(INDEX($A$2:$A$1000,MATCH(ROWS($F$2:F769),$G$2:$G$1000,0)),"")</f>
        <v/>
      </c>
      <c r="G769" s="9" t="str">
        <f>IF($E769="Yes",COUNTIF($E$2:$E769,"Yes"),"")</f>
        <v/>
      </c>
      <c r="H769" s="3" t="str">
        <f t="shared" si="11"/>
        <v/>
      </c>
    </row>
    <row r="770" spans="1:8" ht="14.25" customHeight="1" x14ac:dyDescent="0.3">
      <c r="A770" s="7"/>
      <c r="B770" s="7"/>
      <c r="C770" s="7"/>
      <c r="D770" s="7"/>
      <c r="E770" s="7"/>
      <c r="F770" s="9" t="str">
        <f>IFERROR(INDEX($A$2:$A$1000,MATCH(ROWS($F$2:F770),$G$2:$G$1000,0)),"")</f>
        <v/>
      </c>
      <c r="G770" s="9" t="str">
        <f>IF($E770="Yes",COUNTIF($E$2:$E770,"Yes"),"")</f>
        <v/>
      </c>
      <c r="H770" s="3" t="str">
        <f t="shared" ref="H770:H833" si="12">IF(COUNTA(A770:E770)=0,"",IF(COUNTIF($A$2:$A$1000,A770)&gt;1,"DUPLICATE YEAR_SEM",IF(OR(B770&lt;1,B770&gt;4,C770&lt;1,C770&gt;2),"INVALID YEAR/SEMESTER","OK")))</f>
        <v/>
      </c>
    </row>
    <row r="771" spans="1:8" ht="14.25" customHeight="1" x14ac:dyDescent="0.3">
      <c r="A771" s="7"/>
      <c r="B771" s="7"/>
      <c r="C771" s="7"/>
      <c r="D771" s="7"/>
      <c r="E771" s="7"/>
      <c r="F771" s="9" t="str">
        <f>IFERROR(INDEX($A$2:$A$1000,MATCH(ROWS($F$2:F771),$G$2:$G$1000,0)),"")</f>
        <v/>
      </c>
      <c r="G771" s="9" t="str">
        <f>IF($E771="Yes",COUNTIF($E$2:$E771,"Yes"),"")</f>
        <v/>
      </c>
      <c r="H771" s="3" t="str">
        <f t="shared" si="12"/>
        <v/>
      </c>
    </row>
    <row r="772" spans="1:8" ht="14.25" customHeight="1" x14ac:dyDescent="0.3">
      <c r="A772" s="7"/>
      <c r="B772" s="7"/>
      <c r="C772" s="7"/>
      <c r="D772" s="7"/>
      <c r="E772" s="7"/>
      <c r="F772" s="9" t="str">
        <f>IFERROR(INDEX($A$2:$A$1000,MATCH(ROWS($F$2:F772),$G$2:$G$1000,0)),"")</f>
        <v/>
      </c>
      <c r="G772" s="9" t="str">
        <f>IF($E772="Yes",COUNTIF($E$2:$E772,"Yes"),"")</f>
        <v/>
      </c>
      <c r="H772" s="3" t="str">
        <f t="shared" si="12"/>
        <v/>
      </c>
    </row>
    <row r="773" spans="1:8" ht="14.25" customHeight="1" x14ac:dyDescent="0.3">
      <c r="A773" s="7"/>
      <c r="B773" s="7"/>
      <c r="C773" s="7"/>
      <c r="D773" s="7"/>
      <c r="E773" s="7"/>
      <c r="F773" s="9" t="str">
        <f>IFERROR(INDEX($A$2:$A$1000,MATCH(ROWS($F$2:F773),$G$2:$G$1000,0)),"")</f>
        <v/>
      </c>
      <c r="G773" s="9" t="str">
        <f>IF($E773="Yes",COUNTIF($E$2:$E773,"Yes"),"")</f>
        <v/>
      </c>
      <c r="H773" s="3" t="str">
        <f t="shared" si="12"/>
        <v/>
      </c>
    </row>
    <row r="774" spans="1:8" ht="14.25" customHeight="1" x14ac:dyDescent="0.3">
      <c r="A774" s="7"/>
      <c r="B774" s="7"/>
      <c r="C774" s="7"/>
      <c r="D774" s="7"/>
      <c r="E774" s="7"/>
      <c r="F774" s="9" t="str">
        <f>IFERROR(INDEX($A$2:$A$1000,MATCH(ROWS($F$2:F774),$G$2:$G$1000,0)),"")</f>
        <v/>
      </c>
      <c r="G774" s="9" t="str">
        <f>IF($E774="Yes",COUNTIF($E$2:$E774,"Yes"),"")</f>
        <v/>
      </c>
      <c r="H774" s="3" t="str">
        <f t="shared" si="12"/>
        <v/>
      </c>
    </row>
    <row r="775" spans="1:8" ht="14.25" customHeight="1" x14ac:dyDescent="0.3">
      <c r="A775" s="7"/>
      <c r="B775" s="7"/>
      <c r="C775" s="7"/>
      <c r="D775" s="7"/>
      <c r="E775" s="7"/>
      <c r="F775" s="9" t="str">
        <f>IFERROR(INDEX($A$2:$A$1000,MATCH(ROWS($F$2:F775),$G$2:$G$1000,0)),"")</f>
        <v/>
      </c>
      <c r="G775" s="9" t="str">
        <f>IF($E775="Yes",COUNTIF($E$2:$E775,"Yes"),"")</f>
        <v/>
      </c>
      <c r="H775" s="3" t="str">
        <f t="shared" si="12"/>
        <v/>
      </c>
    </row>
    <row r="776" spans="1:8" ht="14.25" customHeight="1" x14ac:dyDescent="0.3">
      <c r="A776" s="7"/>
      <c r="B776" s="7"/>
      <c r="C776" s="7"/>
      <c r="D776" s="7"/>
      <c r="E776" s="7"/>
      <c r="F776" s="9" t="str">
        <f>IFERROR(INDEX($A$2:$A$1000,MATCH(ROWS($F$2:F776),$G$2:$G$1000,0)),"")</f>
        <v/>
      </c>
      <c r="G776" s="9" t="str">
        <f>IF($E776="Yes",COUNTIF($E$2:$E776,"Yes"),"")</f>
        <v/>
      </c>
      <c r="H776" s="3" t="str">
        <f t="shared" si="12"/>
        <v/>
      </c>
    </row>
    <row r="777" spans="1:8" ht="14.25" customHeight="1" x14ac:dyDescent="0.3">
      <c r="A777" s="7"/>
      <c r="B777" s="7"/>
      <c r="C777" s="7"/>
      <c r="D777" s="7"/>
      <c r="E777" s="7"/>
      <c r="F777" s="9" t="str">
        <f>IFERROR(INDEX($A$2:$A$1000,MATCH(ROWS($F$2:F777),$G$2:$G$1000,0)),"")</f>
        <v/>
      </c>
      <c r="G777" s="9" t="str">
        <f>IF($E777="Yes",COUNTIF($E$2:$E777,"Yes"),"")</f>
        <v/>
      </c>
      <c r="H777" s="3" t="str">
        <f t="shared" si="12"/>
        <v/>
      </c>
    </row>
    <row r="778" spans="1:8" ht="14.25" customHeight="1" x14ac:dyDescent="0.3">
      <c r="A778" s="7"/>
      <c r="B778" s="7"/>
      <c r="C778" s="7"/>
      <c r="D778" s="7"/>
      <c r="E778" s="7"/>
      <c r="F778" s="9" t="str">
        <f>IFERROR(INDEX($A$2:$A$1000,MATCH(ROWS($F$2:F778),$G$2:$G$1000,0)),"")</f>
        <v/>
      </c>
      <c r="G778" s="9" t="str">
        <f>IF($E778="Yes",COUNTIF($E$2:$E778,"Yes"),"")</f>
        <v/>
      </c>
      <c r="H778" s="3" t="str">
        <f t="shared" si="12"/>
        <v/>
      </c>
    </row>
    <row r="779" spans="1:8" ht="14.25" customHeight="1" x14ac:dyDescent="0.3">
      <c r="A779" s="7"/>
      <c r="B779" s="7"/>
      <c r="C779" s="7"/>
      <c r="D779" s="7"/>
      <c r="E779" s="7"/>
      <c r="F779" s="9" t="str">
        <f>IFERROR(INDEX($A$2:$A$1000,MATCH(ROWS($F$2:F779),$G$2:$G$1000,0)),"")</f>
        <v/>
      </c>
      <c r="G779" s="9" t="str">
        <f>IF($E779="Yes",COUNTIF($E$2:$E779,"Yes"),"")</f>
        <v/>
      </c>
      <c r="H779" s="3" t="str">
        <f t="shared" si="12"/>
        <v/>
      </c>
    </row>
    <row r="780" spans="1:8" ht="14.25" customHeight="1" x14ac:dyDescent="0.3">
      <c r="A780" s="7"/>
      <c r="B780" s="7"/>
      <c r="C780" s="7"/>
      <c r="D780" s="7"/>
      <c r="E780" s="7"/>
      <c r="F780" s="9" t="str">
        <f>IFERROR(INDEX($A$2:$A$1000,MATCH(ROWS($F$2:F780),$G$2:$G$1000,0)),"")</f>
        <v/>
      </c>
      <c r="G780" s="9" t="str">
        <f>IF($E780="Yes",COUNTIF($E$2:$E780,"Yes"),"")</f>
        <v/>
      </c>
      <c r="H780" s="3" t="str">
        <f t="shared" si="12"/>
        <v/>
      </c>
    </row>
    <row r="781" spans="1:8" ht="14.25" customHeight="1" x14ac:dyDescent="0.3">
      <c r="A781" s="7"/>
      <c r="B781" s="7"/>
      <c r="C781" s="7"/>
      <c r="D781" s="7"/>
      <c r="E781" s="7"/>
      <c r="F781" s="9" t="str">
        <f>IFERROR(INDEX($A$2:$A$1000,MATCH(ROWS($F$2:F781),$G$2:$G$1000,0)),"")</f>
        <v/>
      </c>
      <c r="G781" s="9" t="str">
        <f>IF($E781="Yes",COUNTIF($E$2:$E781,"Yes"),"")</f>
        <v/>
      </c>
      <c r="H781" s="3" t="str">
        <f t="shared" si="12"/>
        <v/>
      </c>
    </row>
    <row r="782" spans="1:8" ht="14.25" customHeight="1" x14ac:dyDescent="0.3">
      <c r="A782" s="7"/>
      <c r="B782" s="7"/>
      <c r="C782" s="7"/>
      <c r="D782" s="7"/>
      <c r="E782" s="7"/>
      <c r="F782" s="9" t="str">
        <f>IFERROR(INDEX($A$2:$A$1000,MATCH(ROWS($F$2:F782),$G$2:$G$1000,0)),"")</f>
        <v/>
      </c>
      <c r="G782" s="9" t="str">
        <f>IF($E782="Yes",COUNTIF($E$2:$E782,"Yes"),"")</f>
        <v/>
      </c>
      <c r="H782" s="3" t="str">
        <f t="shared" si="12"/>
        <v/>
      </c>
    </row>
    <row r="783" spans="1:8" ht="14.25" customHeight="1" x14ac:dyDescent="0.3">
      <c r="A783" s="7"/>
      <c r="B783" s="7"/>
      <c r="C783" s="7"/>
      <c r="D783" s="7"/>
      <c r="E783" s="7"/>
      <c r="F783" s="9" t="str">
        <f>IFERROR(INDEX($A$2:$A$1000,MATCH(ROWS($F$2:F783),$G$2:$G$1000,0)),"")</f>
        <v/>
      </c>
      <c r="G783" s="9" t="str">
        <f>IF($E783="Yes",COUNTIF($E$2:$E783,"Yes"),"")</f>
        <v/>
      </c>
      <c r="H783" s="3" t="str">
        <f t="shared" si="12"/>
        <v/>
      </c>
    </row>
    <row r="784" spans="1:8" ht="14.25" customHeight="1" x14ac:dyDescent="0.3">
      <c r="A784" s="7"/>
      <c r="B784" s="7"/>
      <c r="C784" s="7"/>
      <c r="D784" s="7"/>
      <c r="E784" s="7"/>
      <c r="F784" s="9" t="str">
        <f>IFERROR(INDEX($A$2:$A$1000,MATCH(ROWS($F$2:F784),$G$2:$G$1000,0)),"")</f>
        <v/>
      </c>
      <c r="G784" s="9" t="str">
        <f>IF($E784="Yes",COUNTIF($E$2:$E784,"Yes"),"")</f>
        <v/>
      </c>
      <c r="H784" s="3" t="str">
        <f t="shared" si="12"/>
        <v/>
      </c>
    </row>
    <row r="785" spans="1:8" ht="14.25" customHeight="1" x14ac:dyDescent="0.3">
      <c r="A785" s="7"/>
      <c r="B785" s="7"/>
      <c r="C785" s="7"/>
      <c r="D785" s="7"/>
      <c r="E785" s="7"/>
      <c r="F785" s="9" t="str">
        <f>IFERROR(INDEX($A$2:$A$1000,MATCH(ROWS($F$2:F785),$G$2:$G$1000,0)),"")</f>
        <v/>
      </c>
      <c r="G785" s="9" t="str">
        <f>IF($E785="Yes",COUNTIF($E$2:$E785,"Yes"),"")</f>
        <v/>
      </c>
      <c r="H785" s="3" t="str">
        <f t="shared" si="12"/>
        <v/>
      </c>
    </row>
    <row r="786" spans="1:8" ht="14.25" customHeight="1" x14ac:dyDescent="0.3">
      <c r="A786" s="7"/>
      <c r="B786" s="7"/>
      <c r="C786" s="7"/>
      <c r="D786" s="7"/>
      <c r="E786" s="7"/>
      <c r="F786" s="9" t="str">
        <f>IFERROR(INDEX($A$2:$A$1000,MATCH(ROWS($F$2:F786),$G$2:$G$1000,0)),"")</f>
        <v/>
      </c>
      <c r="G786" s="9" t="str">
        <f>IF($E786="Yes",COUNTIF($E$2:$E786,"Yes"),"")</f>
        <v/>
      </c>
      <c r="H786" s="3" t="str">
        <f t="shared" si="12"/>
        <v/>
      </c>
    </row>
    <row r="787" spans="1:8" ht="14.25" customHeight="1" x14ac:dyDescent="0.3">
      <c r="A787" s="7"/>
      <c r="B787" s="7"/>
      <c r="C787" s="7"/>
      <c r="D787" s="7"/>
      <c r="E787" s="7"/>
      <c r="F787" s="9" t="str">
        <f>IFERROR(INDEX($A$2:$A$1000,MATCH(ROWS($F$2:F787),$G$2:$G$1000,0)),"")</f>
        <v/>
      </c>
      <c r="G787" s="9" t="str">
        <f>IF($E787="Yes",COUNTIF($E$2:$E787,"Yes"),"")</f>
        <v/>
      </c>
      <c r="H787" s="3" t="str">
        <f t="shared" si="12"/>
        <v/>
      </c>
    </row>
    <row r="788" spans="1:8" ht="14.25" customHeight="1" x14ac:dyDescent="0.3">
      <c r="A788" s="7"/>
      <c r="B788" s="7"/>
      <c r="C788" s="7"/>
      <c r="D788" s="7"/>
      <c r="E788" s="7"/>
      <c r="F788" s="9" t="str">
        <f>IFERROR(INDEX($A$2:$A$1000,MATCH(ROWS($F$2:F788),$G$2:$G$1000,0)),"")</f>
        <v/>
      </c>
      <c r="G788" s="9" t="str">
        <f>IF($E788="Yes",COUNTIF($E$2:$E788,"Yes"),"")</f>
        <v/>
      </c>
      <c r="H788" s="3" t="str">
        <f t="shared" si="12"/>
        <v/>
      </c>
    </row>
    <row r="789" spans="1:8" ht="14.25" customHeight="1" x14ac:dyDescent="0.3">
      <c r="A789" s="7"/>
      <c r="B789" s="7"/>
      <c r="C789" s="7"/>
      <c r="D789" s="7"/>
      <c r="E789" s="7"/>
      <c r="F789" s="9" t="str">
        <f>IFERROR(INDEX($A$2:$A$1000,MATCH(ROWS($F$2:F789),$G$2:$G$1000,0)),"")</f>
        <v/>
      </c>
      <c r="G789" s="9" t="str">
        <f>IF($E789="Yes",COUNTIF($E$2:$E789,"Yes"),"")</f>
        <v/>
      </c>
      <c r="H789" s="3" t="str">
        <f t="shared" si="12"/>
        <v/>
      </c>
    </row>
    <row r="790" spans="1:8" ht="14.25" customHeight="1" x14ac:dyDescent="0.3">
      <c r="A790" s="7"/>
      <c r="B790" s="7"/>
      <c r="C790" s="7"/>
      <c r="D790" s="7"/>
      <c r="E790" s="7"/>
      <c r="F790" s="9" t="str">
        <f>IFERROR(INDEX($A$2:$A$1000,MATCH(ROWS($F$2:F790),$G$2:$G$1000,0)),"")</f>
        <v/>
      </c>
      <c r="G790" s="9" t="str">
        <f>IF($E790="Yes",COUNTIF($E$2:$E790,"Yes"),"")</f>
        <v/>
      </c>
      <c r="H790" s="3" t="str">
        <f t="shared" si="12"/>
        <v/>
      </c>
    </row>
    <row r="791" spans="1:8" ht="14.25" customHeight="1" x14ac:dyDescent="0.3">
      <c r="A791" s="7"/>
      <c r="B791" s="7"/>
      <c r="C791" s="7"/>
      <c r="D791" s="7"/>
      <c r="E791" s="7"/>
      <c r="F791" s="9" t="str">
        <f>IFERROR(INDEX($A$2:$A$1000,MATCH(ROWS($F$2:F791),$G$2:$G$1000,0)),"")</f>
        <v/>
      </c>
      <c r="G791" s="9" t="str">
        <f>IF($E791="Yes",COUNTIF($E$2:$E791,"Yes"),"")</f>
        <v/>
      </c>
      <c r="H791" s="3" t="str">
        <f t="shared" si="12"/>
        <v/>
      </c>
    </row>
    <row r="792" spans="1:8" ht="14.25" customHeight="1" x14ac:dyDescent="0.3">
      <c r="A792" s="7"/>
      <c r="B792" s="7"/>
      <c r="C792" s="7"/>
      <c r="D792" s="7"/>
      <c r="E792" s="7"/>
      <c r="F792" s="9" t="str">
        <f>IFERROR(INDEX($A$2:$A$1000,MATCH(ROWS($F$2:F792),$G$2:$G$1000,0)),"")</f>
        <v/>
      </c>
      <c r="G792" s="9" t="str">
        <f>IF($E792="Yes",COUNTIF($E$2:$E792,"Yes"),"")</f>
        <v/>
      </c>
      <c r="H792" s="3" t="str">
        <f t="shared" si="12"/>
        <v/>
      </c>
    </row>
    <row r="793" spans="1:8" ht="14.25" customHeight="1" x14ac:dyDescent="0.3">
      <c r="A793" s="7"/>
      <c r="B793" s="7"/>
      <c r="C793" s="7"/>
      <c r="D793" s="7"/>
      <c r="E793" s="7"/>
      <c r="F793" s="9" t="str">
        <f>IFERROR(INDEX($A$2:$A$1000,MATCH(ROWS($F$2:F793),$G$2:$G$1000,0)),"")</f>
        <v/>
      </c>
      <c r="G793" s="9" t="str">
        <f>IF($E793="Yes",COUNTIF($E$2:$E793,"Yes"),"")</f>
        <v/>
      </c>
      <c r="H793" s="3" t="str">
        <f t="shared" si="12"/>
        <v/>
      </c>
    </row>
    <row r="794" spans="1:8" ht="14.25" customHeight="1" x14ac:dyDescent="0.3">
      <c r="A794" s="7"/>
      <c r="B794" s="7"/>
      <c r="C794" s="7"/>
      <c r="D794" s="7"/>
      <c r="E794" s="7"/>
      <c r="F794" s="9" t="str">
        <f>IFERROR(INDEX($A$2:$A$1000,MATCH(ROWS($F$2:F794),$G$2:$G$1000,0)),"")</f>
        <v/>
      </c>
      <c r="G794" s="9" t="str">
        <f>IF($E794="Yes",COUNTIF($E$2:$E794,"Yes"),"")</f>
        <v/>
      </c>
      <c r="H794" s="3" t="str">
        <f t="shared" si="12"/>
        <v/>
      </c>
    </row>
    <row r="795" spans="1:8" ht="14.25" customHeight="1" x14ac:dyDescent="0.3">
      <c r="A795" s="7"/>
      <c r="B795" s="7"/>
      <c r="C795" s="7"/>
      <c r="D795" s="7"/>
      <c r="E795" s="7"/>
      <c r="F795" s="9" t="str">
        <f>IFERROR(INDEX($A$2:$A$1000,MATCH(ROWS($F$2:F795),$G$2:$G$1000,0)),"")</f>
        <v/>
      </c>
      <c r="G795" s="9" t="str">
        <f>IF($E795="Yes",COUNTIF($E$2:$E795,"Yes"),"")</f>
        <v/>
      </c>
      <c r="H795" s="3" t="str">
        <f t="shared" si="12"/>
        <v/>
      </c>
    </row>
    <row r="796" spans="1:8" ht="14.25" customHeight="1" x14ac:dyDescent="0.3">
      <c r="A796" s="7"/>
      <c r="B796" s="7"/>
      <c r="C796" s="7"/>
      <c r="D796" s="7"/>
      <c r="E796" s="7"/>
      <c r="F796" s="9" t="str">
        <f>IFERROR(INDEX($A$2:$A$1000,MATCH(ROWS($F$2:F796),$G$2:$G$1000,0)),"")</f>
        <v/>
      </c>
      <c r="G796" s="9" t="str">
        <f>IF($E796="Yes",COUNTIF($E$2:$E796,"Yes"),"")</f>
        <v/>
      </c>
      <c r="H796" s="3" t="str">
        <f t="shared" si="12"/>
        <v/>
      </c>
    </row>
    <row r="797" spans="1:8" ht="14.25" customHeight="1" x14ac:dyDescent="0.3">
      <c r="A797" s="7"/>
      <c r="B797" s="7"/>
      <c r="C797" s="7"/>
      <c r="D797" s="7"/>
      <c r="E797" s="7"/>
      <c r="F797" s="9" t="str">
        <f>IFERROR(INDEX($A$2:$A$1000,MATCH(ROWS($F$2:F797),$G$2:$G$1000,0)),"")</f>
        <v/>
      </c>
      <c r="G797" s="9" t="str">
        <f>IF($E797="Yes",COUNTIF($E$2:$E797,"Yes"),"")</f>
        <v/>
      </c>
      <c r="H797" s="3" t="str">
        <f t="shared" si="12"/>
        <v/>
      </c>
    </row>
    <row r="798" spans="1:8" ht="14.25" customHeight="1" x14ac:dyDescent="0.3">
      <c r="A798" s="7"/>
      <c r="B798" s="7"/>
      <c r="C798" s="7"/>
      <c r="D798" s="7"/>
      <c r="E798" s="7"/>
      <c r="F798" s="9" t="str">
        <f>IFERROR(INDEX($A$2:$A$1000,MATCH(ROWS($F$2:F798),$G$2:$G$1000,0)),"")</f>
        <v/>
      </c>
      <c r="G798" s="9" t="str">
        <f>IF($E798="Yes",COUNTIF($E$2:$E798,"Yes"),"")</f>
        <v/>
      </c>
      <c r="H798" s="3" t="str">
        <f t="shared" si="12"/>
        <v/>
      </c>
    </row>
    <row r="799" spans="1:8" ht="14.25" customHeight="1" x14ac:dyDescent="0.3">
      <c r="A799" s="7"/>
      <c r="B799" s="7"/>
      <c r="C799" s="7"/>
      <c r="D799" s="7"/>
      <c r="E799" s="7"/>
      <c r="F799" s="9" t="str">
        <f>IFERROR(INDEX($A$2:$A$1000,MATCH(ROWS($F$2:F799),$G$2:$G$1000,0)),"")</f>
        <v/>
      </c>
      <c r="G799" s="9" t="str">
        <f>IF($E799="Yes",COUNTIF($E$2:$E799,"Yes"),"")</f>
        <v/>
      </c>
      <c r="H799" s="3" t="str">
        <f t="shared" si="12"/>
        <v/>
      </c>
    </row>
    <row r="800" spans="1:8" ht="14.25" customHeight="1" x14ac:dyDescent="0.3">
      <c r="A800" s="7"/>
      <c r="B800" s="7"/>
      <c r="C800" s="7"/>
      <c r="D800" s="7"/>
      <c r="E800" s="7"/>
      <c r="F800" s="9" t="str">
        <f>IFERROR(INDEX($A$2:$A$1000,MATCH(ROWS($F$2:F800),$G$2:$G$1000,0)),"")</f>
        <v/>
      </c>
      <c r="G800" s="9" t="str">
        <f>IF($E800="Yes",COUNTIF($E$2:$E800,"Yes"),"")</f>
        <v/>
      </c>
      <c r="H800" s="3" t="str">
        <f t="shared" si="12"/>
        <v/>
      </c>
    </row>
    <row r="801" spans="1:8" ht="14.25" customHeight="1" x14ac:dyDescent="0.3">
      <c r="A801" s="7"/>
      <c r="B801" s="7"/>
      <c r="C801" s="7"/>
      <c r="D801" s="7"/>
      <c r="E801" s="7"/>
      <c r="F801" s="9" t="str">
        <f>IFERROR(INDEX($A$2:$A$1000,MATCH(ROWS($F$2:F801),$G$2:$G$1000,0)),"")</f>
        <v/>
      </c>
      <c r="G801" s="9" t="str">
        <f>IF($E801="Yes",COUNTIF($E$2:$E801,"Yes"),"")</f>
        <v/>
      </c>
      <c r="H801" s="3" t="str">
        <f t="shared" si="12"/>
        <v/>
      </c>
    </row>
    <row r="802" spans="1:8" ht="14.25" customHeight="1" x14ac:dyDescent="0.3">
      <c r="A802" s="7"/>
      <c r="B802" s="7"/>
      <c r="C802" s="7"/>
      <c r="D802" s="7"/>
      <c r="E802" s="7"/>
      <c r="F802" s="9" t="str">
        <f>IFERROR(INDEX($A$2:$A$1000,MATCH(ROWS($F$2:F802),$G$2:$G$1000,0)),"")</f>
        <v/>
      </c>
      <c r="G802" s="9" t="str">
        <f>IF($E802="Yes",COUNTIF($E$2:$E802,"Yes"),"")</f>
        <v/>
      </c>
      <c r="H802" s="3" t="str">
        <f t="shared" si="12"/>
        <v/>
      </c>
    </row>
    <row r="803" spans="1:8" ht="14.25" customHeight="1" x14ac:dyDescent="0.3">
      <c r="A803" s="7"/>
      <c r="B803" s="7"/>
      <c r="C803" s="7"/>
      <c r="D803" s="7"/>
      <c r="E803" s="7"/>
      <c r="F803" s="9" t="str">
        <f>IFERROR(INDEX($A$2:$A$1000,MATCH(ROWS($F$2:F803),$G$2:$G$1000,0)),"")</f>
        <v/>
      </c>
      <c r="G803" s="9" t="str">
        <f>IF($E803="Yes",COUNTIF($E$2:$E803,"Yes"),"")</f>
        <v/>
      </c>
      <c r="H803" s="3" t="str">
        <f t="shared" si="12"/>
        <v/>
      </c>
    </row>
    <row r="804" spans="1:8" ht="14.25" customHeight="1" x14ac:dyDescent="0.3">
      <c r="A804" s="7"/>
      <c r="B804" s="7"/>
      <c r="C804" s="7"/>
      <c r="D804" s="7"/>
      <c r="E804" s="7"/>
      <c r="F804" s="9" t="str">
        <f>IFERROR(INDEX($A$2:$A$1000,MATCH(ROWS($F$2:F804),$G$2:$G$1000,0)),"")</f>
        <v/>
      </c>
      <c r="G804" s="9" t="str">
        <f>IF($E804="Yes",COUNTIF($E$2:$E804,"Yes"),"")</f>
        <v/>
      </c>
      <c r="H804" s="3" t="str">
        <f t="shared" si="12"/>
        <v/>
      </c>
    </row>
    <row r="805" spans="1:8" ht="14.25" customHeight="1" x14ac:dyDescent="0.3">
      <c r="A805" s="7"/>
      <c r="B805" s="7"/>
      <c r="C805" s="7"/>
      <c r="D805" s="7"/>
      <c r="E805" s="7"/>
      <c r="F805" s="9" t="str">
        <f>IFERROR(INDEX($A$2:$A$1000,MATCH(ROWS($F$2:F805),$G$2:$G$1000,0)),"")</f>
        <v/>
      </c>
      <c r="G805" s="9" t="str">
        <f>IF($E805="Yes",COUNTIF($E$2:$E805,"Yes"),"")</f>
        <v/>
      </c>
      <c r="H805" s="3" t="str">
        <f t="shared" si="12"/>
        <v/>
      </c>
    </row>
    <row r="806" spans="1:8" ht="14.25" customHeight="1" x14ac:dyDescent="0.3">
      <c r="A806" s="7"/>
      <c r="B806" s="7"/>
      <c r="C806" s="7"/>
      <c r="D806" s="7"/>
      <c r="E806" s="7"/>
      <c r="F806" s="9" t="str">
        <f>IFERROR(INDEX($A$2:$A$1000,MATCH(ROWS($F$2:F806),$G$2:$G$1000,0)),"")</f>
        <v/>
      </c>
      <c r="G806" s="9" t="str">
        <f>IF($E806="Yes",COUNTIF($E$2:$E806,"Yes"),"")</f>
        <v/>
      </c>
      <c r="H806" s="3" t="str">
        <f t="shared" si="12"/>
        <v/>
      </c>
    </row>
    <row r="807" spans="1:8" ht="14.25" customHeight="1" x14ac:dyDescent="0.3">
      <c r="A807" s="7"/>
      <c r="B807" s="7"/>
      <c r="C807" s="7"/>
      <c r="D807" s="7"/>
      <c r="E807" s="7"/>
      <c r="F807" s="9" t="str">
        <f>IFERROR(INDEX($A$2:$A$1000,MATCH(ROWS($F$2:F807),$G$2:$G$1000,0)),"")</f>
        <v/>
      </c>
      <c r="G807" s="9" t="str">
        <f>IF($E807="Yes",COUNTIF($E$2:$E807,"Yes"),"")</f>
        <v/>
      </c>
      <c r="H807" s="3" t="str">
        <f t="shared" si="12"/>
        <v/>
      </c>
    </row>
    <row r="808" spans="1:8" ht="14.25" customHeight="1" x14ac:dyDescent="0.3">
      <c r="A808" s="7"/>
      <c r="B808" s="7"/>
      <c r="C808" s="7"/>
      <c r="D808" s="7"/>
      <c r="E808" s="7"/>
      <c r="F808" s="9" t="str">
        <f>IFERROR(INDEX($A$2:$A$1000,MATCH(ROWS($F$2:F808),$G$2:$G$1000,0)),"")</f>
        <v/>
      </c>
      <c r="G808" s="9" t="str">
        <f>IF($E808="Yes",COUNTIF($E$2:$E808,"Yes"),"")</f>
        <v/>
      </c>
      <c r="H808" s="3" t="str">
        <f t="shared" si="12"/>
        <v/>
      </c>
    </row>
    <row r="809" spans="1:8" ht="14.25" customHeight="1" x14ac:dyDescent="0.3">
      <c r="A809" s="7"/>
      <c r="B809" s="7"/>
      <c r="C809" s="7"/>
      <c r="D809" s="7"/>
      <c r="E809" s="7"/>
      <c r="F809" s="9" t="str">
        <f>IFERROR(INDEX($A$2:$A$1000,MATCH(ROWS($F$2:F809),$G$2:$G$1000,0)),"")</f>
        <v/>
      </c>
      <c r="G809" s="9" t="str">
        <f>IF($E809="Yes",COUNTIF($E$2:$E809,"Yes"),"")</f>
        <v/>
      </c>
      <c r="H809" s="3" t="str">
        <f t="shared" si="12"/>
        <v/>
      </c>
    </row>
    <row r="810" spans="1:8" ht="14.25" customHeight="1" x14ac:dyDescent="0.3">
      <c r="A810" s="7"/>
      <c r="B810" s="7"/>
      <c r="C810" s="7"/>
      <c r="D810" s="7"/>
      <c r="E810" s="7"/>
      <c r="F810" s="9" t="str">
        <f>IFERROR(INDEX($A$2:$A$1000,MATCH(ROWS($F$2:F810),$G$2:$G$1000,0)),"")</f>
        <v/>
      </c>
      <c r="G810" s="9" t="str">
        <f>IF($E810="Yes",COUNTIF($E$2:$E810,"Yes"),"")</f>
        <v/>
      </c>
      <c r="H810" s="3" t="str">
        <f t="shared" si="12"/>
        <v/>
      </c>
    </row>
    <row r="811" spans="1:8" ht="14.25" customHeight="1" x14ac:dyDescent="0.3">
      <c r="A811" s="7"/>
      <c r="B811" s="7"/>
      <c r="C811" s="7"/>
      <c r="D811" s="7"/>
      <c r="E811" s="7"/>
      <c r="F811" s="9" t="str">
        <f>IFERROR(INDEX($A$2:$A$1000,MATCH(ROWS($F$2:F811),$G$2:$G$1000,0)),"")</f>
        <v/>
      </c>
      <c r="G811" s="9" t="str">
        <f>IF($E811="Yes",COUNTIF($E$2:$E811,"Yes"),"")</f>
        <v/>
      </c>
      <c r="H811" s="3" t="str">
        <f t="shared" si="12"/>
        <v/>
      </c>
    </row>
    <row r="812" spans="1:8" ht="14.25" customHeight="1" x14ac:dyDescent="0.3">
      <c r="A812" s="7"/>
      <c r="B812" s="7"/>
      <c r="C812" s="7"/>
      <c r="D812" s="7"/>
      <c r="E812" s="7"/>
      <c r="F812" s="9" t="str">
        <f>IFERROR(INDEX($A$2:$A$1000,MATCH(ROWS($F$2:F812),$G$2:$G$1000,0)),"")</f>
        <v/>
      </c>
      <c r="G812" s="9" t="str">
        <f>IF($E812="Yes",COUNTIF($E$2:$E812,"Yes"),"")</f>
        <v/>
      </c>
      <c r="H812" s="3" t="str">
        <f t="shared" si="12"/>
        <v/>
      </c>
    </row>
    <row r="813" spans="1:8" ht="14.25" customHeight="1" x14ac:dyDescent="0.3">
      <c r="A813" s="7"/>
      <c r="B813" s="7"/>
      <c r="C813" s="7"/>
      <c r="D813" s="7"/>
      <c r="E813" s="7"/>
      <c r="F813" s="9" t="str">
        <f>IFERROR(INDEX($A$2:$A$1000,MATCH(ROWS($F$2:F813),$G$2:$G$1000,0)),"")</f>
        <v/>
      </c>
      <c r="G813" s="9" t="str">
        <f>IF($E813="Yes",COUNTIF($E$2:$E813,"Yes"),"")</f>
        <v/>
      </c>
      <c r="H813" s="3" t="str">
        <f t="shared" si="12"/>
        <v/>
      </c>
    </row>
    <row r="814" spans="1:8" ht="14.25" customHeight="1" x14ac:dyDescent="0.3">
      <c r="A814" s="7"/>
      <c r="B814" s="7"/>
      <c r="C814" s="7"/>
      <c r="D814" s="7"/>
      <c r="E814" s="7"/>
      <c r="F814" s="9" t="str">
        <f>IFERROR(INDEX($A$2:$A$1000,MATCH(ROWS($F$2:F814),$G$2:$G$1000,0)),"")</f>
        <v/>
      </c>
      <c r="G814" s="9" t="str">
        <f>IF($E814="Yes",COUNTIF($E$2:$E814,"Yes"),"")</f>
        <v/>
      </c>
      <c r="H814" s="3" t="str">
        <f t="shared" si="12"/>
        <v/>
      </c>
    </row>
    <row r="815" spans="1:8" ht="14.25" customHeight="1" x14ac:dyDescent="0.3">
      <c r="A815" s="7"/>
      <c r="B815" s="7"/>
      <c r="C815" s="7"/>
      <c r="D815" s="7"/>
      <c r="E815" s="7"/>
      <c r="F815" s="9" t="str">
        <f>IFERROR(INDEX($A$2:$A$1000,MATCH(ROWS($F$2:F815),$G$2:$G$1000,0)),"")</f>
        <v/>
      </c>
      <c r="G815" s="9" t="str">
        <f>IF($E815="Yes",COUNTIF($E$2:$E815,"Yes"),"")</f>
        <v/>
      </c>
      <c r="H815" s="3" t="str">
        <f t="shared" si="12"/>
        <v/>
      </c>
    </row>
    <row r="816" spans="1:8" ht="14.25" customHeight="1" x14ac:dyDescent="0.3">
      <c r="A816" s="7"/>
      <c r="B816" s="7"/>
      <c r="C816" s="7"/>
      <c r="D816" s="7"/>
      <c r="E816" s="7"/>
      <c r="F816" s="9" t="str">
        <f>IFERROR(INDEX($A$2:$A$1000,MATCH(ROWS($F$2:F816),$G$2:$G$1000,0)),"")</f>
        <v/>
      </c>
      <c r="G816" s="9" t="str">
        <f>IF($E816="Yes",COUNTIF($E$2:$E816,"Yes"),"")</f>
        <v/>
      </c>
      <c r="H816" s="3" t="str">
        <f t="shared" si="12"/>
        <v/>
      </c>
    </row>
    <row r="817" spans="1:8" ht="14.25" customHeight="1" x14ac:dyDescent="0.3">
      <c r="A817" s="7"/>
      <c r="B817" s="7"/>
      <c r="C817" s="7"/>
      <c r="D817" s="7"/>
      <c r="E817" s="7"/>
      <c r="F817" s="9" t="str">
        <f>IFERROR(INDEX($A$2:$A$1000,MATCH(ROWS($F$2:F817),$G$2:$G$1000,0)),"")</f>
        <v/>
      </c>
      <c r="G817" s="9" t="str">
        <f>IF($E817="Yes",COUNTIF($E$2:$E817,"Yes"),"")</f>
        <v/>
      </c>
      <c r="H817" s="3" t="str">
        <f t="shared" si="12"/>
        <v/>
      </c>
    </row>
    <row r="818" spans="1:8" ht="14.25" customHeight="1" x14ac:dyDescent="0.3">
      <c r="A818" s="7"/>
      <c r="B818" s="7"/>
      <c r="C818" s="7"/>
      <c r="D818" s="7"/>
      <c r="E818" s="7"/>
      <c r="F818" s="9" t="str">
        <f>IFERROR(INDEX($A$2:$A$1000,MATCH(ROWS($F$2:F818),$G$2:$G$1000,0)),"")</f>
        <v/>
      </c>
      <c r="G818" s="9" t="str">
        <f>IF($E818="Yes",COUNTIF($E$2:$E818,"Yes"),"")</f>
        <v/>
      </c>
      <c r="H818" s="3" t="str">
        <f t="shared" si="12"/>
        <v/>
      </c>
    </row>
    <row r="819" spans="1:8" ht="14.25" customHeight="1" x14ac:dyDescent="0.3">
      <c r="A819" s="7"/>
      <c r="B819" s="7"/>
      <c r="C819" s="7"/>
      <c r="D819" s="7"/>
      <c r="E819" s="7"/>
      <c r="F819" s="9" t="str">
        <f>IFERROR(INDEX($A$2:$A$1000,MATCH(ROWS($F$2:F819),$G$2:$G$1000,0)),"")</f>
        <v/>
      </c>
      <c r="G819" s="9" t="str">
        <f>IF($E819="Yes",COUNTIF($E$2:$E819,"Yes"),"")</f>
        <v/>
      </c>
      <c r="H819" s="3" t="str">
        <f t="shared" si="12"/>
        <v/>
      </c>
    </row>
    <row r="820" spans="1:8" ht="14.25" customHeight="1" x14ac:dyDescent="0.3">
      <c r="A820" s="7"/>
      <c r="B820" s="7"/>
      <c r="C820" s="7"/>
      <c r="D820" s="7"/>
      <c r="E820" s="7"/>
      <c r="F820" s="9" t="str">
        <f>IFERROR(INDEX($A$2:$A$1000,MATCH(ROWS($F$2:F820),$G$2:$G$1000,0)),"")</f>
        <v/>
      </c>
      <c r="G820" s="9" t="str">
        <f>IF($E820="Yes",COUNTIF($E$2:$E820,"Yes"),"")</f>
        <v/>
      </c>
      <c r="H820" s="3" t="str">
        <f t="shared" si="12"/>
        <v/>
      </c>
    </row>
    <row r="821" spans="1:8" ht="14.25" customHeight="1" x14ac:dyDescent="0.3">
      <c r="A821" s="7"/>
      <c r="B821" s="7"/>
      <c r="C821" s="7"/>
      <c r="D821" s="7"/>
      <c r="E821" s="7"/>
      <c r="F821" s="9" t="str">
        <f>IFERROR(INDEX($A$2:$A$1000,MATCH(ROWS($F$2:F821),$G$2:$G$1000,0)),"")</f>
        <v/>
      </c>
      <c r="G821" s="9" t="str">
        <f>IF($E821="Yes",COUNTIF($E$2:$E821,"Yes"),"")</f>
        <v/>
      </c>
      <c r="H821" s="3" t="str">
        <f t="shared" si="12"/>
        <v/>
      </c>
    </row>
    <row r="822" spans="1:8" ht="14.25" customHeight="1" x14ac:dyDescent="0.3">
      <c r="A822" s="7"/>
      <c r="B822" s="7"/>
      <c r="C822" s="7"/>
      <c r="D822" s="7"/>
      <c r="E822" s="7"/>
      <c r="F822" s="9" t="str">
        <f>IFERROR(INDEX($A$2:$A$1000,MATCH(ROWS($F$2:F822),$G$2:$G$1000,0)),"")</f>
        <v/>
      </c>
      <c r="G822" s="9" t="str">
        <f>IF($E822="Yes",COUNTIF($E$2:$E822,"Yes"),"")</f>
        <v/>
      </c>
      <c r="H822" s="3" t="str">
        <f t="shared" si="12"/>
        <v/>
      </c>
    </row>
    <row r="823" spans="1:8" ht="14.25" customHeight="1" x14ac:dyDescent="0.3">
      <c r="A823" s="7"/>
      <c r="B823" s="7"/>
      <c r="C823" s="7"/>
      <c r="D823" s="7"/>
      <c r="E823" s="7"/>
      <c r="F823" s="9" t="str">
        <f>IFERROR(INDEX($A$2:$A$1000,MATCH(ROWS($F$2:F823),$G$2:$G$1000,0)),"")</f>
        <v/>
      </c>
      <c r="G823" s="9" t="str">
        <f>IF($E823="Yes",COUNTIF($E$2:$E823,"Yes"),"")</f>
        <v/>
      </c>
      <c r="H823" s="3" t="str">
        <f t="shared" si="12"/>
        <v/>
      </c>
    </row>
    <row r="824" spans="1:8" ht="14.25" customHeight="1" x14ac:dyDescent="0.3">
      <c r="A824" s="7"/>
      <c r="B824" s="7"/>
      <c r="C824" s="7"/>
      <c r="D824" s="7"/>
      <c r="E824" s="7"/>
      <c r="F824" s="9" t="str">
        <f>IFERROR(INDEX($A$2:$A$1000,MATCH(ROWS($F$2:F824),$G$2:$G$1000,0)),"")</f>
        <v/>
      </c>
      <c r="G824" s="9" t="str">
        <f>IF($E824="Yes",COUNTIF($E$2:$E824,"Yes"),"")</f>
        <v/>
      </c>
      <c r="H824" s="3" t="str">
        <f t="shared" si="12"/>
        <v/>
      </c>
    </row>
    <row r="825" spans="1:8" ht="14.25" customHeight="1" x14ac:dyDescent="0.3">
      <c r="A825" s="7"/>
      <c r="B825" s="7"/>
      <c r="C825" s="7"/>
      <c r="D825" s="7"/>
      <c r="E825" s="7"/>
      <c r="F825" s="9" t="str">
        <f>IFERROR(INDEX($A$2:$A$1000,MATCH(ROWS($F$2:F825),$G$2:$G$1000,0)),"")</f>
        <v/>
      </c>
      <c r="G825" s="9" t="str">
        <f>IF($E825="Yes",COUNTIF($E$2:$E825,"Yes"),"")</f>
        <v/>
      </c>
      <c r="H825" s="3" t="str">
        <f t="shared" si="12"/>
        <v/>
      </c>
    </row>
    <row r="826" spans="1:8" ht="14.25" customHeight="1" x14ac:dyDescent="0.3">
      <c r="A826" s="7"/>
      <c r="B826" s="7"/>
      <c r="C826" s="7"/>
      <c r="D826" s="7"/>
      <c r="E826" s="7"/>
      <c r="F826" s="9" t="str">
        <f>IFERROR(INDEX($A$2:$A$1000,MATCH(ROWS($F$2:F826),$G$2:$G$1000,0)),"")</f>
        <v/>
      </c>
      <c r="G826" s="9" t="str">
        <f>IF($E826="Yes",COUNTIF($E$2:$E826,"Yes"),"")</f>
        <v/>
      </c>
      <c r="H826" s="3" t="str">
        <f t="shared" si="12"/>
        <v/>
      </c>
    </row>
    <row r="827" spans="1:8" ht="14.25" customHeight="1" x14ac:dyDescent="0.3">
      <c r="A827" s="7"/>
      <c r="B827" s="7"/>
      <c r="C827" s="7"/>
      <c r="D827" s="7"/>
      <c r="E827" s="7"/>
      <c r="F827" s="9" t="str">
        <f>IFERROR(INDEX($A$2:$A$1000,MATCH(ROWS($F$2:F827),$G$2:$G$1000,0)),"")</f>
        <v/>
      </c>
      <c r="G827" s="9" t="str">
        <f>IF($E827="Yes",COUNTIF($E$2:$E827,"Yes"),"")</f>
        <v/>
      </c>
      <c r="H827" s="3" t="str">
        <f t="shared" si="12"/>
        <v/>
      </c>
    </row>
    <row r="828" spans="1:8" ht="14.25" customHeight="1" x14ac:dyDescent="0.3">
      <c r="A828" s="7"/>
      <c r="B828" s="7"/>
      <c r="C828" s="7"/>
      <c r="D828" s="7"/>
      <c r="E828" s="7"/>
      <c r="F828" s="9" t="str">
        <f>IFERROR(INDEX($A$2:$A$1000,MATCH(ROWS($F$2:F828),$G$2:$G$1000,0)),"")</f>
        <v/>
      </c>
      <c r="G828" s="9" t="str">
        <f>IF($E828="Yes",COUNTIF($E$2:$E828,"Yes"),"")</f>
        <v/>
      </c>
      <c r="H828" s="3" t="str">
        <f t="shared" si="12"/>
        <v/>
      </c>
    </row>
    <row r="829" spans="1:8" ht="14.25" customHeight="1" x14ac:dyDescent="0.3">
      <c r="A829" s="7"/>
      <c r="B829" s="7"/>
      <c r="C829" s="7"/>
      <c r="D829" s="7"/>
      <c r="E829" s="7"/>
      <c r="F829" s="9" t="str">
        <f>IFERROR(INDEX($A$2:$A$1000,MATCH(ROWS($F$2:F829),$G$2:$G$1000,0)),"")</f>
        <v/>
      </c>
      <c r="G829" s="9" t="str">
        <f>IF($E829="Yes",COUNTIF($E$2:$E829,"Yes"),"")</f>
        <v/>
      </c>
      <c r="H829" s="3" t="str">
        <f t="shared" si="12"/>
        <v/>
      </c>
    </row>
    <row r="830" spans="1:8" ht="14.25" customHeight="1" x14ac:dyDescent="0.3">
      <c r="A830" s="7"/>
      <c r="B830" s="7"/>
      <c r="C830" s="7"/>
      <c r="D830" s="7"/>
      <c r="E830" s="7"/>
      <c r="F830" s="9" t="str">
        <f>IFERROR(INDEX($A$2:$A$1000,MATCH(ROWS($F$2:F830),$G$2:$G$1000,0)),"")</f>
        <v/>
      </c>
      <c r="G830" s="9" t="str">
        <f>IF($E830="Yes",COUNTIF($E$2:$E830,"Yes"),"")</f>
        <v/>
      </c>
      <c r="H830" s="3" t="str">
        <f t="shared" si="12"/>
        <v/>
      </c>
    </row>
    <row r="831" spans="1:8" ht="14.25" customHeight="1" x14ac:dyDescent="0.3">
      <c r="A831" s="7"/>
      <c r="B831" s="7"/>
      <c r="C831" s="7"/>
      <c r="D831" s="7"/>
      <c r="E831" s="7"/>
      <c r="F831" s="9" t="str">
        <f>IFERROR(INDEX($A$2:$A$1000,MATCH(ROWS($F$2:F831),$G$2:$G$1000,0)),"")</f>
        <v/>
      </c>
      <c r="G831" s="9" t="str">
        <f>IF($E831="Yes",COUNTIF($E$2:$E831,"Yes"),"")</f>
        <v/>
      </c>
      <c r="H831" s="3" t="str">
        <f t="shared" si="12"/>
        <v/>
      </c>
    </row>
    <row r="832" spans="1:8" ht="14.25" customHeight="1" x14ac:dyDescent="0.3">
      <c r="A832" s="7"/>
      <c r="B832" s="7"/>
      <c r="C832" s="7"/>
      <c r="D832" s="7"/>
      <c r="E832" s="7"/>
      <c r="F832" s="9" t="str">
        <f>IFERROR(INDEX($A$2:$A$1000,MATCH(ROWS($F$2:F832),$G$2:$G$1000,0)),"")</f>
        <v/>
      </c>
      <c r="G832" s="9" t="str">
        <f>IF($E832="Yes",COUNTIF($E$2:$E832,"Yes"),"")</f>
        <v/>
      </c>
      <c r="H832" s="3" t="str">
        <f t="shared" si="12"/>
        <v/>
      </c>
    </row>
    <row r="833" spans="1:8" ht="14.25" customHeight="1" x14ac:dyDescent="0.3">
      <c r="A833" s="7"/>
      <c r="B833" s="7"/>
      <c r="C833" s="7"/>
      <c r="D833" s="7"/>
      <c r="E833" s="7"/>
      <c r="F833" s="9" t="str">
        <f>IFERROR(INDEX($A$2:$A$1000,MATCH(ROWS($F$2:F833),$G$2:$G$1000,0)),"")</f>
        <v/>
      </c>
      <c r="G833" s="9" t="str">
        <f>IF($E833="Yes",COUNTIF($E$2:$E833,"Yes"),"")</f>
        <v/>
      </c>
      <c r="H833" s="3" t="str">
        <f t="shared" si="12"/>
        <v/>
      </c>
    </row>
    <row r="834" spans="1:8" ht="14.25" customHeight="1" x14ac:dyDescent="0.3">
      <c r="A834" s="7"/>
      <c r="B834" s="7"/>
      <c r="C834" s="7"/>
      <c r="D834" s="7"/>
      <c r="E834" s="7"/>
      <c r="F834" s="9" t="str">
        <f>IFERROR(INDEX($A$2:$A$1000,MATCH(ROWS($F$2:F834),$G$2:$G$1000,0)),"")</f>
        <v/>
      </c>
      <c r="G834" s="9" t="str">
        <f>IF($E834="Yes",COUNTIF($E$2:$E834,"Yes"),"")</f>
        <v/>
      </c>
      <c r="H834" s="3" t="str">
        <f t="shared" ref="H834:H897" si="13">IF(COUNTA(A834:E834)=0,"",IF(COUNTIF($A$2:$A$1000,A834)&gt;1,"DUPLICATE YEAR_SEM",IF(OR(B834&lt;1,B834&gt;4,C834&lt;1,C834&gt;2),"INVALID YEAR/SEMESTER","OK")))</f>
        <v/>
      </c>
    </row>
    <row r="835" spans="1:8" ht="14.25" customHeight="1" x14ac:dyDescent="0.3">
      <c r="A835" s="7"/>
      <c r="B835" s="7"/>
      <c r="C835" s="7"/>
      <c r="D835" s="7"/>
      <c r="E835" s="7"/>
      <c r="F835" s="9" t="str">
        <f>IFERROR(INDEX($A$2:$A$1000,MATCH(ROWS($F$2:F835),$G$2:$G$1000,0)),"")</f>
        <v/>
      </c>
      <c r="G835" s="9" t="str">
        <f>IF($E835="Yes",COUNTIF($E$2:$E835,"Yes"),"")</f>
        <v/>
      </c>
      <c r="H835" s="3" t="str">
        <f t="shared" si="13"/>
        <v/>
      </c>
    </row>
    <row r="836" spans="1:8" ht="14.25" customHeight="1" x14ac:dyDescent="0.3">
      <c r="A836" s="7"/>
      <c r="B836" s="7"/>
      <c r="C836" s="7"/>
      <c r="D836" s="7"/>
      <c r="E836" s="7"/>
      <c r="F836" s="9" t="str">
        <f>IFERROR(INDEX($A$2:$A$1000,MATCH(ROWS($F$2:F836),$G$2:$G$1000,0)),"")</f>
        <v/>
      </c>
      <c r="G836" s="9" t="str">
        <f>IF($E836="Yes",COUNTIF($E$2:$E836,"Yes"),"")</f>
        <v/>
      </c>
      <c r="H836" s="3" t="str">
        <f t="shared" si="13"/>
        <v/>
      </c>
    </row>
    <row r="837" spans="1:8" ht="14.25" customHeight="1" x14ac:dyDescent="0.3">
      <c r="A837" s="7"/>
      <c r="B837" s="7"/>
      <c r="C837" s="7"/>
      <c r="D837" s="7"/>
      <c r="E837" s="7"/>
      <c r="F837" s="9" t="str">
        <f>IFERROR(INDEX($A$2:$A$1000,MATCH(ROWS($F$2:F837),$G$2:$G$1000,0)),"")</f>
        <v/>
      </c>
      <c r="G837" s="9" t="str">
        <f>IF($E837="Yes",COUNTIF($E$2:$E837,"Yes"),"")</f>
        <v/>
      </c>
      <c r="H837" s="3" t="str">
        <f t="shared" si="13"/>
        <v/>
      </c>
    </row>
    <row r="838" spans="1:8" ht="14.25" customHeight="1" x14ac:dyDescent="0.3">
      <c r="A838" s="7"/>
      <c r="B838" s="7"/>
      <c r="C838" s="7"/>
      <c r="D838" s="7"/>
      <c r="E838" s="7"/>
      <c r="F838" s="9" t="str">
        <f>IFERROR(INDEX($A$2:$A$1000,MATCH(ROWS($F$2:F838),$G$2:$G$1000,0)),"")</f>
        <v/>
      </c>
      <c r="G838" s="9" t="str">
        <f>IF($E838="Yes",COUNTIF($E$2:$E838,"Yes"),"")</f>
        <v/>
      </c>
      <c r="H838" s="3" t="str">
        <f t="shared" si="13"/>
        <v/>
      </c>
    </row>
    <row r="839" spans="1:8" ht="14.25" customHeight="1" x14ac:dyDescent="0.3">
      <c r="A839" s="7"/>
      <c r="B839" s="7"/>
      <c r="C839" s="7"/>
      <c r="D839" s="7"/>
      <c r="E839" s="7"/>
      <c r="F839" s="9" t="str">
        <f>IFERROR(INDEX($A$2:$A$1000,MATCH(ROWS($F$2:F839),$G$2:$G$1000,0)),"")</f>
        <v/>
      </c>
      <c r="G839" s="9" t="str">
        <f>IF($E839="Yes",COUNTIF($E$2:$E839,"Yes"),"")</f>
        <v/>
      </c>
      <c r="H839" s="3" t="str">
        <f t="shared" si="13"/>
        <v/>
      </c>
    </row>
    <row r="840" spans="1:8" ht="14.25" customHeight="1" x14ac:dyDescent="0.3">
      <c r="A840" s="7"/>
      <c r="B840" s="7"/>
      <c r="C840" s="7"/>
      <c r="D840" s="7"/>
      <c r="E840" s="7"/>
      <c r="F840" s="9" t="str">
        <f>IFERROR(INDEX($A$2:$A$1000,MATCH(ROWS($F$2:F840),$G$2:$G$1000,0)),"")</f>
        <v/>
      </c>
      <c r="G840" s="9" t="str">
        <f>IF($E840="Yes",COUNTIF($E$2:$E840,"Yes"),"")</f>
        <v/>
      </c>
      <c r="H840" s="3" t="str">
        <f t="shared" si="13"/>
        <v/>
      </c>
    </row>
    <row r="841" spans="1:8" ht="14.25" customHeight="1" x14ac:dyDescent="0.3">
      <c r="A841" s="7"/>
      <c r="B841" s="7"/>
      <c r="C841" s="7"/>
      <c r="D841" s="7"/>
      <c r="E841" s="7"/>
      <c r="F841" s="9" t="str">
        <f>IFERROR(INDEX($A$2:$A$1000,MATCH(ROWS($F$2:F841),$G$2:$G$1000,0)),"")</f>
        <v/>
      </c>
      <c r="G841" s="9" t="str">
        <f>IF($E841="Yes",COUNTIF($E$2:$E841,"Yes"),"")</f>
        <v/>
      </c>
      <c r="H841" s="3" t="str">
        <f t="shared" si="13"/>
        <v/>
      </c>
    </row>
    <row r="842" spans="1:8" ht="14.25" customHeight="1" x14ac:dyDescent="0.3">
      <c r="A842" s="7"/>
      <c r="B842" s="7"/>
      <c r="C842" s="7"/>
      <c r="D842" s="7"/>
      <c r="E842" s="7"/>
      <c r="F842" s="9" t="str">
        <f>IFERROR(INDEX($A$2:$A$1000,MATCH(ROWS($F$2:F842),$G$2:$G$1000,0)),"")</f>
        <v/>
      </c>
      <c r="G842" s="9" t="str">
        <f>IF($E842="Yes",COUNTIF($E$2:$E842,"Yes"),"")</f>
        <v/>
      </c>
      <c r="H842" s="3" t="str">
        <f t="shared" si="13"/>
        <v/>
      </c>
    </row>
    <row r="843" spans="1:8" ht="14.25" customHeight="1" x14ac:dyDescent="0.3">
      <c r="A843" s="7"/>
      <c r="B843" s="7"/>
      <c r="C843" s="7"/>
      <c r="D843" s="7"/>
      <c r="E843" s="7"/>
      <c r="F843" s="9" t="str">
        <f>IFERROR(INDEX($A$2:$A$1000,MATCH(ROWS($F$2:F843),$G$2:$G$1000,0)),"")</f>
        <v/>
      </c>
      <c r="G843" s="9" t="str">
        <f>IF($E843="Yes",COUNTIF($E$2:$E843,"Yes"),"")</f>
        <v/>
      </c>
      <c r="H843" s="3" t="str">
        <f t="shared" si="13"/>
        <v/>
      </c>
    </row>
    <row r="844" spans="1:8" ht="14.25" customHeight="1" x14ac:dyDescent="0.3">
      <c r="A844" s="7"/>
      <c r="B844" s="7"/>
      <c r="C844" s="7"/>
      <c r="D844" s="7"/>
      <c r="E844" s="7"/>
      <c r="F844" s="9" t="str">
        <f>IFERROR(INDEX($A$2:$A$1000,MATCH(ROWS($F$2:F844),$G$2:$G$1000,0)),"")</f>
        <v/>
      </c>
      <c r="G844" s="9" t="str">
        <f>IF($E844="Yes",COUNTIF($E$2:$E844,"Yes"),"")</f>
        <v/>
      </c>
      <c r="H844" s="3" t="str">
        <f t="shared" si="13"/>
        <v/>
      </c>
    </row>
    <row r="845" spans="1:8" ht="14.25" customHeight="1" x14ac:dyDescent="0.3">
      <c r="A845" s="7"/>
      <c r="B845" s="7"/>
      <c r="C845" s="7"/>
      <c r="D845" s="7"/>
      <c r="E845" s="7"/>
      <c r="F845" s="9" t="str">
        <f>IFERROR(INDEX($A$2:$A$1000,MATCH(ROWS($F$2:F845),$G$2:$G$1000,0)),"")</f>
        <v/>
      </c>
      <c r="G845" s="9" t="str">
        <f>IF($E845="Yes",COUNTIF($E$2:$E845,"Yes"),"")</f>
        <v/>
      </c>
      <c r="H845" s="3" t="str">
        <f t="shared" si="13"/>
        <v/>
      </c>
    </row>
    <row r="846" spans="1:8" ht="14.25" customHeight="1" x14ac:dyDescent="0.3">
      <c r="A846" s="7"/>
      <c r="B846" s="7"/>
      <c r="C846" s="7"/>
      <c r="D846" s="7"/>
      <c r="E846" s="7"/>
      <c r="F846" s="9" t="str">
        <f>IFERROR(INDEX($A$2:$A$1000,MATCH(ROWS($F$2:F846),$G$2:$G$1000,0)),"")</f>
        <v/>
      </c>
      <c r="G846" s="9" t="str">
        <f>IF($E846="Yes",COUNTIF($E$2:$E846,"Yes"),"")</f>
        <v/>
      </c>
      <c r="H846" s="3" t="str">
        <f t="shared" si="13"/>
        <v/>
      </c>
    </row>
    <row r="847" spans="1:8" ht="14.25" customHeight="1" x14ac:dyDescent="0.3">
      <c r="A847" s="7"/>
      <c r="B847" s="7"/>
      <c r="C847" s="7"/>
      <c r="D847" s="7"/>
      <c r="E847" s="7"/>
      <c r="F847" s="9" t="str">
        <f>IFERROR(INDEX($A$2:$A$1000,MATCH(ROWS($F$2:F847),$G$2:$G$1000,0)),"")</f>
        <v/>
      </c>
      <c r="G847" s="9" t="str">
        <f>IF($E847="Yes",COUNTIF($E$2:$E847,"Yes"),"")</f>
        <v/>
      </c>
      <c r="H847" s="3" t="str">
        <f t="shared" si="13"/>
        <v/>
      </c>
    </row>
    <row r="848" spans="1:8" ht="14.25" customHeight="1" x14ac:dyDescent="0.3">
      <c r="A848" s="7"/>
      <c r="B848" s="7"/>
      <c r="C848" s="7"/>
      <c r="D848" s="7"/>
      <c r="E848" s="7"/>
      <c r="F848" s="9" t="str">
        <f>IFERROR(INDEX($A$2:$A$1000,MATCH(ROWS($F$2:F848),$G$2:$G$1000,0)),"")</f>
        <v/>
      </c>
      <c r="G848" s="9" t="str">
        <f>IF($E848="Yes",COUNTIF($E$2:$E848,"Yes"),"")</f>
        <v/>
      </c>
      <c r="H848" s="3" t="str">
        <f t="shared" si="13"/>
        <v/>
      </c>
    </row>
    <row r="849" spans="1:8" ht="14.25" customHeight="1" x14ac:dyDescent="0.3">
      <c r="A849" s="7"/>
      <c r="B849" s="7"/>
      <c r="C849" s="7"/>
      <c r="D849" s="7"/>
      <c r="E849" s="7"/>
      <c r="F849" s="9" t="str">
        <f>IFERROR(INDEX($A$2:$A$1000,MATCH(ROWS($F$2:F849),$G$2:$G$1000,0)),"")</f>
        <v/>
      </c>
      <c r="G849" s="9" t="str">
        <f>IF($E849="Yes",COUNTIF($E$2:$E849,"Yes"),"")</f>
        <v/>
      </c>
      <c r="H849" s="3" t="str">
        <f t="shared" si="13"/>
        <v/>
      </c>
    </row>
    <row r="850" spans="1:8" ht="14.25" customHeight="1" x14ac:dyDescent="0.3">
      <c r="A850" s="7"/>
      <c r="B850" s="7"/>
      <c r="C850" s="7"/>
      <c r="D850" s="7"/>
      <c r="E850" s="7"/>
      <c r="F850" s="9" t="str">
        <f>IFERROR(INDEX($A$2:$A$1000,MATCH(ROWS($F$2:F850),$G$2:$G$1000,0)),"")</f>
        <v/>
      </c>
      <c r="G850" s="9" t="str">
        <f>IF($E850="Yes",COUNTIF($E$2:$E850,"Yes"),"")</f>
        <v/>
      </c>
      <c r="H850" s="3" t="str">
        <f t="shared" si="13"/>
        <v/>
      </c>
    </row>
    <row r="851" spans="1:8" ht="14.25" customHeight="1" x14ac:dyDescent="0.3">
      <c r="A851" s="7"/>
      <c r="B851" s="7"/>
      <c r="C851" s="7"/>
      <c r="D851" s="7"/>
      <c r="E851" s="7"/>
      <c r="F851" s="9" t="str">
        <f>IFERROR(INDEX($A$2:$A$1000,MATCH(ROWS($F$2:F851),$G$2:$G$1000,0)),"")</f>
        <v/>
      </c>
      <c r="G851" s="9" t="str">
        <f>IF($E851="Yes",COUNTIF($E$2:$E851,"Yes"),"")</f>
        <v/>
      </c>
      <c r="H851" s="3" t="str">
        <f t="shared" si="13"/>
        <v/>
      </c>
    </row>
    <row r="852" spans="1:8" ht="14.25" customHeight="1" x14ac:dyDescent="0.3">
      <c r="A852" s="7"/>
      <c r="B852" s="7"/>
      <c r="C852" s="7"/>
      <c r="D852" s="7"/>
      <c r="E852" s="7"/>
      <c r="F852" s="9" t="str">
        <f>IFERROR(INDEX($A$2:$A$1000,MATCH(ROWS($F$2:F852),$G$2:$G$1000,0)),"")</f>
        <v/>
      </c>
      <c r="G852" s="9" t="str">
        <f>IF($E852="Yes",COUNTIF($E$2:$E852,"Yes"),"")</f>
        <v/>
      </c>
      <c r="H852" s="3" t="str">
        <f t="shared" si="13"/>
        <v/>
      </c>
    </row>
    <row r="853" spans="1:8" ht="14.25" customHeight="1" x14ac:dyDescent="0.3">
      <c r="A853" s="7"/>
      <c r="B853" s="7"/>
      <c r="C853" s="7"/>
      <c r="D853" s="7"/>
      <c r="E853" s="7"/>
      <c r="F853" s="9" t="str">
        <f>IFERROR(INDEX($A$2:$A$1000,MATCH(ROWS($F$2:F853),$G$2:$G$1000,0)),"")</f>
        <v/>
      </c>
      <c r="G853" s="9" t="str">
        <f>IF($E853="Yes",COUNTIF($E$2:$E853,"Yes"),"")</f>
        <v/>
      </c>
      <c r="H853" s="3" t="str">
        <f t="shared" si="13"/>
        <v/>
      </c>
    </row>
    <row r="854" spans="1:8" ht="14.25" customHeight="1" x14ac:dyDescent="0.3">
      <c r="A854" s="7"/>
      <c r="B854" s="7"/>
      <c r="C854" s="7"/>
      <c r="D854" s="7"/>
      <c r="E854" s="7"/>
      <c r="F854" s="9" t="str">
        <f>IFERROR(INDEX($A$2:$A$1000,MATCH(ROWS($F$2:F854),$G$2:$G$1000,0)),"")</f>
        <v/>
      </c>
      <c r="G854" s="9" t="str">
        <f>IF($E854="Yes",COUNTIF($E$2:$E854,"Yes"),"")</f>
        <v/>
      </c>
      <c r="H854" s="3" t="str">
        <f t="shared" si="13"/>
        <v/>
      </c>
    </row>
    <row r="855" spans="1:8" ht="14.25" customHeight="1" x14ac:dyDescent="0.3">
      <c r="A855" s="7"/>
      <c r="B855" s="7"/>
      <c r="C855" s="7"/>
      <c r="D855" s="7"/>
      <c r="E855" s="7"/>
      <c r="F855" s="9" t="str">
        <f>IFERROR(INDEX($A$2:$A$1000,MATCH(ROWS($F$2:F855),$G$2:$G$1000,0)),"")</f>
        <v/>
      </c>
      <c r="G855" s="9" t="str">
        <f>IF($E855="Yes",COUNTIF($E$2:$E855,"Yes"),"")</f>
        <v/>
      </c>
      <c r="H855" s="3" t="str">
        <f t="shared" si="13"/>
        <v/>
      </c>
    </row>
    <row r="856" spans="1:8" ht="14.25" customHeight="1" x14ac:dyDescent="0.3">
      <c r="A856" s="7"/>
      <c r="B856" s="7"/>
      <c r="C856" s="7"/>
      <c r="D856" s="7"/>
      <c r="E856" s="7"/>
      <c r="F856" s="9" t="str">
        <f>IFERROR(INDEX($A$2:$A$1000,MATCH(ROWS($F$2:F856),$G$2:$G$1000,0)),"")</f>
        <v/>
      </c>
      <c r="G856" s="9" t="str">
        <f>IF($E856="Yes",COUNTIF($E$2:$E856,"Yes"),"")</f>
        <v/>
      </c>
      <c r="H856" s="3" t="str">
        <f t="shared" si="13"/>
        <v/>
      </c>
    </row>
    <row r="857" spans="1:8" ht="14.25" customHeight="1" x14ac:dyDescent="0.3">
      <c r="A857" s="7"/>
      <c r="B857" s="7"/>
      <c r="C857" s="7"/>
      <c r="D857" s="7"/>
      <c r="E857" s="7"/>
      <c r="F857" s="9" t="str">
        <f>IFERROR(INDEX($A$2:$A$1000,MATCH(ROWS($F$2:F857),$G$2:$G$1000,0)),"")</f>
        <v/>
      </c>
      <c r="G857" s="9" t="str">
        <f>IF($E857="Yes",COUNTIF($E$2:$E857,"Yes"),"")</f>
        <v/>
      </c>
      <c r="H857" s="3" t="str">
        <f t="shared" si="13"/>
        <v/>
      </c>
    </row>
    <row r="858" spans="1:8" ht="14.25" customHeight="1" x14ac:dyDescent="0.3">
      <c r="A858" s="7"/>
      <c r="B858" s="7"/>
      <c r="C858" s="7"/>
      <c r="D858" s="7"/>
      <c r="E858" s="7"/>
      <c r="F858" s="9" t="str">
        <f>IFERROR(INDEX($A$2:$A$1000,MATCH(ROWS($F$2:F858),$G$2:$G$1000,0)),"")</f>
        <v/>
      </c>
      <c r="G858" s="9" t="str">
        <f>IF($E858="Yes",COUNTIF($E$2:$E858,"Yes"),"")</f>
        <v/>
      </c>
      <c r="H858" s="3" t="str">
        <f t="shared" si="13"/>
        <v/>
      </c>
    </row>
    <row r="859" spans="1:8" ht="14.25" customHeight="1" x14ac:dyDescent="0.3">
      <c r="A859" s="7"/>
      <c r="B859" s="7"/>
      <c r="C859" s="7"/>
      <c r="D859" s="7"/>
      <c r="E859" s="7"/>
      <c r="F859" s="9" t="str">
        <f>IFERROR(INDEX($A$2:$A$1000,MATCH(ROWS($F$2:F859),$G$2:$G$1000,0)),"")</f>
        <v/>
      </c>
      <c r="G859" s="9" t="str">
        <f>IF($E859="Yes",COUNTIF($E$2:$E859,"Yes"),"")</f>
        <v/>
      </c>
      <c r="H859" s="3" t="str">
        <f t="shared" si="13"/>
        <v/>
      </c>
    </row>
    <row r="860" spans="1:8" ht="14.25" customHeight="1" x14ac:dyDescent="0.3">
      <c r="A860" s="7"/>
      <c r="B860" s="7"/>
      <c r="C860" s="7"/>
      <c r="D860" s="7"/>
      <c r="E860" s="7"/>
      <c r="F860" s="9" t="str">
        <f>IFERROR(INDEX($A$2:$A$1000,MATCH(ROWS($F$2:F860),$G$2:$G$1000,0)),"")</f>
        <v/>
      </c>
      <c r="G860" s="9" t="str">
        <f>IF($E860="Yes",COUNTIF($E$2:$E860,"Yes"),"")</f>
        <v/>
      </c>
      <c r="H860" s="3" t="str">
        <f t="shared" si="13"/>
        <v/>
      </c>
    </row>
    <row r="861" spans="1:8" ht="14.25" customHeight="1" x14ac:dyDescent="0.3">
      <c r="A861" s="7"/>
      <c r="B861" s="7"/>
      <c r="C861" s="7"/>
      <c r="D861" s="7"/>
      <c r="E861" s="7"/>
      <c r="F861" s="9" t="str">
        <f>IFERROR(INDEX($A$2:$A$1000,MATCH(ROWS($F$2:F861),$G$2:$G$1000,0)),"")</f>
        <v/>
      </c>
      <c r="G861" s="9" t="str">
        <f>IF($E861="Yes",COUNTIF($E$2:$E861,"Yes"),"")</f>
        <v/>
      </c>
      <c r="H861" s="3" t="str">
        <f t="shared" si="13"/>
        <v/>
      </c>
    </row>
    <row r="862" spans="1:8" ht="14.25" customHeight="1" x14ac:dyDescent="0.3">
      <c r="A862" s="7"/>
      <c r="B862" s="7"/>
      <c r="C862" s="7"/>
      <c r="D862" s="7"/>
      <c r="E862" s="7"/>
      <c r="F862" s="9" t="str">
        <f>IFERROR(INDEX($A$2:$A$1000,MATCH(ROWS($F$2:F862),$G$2:$G$1000,0)),"")</f>
        <v/>
      </c>
      <c r="G862" s="9" t="str">
        <f>IF($E862="Yes",COUNTIF($E$2:$E862,"Yes"),"")</f>
        <v/>
      </c>
      <c r="H862" s="3" t="str">
        <f t="shared" si="13"/>
        <v/>
      </c>
    </row>
    <row r="863" spans="1:8" ht="14.25" customHeight="1" x14ac:dyDescent="0.3">
      <c r="A863" s="7"/>
      <c r="B863" s="7"/>
      <c r="C863" s="7"/>
      <c r="D863" s="7"/>
      <c r="E863" s="7"/>
      <c r="F863" s="9" t="str">
        <f>IFERROR(INDEX($A$2:$A$1000,MATCH(ROWS($F$2:F863),$G$2:$G$1000,0)),"")</f>
        <v/>
      </c>
      <c r="G863" s="9" t="str">
        <f>IF($E863="Yes",COUNTIF($E$2:$E863,"Yes"),"")</f>
        <v/>
      </c>
      <c r="H863" s="3" t="str">
        <f t="shared" si="13"/>
        <v/>
      </c>
    </row>
    <row r="864" spans="1:8" ht="14.25" customHeight="1" x14ac:dyDescent="0.3">
      <c r="A864" s="7"/>
      <c r="B864" s="7"/>
      <c r="C864" s="7"/>
      <c r="D864" s="7"/>
      <c r="E864" s="7"/>
      <c r="F864" s="9" t="str">
        <f>IFERROR(INDEX($A$2:$A$1000,MATCH(ROWS($F$2:F864),$G$2:$G$1000,0)),"")</f>
        <v/>
      </c>
      <c r="G864" s="9" t="str">
        <f>IF($E864="Yes",COUNTIF($E$2:$E864,"Yes"),"")</f>
        <v/>
      </c>
      <c r="H864" s="3" t="str">
        <f t="shared" si="13"/>
        <v/>
      </c>
    </row>
    <row r="865" spans="1:8" ht="14.25" customHeight="1" x14ac:dyDescent="0.3">
      <c r="A865" s="7"/>
      <c r="B865" s="7"/>
      <c r="C865" s="7"/>
      <c r="D865" s="7"/>
      <c r="E865" s="7"/>
      <c r="F865" s="9" t="str">
        <f>IFERROR(INDEX($A$2:$A$1000,MATCH(ROWS($F$2:F865),$G$2:$G$1000,0)),"")</f>
        <v/>
      </c>
      <c r="G865" s="9" t="str">
        <f>IF($E865="Yes",COUNTIF($E$2:$E865,"Yes"),"")</f>
        <v/>
      </c>
      <c r="H865" s="3" t="str">
        <f t="shared" si="13"/>
        <v/>
      </c>
    </row>
    <row r="866" spans="1:8" ht="14.25" customHeight="1" x14ac:dyDescent="0.3">
      <c r="A866" s="7"/>
      <c r="B866" s="7"/>
      <c r="C866" s="7"/>
      <c r="D866" s="7"/>
      <c r="E866" s="7"/>
      <c r="F866" s="9" t="str">
        <f>IFERROR(INDEX($A$2:$A$1000,MATCH(ROWS($F$2:F866),$G$2:$G$1000,0)),"")</f>
        <v/>
      </c>
      <c r="G866" s="9" t="str">
        <f>IF($E866="Yes",COUNTIF($E$2:$E866,"Yes"),"")</f>
        <v/>
      </c>
      <c r="H866" s="3" t="str">
        <f t="shared" si="13"/>
        <v/>
      </c>
    </row>
    <row r="867" spans="1:8" ht="14.25" customHeight="1" x14ac:dyDescent="0.3">
      <c r="A867" s="7"/>
      <c r="B867" s="7"/>
      <c r="C867" s="7"/>
      <c r="D867" s="7"/>
      <c r="E867" s="7"/>
      <c r="F867" s="9" t="str">
        <f>IFERROR(INDEX($A$2:$A$1000,MATCH(ROWS($F$2:F867),$G$2:$G$1000,0)),"")</f>
        <v/>
      </c>
      <c r="G867" s="9" t="str">
        <f>IF($E867="Yes",COUNTIF($E$2:$E867,"Yes"),"")</f>
        <v/>
      </c>
      <c r="H867" s="3" t="str">
        <f t="shared" si="13"/>
        <v/>
      </c>
    </row>
    <row r="868" spans="1:8" ht="14.25" customHeight="1" x14ac:dyDescent="0.3">
      <c r="A868" s="7"/>
      <c r="B868" s="7"/>
      <c r="C868" s="7"/>
      <c r="D868" s="7"/>
      <c r="E868" s="7"/>
      <c r="F868" s="9" t="str">
        <f>IFERROR(INDEX($A$2:$A$1000,MATCH(ROWS($F$2:F868),$G$2:$G$1000,0)),"")</f>
        <v/>
      </c>
      <c r="G868" s="9" t="str">
        <f>IF($E868="Yes",COUNTIF($E$2:$E868,"Yes"),"")</f>
        <v/>
      </c>
      <c r="H868" s="3" t="str">
        <f t="shared" si="13"/>
        <v/>
      </c>
    </row>
    <row r="869" spans="1:8" ht="14.25" customHeight="1" x14ac:dyDescent="0.3">
      <c r="A869" s="7"/>
      <c r="B869" s="7"/>
      <c r="C869" s="7"/>
      <c r="D869" s="7"/>
      <c r="E869" s="7"/>
      <c r="F869" s="9" t="str">
        <f>IFERROR(INDEX($A$2:$A$1000,MATCH(ROWS($F$2:F869),$G$2:$G$1000,0)),"")</f>
        <v/>
      </c>
      <c r="G869" s="9" t="str">
        <f>IF($E869="Yes",COUNTIF($E$2:$E869,"Yes"),"")</f>
        <v/>
      </c>
      <c r="H869" s="3" t="str">
        <f t="shared" si="13"/>
        <v/>
      </c>
    </row>
    <row r="870" spans="1:8" ht="14.25" customHeight="1" x14ac:dyDescent="0.3">
      <c r="A870" s="7"/>
      <c r="B870" s="7"/>
      <c r="C870" s="7"/>
      <c r="D870" s="7"/>
      <c r="E870" s="7"/>
      <c r="F870" s="9" t="str">
        <f>IFERROR(INDEX($A$2:$A$1000,MATCH(ROWS($F$2:F870),$G$2:$G$1000,0)),"")</f>
        <v/>
      </c>
      <c r="G870" s="9" t="str">
        <f>IF($E870="Yes",COUNTIF($E$2:$E870,"Yes"),"")</f>
        <v/>
      </c>
      <c r="H870" s="3" t="str">
        <f t="shared" si="13"/>
        <v/>
      </c>
    </row>
    <row r="871" spans="1:8" ht="14.25" customHeight="1" x14ac:dyDescent="0.3">
      <c r="A871" s="7"/>
      <c r="B871" s="7"/>
      <c r="C871" s="7"/>
      <c r="D871" s="7"/>
      <c r="E871" s="7"/>
      <c r="F871" s="9" t="str">
        <f>IFERROR(INDEX($A$2:$A$1000,MATCH(ROWS($F$2:F871),$G$2:$G$1000,0)),"")</f>
        <v/>
      </c>
      <c r="G871" s="9" t="str">
        <f>IF($E871="Yes",COUNTIF($E$2:$E871,"Yes"),"")</f>
        <v/>
      </c>
      <c r="H871" s="3" t="str">
        <f t="shared" si="13"/>
        <v/>
      </c>
    </row>
    <row r="872" spans="1:8" ht="14.25" customHeight="1" x14ac:dyDescent="0.3">
      <c r="A872" s="7"/>
      <c r="B872" s="7"/>
      <c r="C872" s="7"/>
      <c r="D872" s="7"/>
      <c r="E872" s="7"/>
      <c r="F872" s="9" t="str">
        <f>IFERROR(INDEX($A$2:$A$1000,MATCH(ROWS($F$2:F872),$G$2:$G$1000,0)),"")</f>
        <v/>
      </c>
      <c r="G872" s="9" t="str">
        <f>IF($E872="Yes",COUNTIF($E$2:$E872,"Yes"),"")</f>
        <v/>
      </c>
      <c r="H872" s="3" t="str">
        <f t="shared" si="13"/>
        <v/>
      </c>
    </row>
    <row r="873" spans="1:8" ht="14.25" customHeight="1" x14ac:dyDescent="0.3">
      <c r="A873" s="7"/>
      <c r="B873" s="7"/>
      <c r="C873" s="7"/>
      <c r="D873" s="7"/>
      <c r="E873" s="7"/>
      <c r="F873" s="9" t="str">
        <f>IFERROR(INDEX($A$2:$A$1000,MATCH(ROWS($F$2:F873),$G$2:$G$1000,0)),"")</f>
        <v/>
      </c>
      <c r="G873" s="9" t="str">
        <f>IF($E873="Yes",COUNTIF($E$2:$E873,"Yes"),"")</f>
        <v/>
      </c>
      <c r="H873" s="3" t="str">
        <f t="shared" si="13"/>
        <v/>
      </c>
    </row>
    <row r="874" spans="1:8" ht="14.25" customHeight="1" x14ac:dyDescent="0.3">
      <c r="A874" s="7"/>
      <c r="B874" s="7"/>
      <c r="C874" s="7"/>
      <c r="D874" s="7"/>
      <c r="E874" s="7"/>
      <c r="F874" s="9" t="str">
        <f>IFERROR(INDEX($A$2:$A$1000,MATCH(ROWS($F$2:F874),$G$2:$G$1000,0)),"")</f>
        <v/>
      </c>
      <c r="G874" s="9" t="str">
        <f>IF($E874="Yes",COUNTIF($E$2:$E874,"Yes"),"")</f>
        <v/>
      </c>
      <c r="H874" s="3" t="str">
        <f t="shared" si="13"/>
        <v/>
      </c>
    </row>
    <row r="875" spans="1:8" ht="14.25" customHeight="1" x14ac:dyDescent="0.3">
      <c r="A875" s="7"/>
      <c r="B875" s="7"/>
      <c r="C875" s="7"/>
      <c r="D875" s="7"/>
      <c r="E875" s="7"/>
      <c r="F875" s="9" t="str">
        <f>IFERROR(INDEX($A$2:$A$1000,MATCH(ROWS($F$2:F875),$G$2:$G$1000,0)),"")</f>
        <v/>
      </c>
      <c r="G875" s="9" t="str">
        <f>IF($E875="Yes",COUNTIF($E$2:$E875,"Yes"),"")</f>
        <v/>
      </c>
      <c r="H875" s="3" t="str">
        <f t="shared" si="13"/>
        <v/>
      </c>
    </row>
    <row r="876" spans="1:8" ht="14.25" customHeight="1" x14ac:dyDescent="0.3">
      <c r="A876" s="7"/>
      <c r="B876" s="7"/>
      <c r="C876" s="7"/>
      <c r="D876" s="7"/>
      <c r="E876" s="7"/>
      <c r="F876" s="9" t="str">
        <f>IFERROR(INDEX($A$2:$A$1000,MATCH(ROWS($F$2:F876),$G$2:$G$1000,0)),"")</f>
        <v/>
      </c>
      <c r="G876" s="9" t="str">
        <f>IF($E876="Yes",COUNTIF($E$2:$E876,"Yes"),"")</f>
        <v/>
      </c>
      <c r="H876" s="3" t="str">
        <f t="shared" si="13"/>
        <v/>
      </c>
    </row>
    <row r="877" spans="1:8" ht="14.25" customHeight="1" x14ac:dyDescent="0.3">
      <c r="A877" s="7"/>
      <c r="B877" s="7"/>
      <c r="C877" s="7"/>
      <c r="D877" s="7"/>
      <c r="E877" s="7"/>
      <c r="F877" s="9" t="str">
        <f>IFERROR(INDEX($A$2:$A$1000,MATCH(ROWS($F$2:F877),$G$2:$G$1000,0)),"")</f>
        <v/>
      </c>
      <c r="G877" s="9" t="str">
        <f>IF($E877="Yes",COUNTIF($E$2:$E877,"Yes"),"")</f>
        <v/>
      </c>
      <c r="H877" s="3" t="str">
        <f t="shared" si="13"/>
        <v/>
      </c>
    </row>
    <row r="878" spans="1:8" ht="14.25" customHeight="1" x14ac:dyDescent="0.3">
      <c r="A878" s="7"/>
      <c r="B878" s="7"/>
      <c r="C878" s="7"/>
      <c r="D878" s="7"/>
      <c r="E878" s="7"/>
      <c r="F878" s="9" t="str">
        <f>IFERROR(INDEX($A$2:$A$1000,MATCH(ROWS($F$2:F878),$G$2:$G$1000,0)),"")</f>
        <v/>
      </c>
      <c r="G878" s="9" t="str">
        <f>IF($E878="Yes",COUNTIF($E$2:$E878,"Yes"),"")</f>
        <v/>
      </c>
      <c r="H878" s="3" t="str">
        <f t="shared" si="13"/>
        <v/>
      </c>
    </row>
    <row r="879" spans="1:8" ht="14.25" customHeight="1" x14ac:dyDescent="0.3">
      <c r="A879" s="7"/>
      <c r="B879" s="7"/>
      <c r="C879" s="7"/>
      <c r="D879" s="7"/>
      <c r="E879" s="7"/>
      <c r="F879" s="9" t="str">
        <f>IFERROR(INDEX($A$2:$A$1000,MATCH(ROWS($F$2:F879),$G$2:$G$1000,0)),"")</f>
        <v/>
      </c>
      <c r="G879" s="9" t="str">
        <f>IF($E879="Yes",COUNTIF($E$2:$E879,"Yes"),"")</f>
        <v/>
      </c>
      <c r="H879" s="3" t="str">
        <f t="shared" si="13"/>
        <v/>
      </c>
    </row>
    <row r="880" spans="1:8" ht="14.25" customHeight="1" x14ac:dyDescent="0.3">
      <c r="A880" s="7"/>
      <c r="B880" s="7"/>
      <c r="C880" s="7"/>
      <c r="D880" s="7"/>
      <c r="E880" s="7"/>
      <c r="F880" s="9" t="str">
        <f>IFERROR(INDEX($A$2:$A$1000,MATCH(ROWS($F$2:F880),$G$2:$G$1000,0)),"")</f>
        <v/>
      </c>
      <c r="G880" s="9" t="str">
        <f>IF($E880="Yes",COUNTIF($E$2:$E880,"Yes"),"")</f>
        <v/>
      </c>
      <c r="H880" s="3" t="str">
        <f t="shared" si="13"/>
        <v/>
      </c>
    </row>
    <row r="881" spans="1:8" ht="14.25" customHeight="1" x14ac:dyDescent="0.3">
      <c r="A881" s="7"/>
      <c r="B881" s="7"/>
      <c r="C881" s="7"/>
      <c r="D881" s="7"/>
      <c r="E881" s="7"/>
      <c r="F881" s="9" t="str">
        <f>IFERROR(INDEX($A$2:$A$1000,MATCH(ROWS($F$2:F881),$G$2:$G$1000,0)),"")</f>
        <v/>
      </c>
      <c r="G881" s="9" t="str">
        <f>IF($E881="Yes",COUNTIF($E$2:$E881,"Yes"),"")</f>
        <v/>
      </c>
      <c r="H881" s="3" t="str">
        <f t="shared" si="13"/>
        <v/>
      </c>
    </row>
    <row r="882" spans="1:8" ht="14.25" customHeight="1" x14ac:dyDescent="0.3">
      <c r="A882" s="7"/>
      <c r="B882" s="7"/>
      <c r="C882" s="7"/>
      <c r="D882" s="7"/>
      <c r="E882" s="7"/>
      <c r="F882" s="9" t="str">
        <f>IFERROR(INDEX($A$2:$A$1000,MATCH(ROWS($F$2:F882),$G$2:$G$1000,0)),"")</f>
        <v/>
      </c>
      <c r="G882" s="9" t="str">
        <f>IF($E882="Yes",COUNTIF($E$2:$E882,"Yes"),"")</f>
        <v/>
      </c>
      <c r="H882" s="3" t="str">
        <f t="shared" si="13"/>
        <v/>
      </c>
    </row>
    <row r="883" spans="1:8" ht="14.25" customHeight="1" x14ac:dyDescent="0.3">
      <c r="A883" s="7"/>
      <c r="B883" s="7"/>
      <c r="C883" s="7"/>
      <c r="D883" s="7"/>
      <c r="E883" s="7"/>
      <c r="F883" s="9" t="str">
        <f>IFERROR(INDEX($A$2:$A$1000,MATCH(ROWS($F$2:F883),$G$2:$G$1000,0)),"")</f>
        <v/>
      </c>
      <c r="G883" s="9" t="str">
        <f>IF($E883="Yes",COUNTIF($E$2:$E883,"Yes"),"")</f>
        <v/>
      </c>
      <c r="H883" s="3" t="str">
        <f t="shared" si="13"/>
        <v/>
      </c>
    </row>
    <row r="884" spans="1:8" ht="14.25" customHeight="1" x14ac:dyDescent="0.3">
      <c r="A884" s="7"/>
      <c r="B884" s="7"/>
      <c r="C884" s="7"/>
      <c r="D884" s="7"/>
      <c r="E884" s="7"/>
      <c r="F884" s="9" t="str">
        <f>IFERROR(INDEX($A$2:$A$1000,MATCH(ROWS($F$2:F884),$G$2:$G$1000,0)),"")</f>
        <v/>
      </c>
      <c r="G884" s="9" t="str">
        <f>IF($E884="Yes",COUNTIF($E$2:$E884,"Yes"),"")</f>
        <v/>
      </c>
      <c r="H884" s="3" t="str">
        <f t="shared" si="13"/>
        <v/>
      </c>
    </row>
    <row r="885" spans="1:8" ht="14.25" customHeight="1" x14ac:dyDescent="0.3">
      <c r="A885" s="7"/>
      <c r="B885" s="7"/>
      <c r="C885" s="7"/>
      <c r="D885" s="7"/>
      <c r="E885" s="7"/>
      <c r="F885" s="9" t="str">
        <f>IFERROR(INDEX($A$2:$A$1000,MATCH(ROWS($F$2:F885),$G$2:$G$1000,0)),"")</f>
        <v/>
      </c>
      <c r="G885" s="9" t="str">
        <f>IF($E885="Yes",COUNTIF($E$2:$E885,"Yes"),"")</f>
        <v/>
      </c>
      <c r="H885" s="3" t="str">
        <f t="shared" si="13"/>
        <v/>
      </c>
    </row>
    <row r="886" spans="1:8" ht="14.25" customHeight="1" x14ac:dyDescent="0.3">
      <c r="A886" s="7"/>
      <c r="B886" s="7"/>
      <c r="C886" s="7"/>
      <c r="D886" s="7"/>
      <c r="E886" s="7"/>
      <c r="F886" s="9" t="str">
        <f>IFERROR(INDEX($A$2:$A$1000,MATCH(ROWS($F$2:F886),$G$2:$G$1000,0)),"")</f>
        <v/>
      </c>
      <c r="G886" s="9" t="str">
        <f>IF($E886="Yes",COUNTIF($E$2:$E886,"Yes"),"")</f>
        <v/>
      </c>
      <c r="H886" s="3" t="str">
        <f t="shared" si="13"/>
        <v/>
      </c>
    </row>
    <row r="887" spans="1:8" ht="14.25" customHeight="1" x14ac:dyDescent="0.3">
      <c r="A887" s="7"/>
      <c r="B887" s="7"/>
      <c r="C887" s="7"/>
      <c r="D887" s="7"/>
      <c r="E887" s="7"/>
      <c r="F887" s="9" t="str">
        <f>IFERROR(INDEX($A$2:$A$1000,MATCH(ROWS($F$2:F887),$G$2:$G$1000,0)),"")</f>
        <v/>
      </c>
      <c r="G887" s="9" t="str">
        <f>IF($E887="Yes",COUNTIF($E$2:$E887,"Yes"),"")</f>
        <v/>
      </c>
      <c r="H887" s="3" t="str">
        <f t="shared" si="13"/>
        <v/>
      </c>
    </row>
    <row r="888" spans="1:8" ht="14.25" customHeight="1" x14ac:dyDescent="0.3">
      <c r="A888" s="7"/>
      <c r="B888" s="7"/>
      <c r="C888" s="7"/>
      <c r="D888" s="7"/>
      <c r="E888" s="7"/>
      <c r="F888" s="9" t="str">
        <f>IFERROR(INDEX($A$2:$A$1000,MATCH(ROWS($F$2:F888),$G$2:$G$1000,0)),"")</f>
        <v/>
      </c>
      <c r="G888" s="9" t="str">
        <f>IF($E888="Yes",COUNTIF($E$2:$E888,"Yes"),"")</f>
        <v/>
      </c>
      <c r="H888" s="3" t="str">
        <f t="shared" si="13"/>
        <v/>
      </c>
    </row>
    <row r="889" spans="1:8" ht="14.25" customHeight="1" x14ac:dyDescent="0.3">
      <c r="A889" s="7"/>
      <c r="B889" s="7"/>
      <c r="C889" s="7"/>
      <c r="D889" s="7"/>
      <c r="E889" s="7"/>
      <c r="F889" s="9" t="str">
        <f>IFERROR(INDEX($A$2:$A$1000,MATCH(ROWS($F$2:F889),$G$2:$G$1000,0)),"")</f>
        <v/>
      </c>
      <c r="G889" s="9" t="str">
        <f>IF($E889="Yes",COUNTIF($E$2:$E889,"Yes"),"")</f>
        <v/>
      </c>
      <c r="H889" s="3" t="str">
        <f t="shared" si="13"/>
        <v/>
      </c>
    </row>
    <row r="890" spans="1:8" ht="14.25" customHeight="1" x14ac:dyDescent="0.3">
      <c r="A890" s="7"/>
      <c r="B890" s="7"/>
      <c r="C890" s="7"/>
      <c r="D890" s="7"/>
      <c r="E890" s="7"/>
      <c r="F890" s="9" t="str">
        <f>IFERROR(INDEX($A$2:$A$1000,MATCH(ROWS($F$2:F890),$G$2:$G$1000,0)),"")</f>
        <v/>
      </c>
      <c r="G890" s="9" t="str">
        <f>IF($E890="Yes",COUNTIF($E$2:$E890,"Yes"),"")</f>
        <v/>
      </c>
      <c r="H890" s="3" t="str">
        <f t="shared" si="13"/>
        <v/>
      </c>
    </row>
    <row r="891" spans="1:8" ht="14.25" customHeight="1" x14ac:dyDescent="0.3">
      <c r="A891" s="7"/>
      <c r="B891" s="7"/>
      <c r="C891" s="7"/>
      <c r="D891" s="7"/>
      <c r="E891" s="7"/>
      <c r="F891" s="9" t="str">
        <f>IFERROR(INDEX($A$2:$A$1000,MATCH(ROWS($F$2:F891),$G$2:$G$1000,0)),"")</f>
        <v/>
      </c>
      <c r="G891" s="9" t="str">
        <f>IF($E891="Yes",COUNTIF($E$2:$E891,"Yes"),"")</f>
        <v/>
      </c>
      <c r="H891" s="3" t="str">
        <f t="shared" si="13"/>
        <v/>
      </c>
    </row>
    <row r="892" spans="1:8" ht="14.25" customHeight="1" x14ac:dyDescent="0.3">
      <c r="A892" s="7"/>
      <c r="B892" s="7"/>
      <c r="C892" s="7"/>
      <c r="D892" s="7"/>
      <c r="E892" s="7"/>
      <c r="F892" s="9" t="str">
        <f>IFERROR(INDEX($A$2:$A$1000,MATCH(ROWS($F$2:F892),$G$2:$G$1000,0)),"")</f>
        <v/>
      </c>
      <c r="G892" s="9" t="str">
        <f>IF($E892="Yes",COUNTIF($E$2:$E892,"Yes"),"")</f>
        <v/>
      </c>
      <c r="H892" s="3" t="str">
        <f t="shared" si="13"/>
        <v/>
      </c>
    </row>
    <row r="893" spans="1:8" ht="14.25" customHeight="1" x14ac:dyDescent="0.3">
      <c r="A893" s="7"/>
      <c r="B893" s="7"/>
      <c r="C893" s="7"/>
      <c r="D893" s="7"/>
      <c r="E893" s="7"/>
      <c r="F893" s="9" t="str">
        <f>IFERROR(INDEX($A$2:$A$1000,MATCH(ROWS($F$2:F893),$G$2:$G$1000,0)),"")</f>
        <v/>
      </c>
      <c r="G893" s="9" t="str">
        <f>IF($E893="Yes",COUNTIF($E$2:$E893,"Yes"),"")</f>
        <v/>
      </c>
      <c r="H893" s="3" t="str">
        <f t="shared" si="13"/>
        <v/>
      </c>
    </row>
    <row r="894" spans="1:8" ht="14.25" customHeight="1" x14ac:dyDescent="0.3">
      <c r="A894" s="7"/>
      <c r="B894" s="7"/>
      <c r="C894" s="7"/>
      <c r="D894" s="7"/>
      <c r="E894" s="7"/>
      <c r="F894" s="9" t="str">
        <f>IFERROR(INDEX($A$2:$A$1000,MATCH(ROWS($F$2:F894),$G$2:$G$1000,0)),"")</f>
        <v/>
      </c>
      <c r="G894" s="9" t="str">
        <f>IF($E894="Yes",COUNTIF($E$2:$E894,"Yes"),"")</f>
        <v/>
      </c>
      <c r="H894" s="3" t="str">
        <f t="shared" si="13"/>
        <v/>
      </c>
    </row>
    <row r="895" spans="1:8" ht="14.25" customHeight="1" x14ac:dyDescent="0.3">
      <c r="A895" s="7"/>
      <c r="B895" s="7"/>
      <c r="C895" s="7"/>
      <c r="D895" s="7"/>
      <c r="E895" s="7"/>
      <c r="F895" s="9" t="str">
        <f>IFERROR(INDEX($A$2:$A$1000,MATCH(ROWS($F$2:F895),$G$2:$G$1000,0)),"")</f>
        <v/>
      </c>
      <c r="G895" s="9" t="str">
        <f>IF($E895="Yes",COUNTIF($E$2:$E895,"Yes"),"")</f>
        <v/>
      </c>
      <c r="H895" s="3" t="str">
        <f t="shared" si="13"/>
        <v/>
      </c>
    </row>
    <row r="896" spans="1:8" ht="14.25" customHeight="1" x14ac:dyDescent="0.3">
      <c r="A896" s="7"/>
      <c r="B896" s="7"/>
      <c r="C896" s="7"/>
      <c r="D896" s="7"/>
      <c r="E896" s="7"/>
      <c r="F896" s="9" t="str">
        <f>IFERROR(INDEX($A$2:$A$1000,MATCH(ROWS($F$2:F896),$G$2:$G$1000,0)),"")</f>
        <v/>
      </c>
      <c r="G896" s="9" t="str">
        <f>IF($E896="Yes",COUNTIF($E$2:$E896,"Yes"),"")</f>
        <v/>
      </c>
      <c r="H896" s="3" t="str">
        <f t="shared" si="13"/>
        <v/>
      </c>
    </row>
    <row r="897" spans="1:8" ht="14.25" customHeight="1" x14ac:dyDescent="0.3">
      <c r="A897" s="7"/>
      <c r="B897" s="7"/>
      <c r="C897" s="7"/>
      <c r="D897" s="7"/>
      <c r="E897" s="7"/>
      <c r="F897" s="9" t="str">
        <f>IFERROR(INDEX($A$2:$A$1000,MATCH(ROWS($F$2:F897),$G$2:$G$1000,0)),"")</f>
        <v/>
      </c>
      <c r="G897" s="9" t="str">
        <f>IF($E897="Yes",COUNTIF($E$2:$E897,"Yes"),"")</f>
        <v/>
      </c>
      <c r="H897" s="3" t="str">
        <f t="shared" si="13"/>
        <v/>
      </c>
    </row>
    <row r="898" spans="1:8" ht="14.25" customHeight="1" x14ac:dyDescent="0.3">
      <c r="A898" s="7"/>
      <c r="B898" s="7"/>
      <c r="C898" s="7"/>
      <c r="D898" s="7"/>
      <c r="E898" s="7"/>
      <c r="F898" s="9" t="str">
        <f>IFERROR(INDEX($A$2:$A$1000,MATCH(ROWS($F$2:F898),$G$2:$G$1000,0)),"")</f>
        <v/>
      </c>
      <c r="G898" s="9" t="str">
        <f>IF($E898="Yes",COUNTIF($E$2:$E898,"Yes"),"")</f>
        <v/>
      </c>
      <c r="H898" s="3" t="str">
        <f t="shared" ref="H898:H961" si="14">IF(COUNTA(A898:E898)=0,"",IF(COUNTIF($A$2:$A$1000,A898)&gt;1,"DUPLICATE YEAR_SEM",IF(OR(B898&lt;1,B898&gt;4,C898&lt;1,C898&gt;2),"INVALID YEAR/SEMESTER","OK")))</f>
        <v/>
      </c>
    </row>
    <row r="899" spans="1:8" ht="14.25" customHeight="1" x14ac:dyDescent="0.3">
      <c r="A899" s="7"/>
      <c r="B899" s="7"/>
      <c r="C899" s="7"/>
      <c r="D899" s="7"/>
      <c r="E899" s="7"/>
      <c r="F899" s="9" t="str">
        <f>IFERROR(INDEX($A$2:$A$1000,MATCH(ROWS($F$2:F899),$G$2:$G$1000,0)),"")</f>
        <v/>
      </c>
      <c r="G899" s="9" t="str">
        <f>IF($E899="Yes",COUNTIF($E$2:$E899,"Yes"),"")</f>
        <v/>
      </c>
      <c r="H899" s="3" t="str">
        <f t="shared" si="14"/>
        <v/>
      </c>
    </row>
    <row r="900" spans="1:8" ht="14.25" customHeight="1" x14ac:dyDescent="0.3">
      <c r="A900" s="7"/>
      <c r="B900" s="7"/>
      <c r="C900" s="7"/>
      <c r="D900" s="7"/>
      <c r="E900" s="7"/>
      <c r="F900" s="9" t="str">
        <f>IFERROR(INDEX($A$2:$A$1000,MATCH(ROWS($F$2:F900),$G$2:$G$1000,0)),"")</f>
        <v/>
      </c>
      <c r="G900" s="9" t="str">
        <f>IF($E900="Yes",COUNTIF($E$2:$E900,"Yes"),"")</f>
        <v/>
      </c>
      <c r="H900" s="3" t="str">
        <f t="shared" si="14"/>
        <v/>
      </c>
    </row>
    <row r="901" spans="1:8" ht="14.25" customHeight="1" x14ac:dyDescent="0.3">
      <c r="A901" s="7"/>
      <c r="B901" s="7"/>
      <c r="C901" s="7"/>
      <c r="D901" s="7"/>
      <c r="E901" s="7"/>
      <c r="F901" s="9" t="str">
        <f>IFERROR(INDEX($A$2:$A$1000,MATCH(ROWS($F$2:F901),$G$2:$G$1000,0)),"")</f>
        <v/>
      </c>
      <c r="G901" s="9" t="str">
        <f>IF($E901="Yes",COUNTIF($E$2:$E901,"Yes"),"")</f>
        <v/>
      </c>
      <c r="H901" s="3" t="str">
        <f t="shared" si="14"/>
        <v/>
      </c>
    </row>
    <row r="902" spans="1:8" ht="14.25" customHeight="1" x14ac:dyDescent="0.3">
      <c r="A902" s="7"/>
      <c r="B902" s="7"/>
      <c r="C902" s="7"/>
      <c r="D902" s="7"/>
      <c r="E902" s="7"/>
      <c r="F902" s="9" t="str">
        <f>IFERROR(INDEX($A$2:$A$1000,MATCH(ROWS($F$2:F902),$G$2:$G$1000,0)),"")</f>
        <v/>
      </c>
      <c r="G902" s="9" t="str">
        <f>IF($E902="Yes",COUNTIF($E$2:$E902,"Yes"),"")</f>
        <v/>
      </c>
      <c r="H902" s="3" t="str">
        <f t="shared" si="14"/>
        <v/>
      </c>
    </row>
    <row r="903" spans="1:8" ht="14.25" customHeight="1" x14ac:dyDescent="0.3">
      <c r="A903" s="7"/>
      <c r="B903" s="7"/>
      <c r="C903" s="7"/>
      <c r="D903" s="7"/>
      <c r="E903" s="7"/>
      <c r="F903" s="9" t="str">
        <f>IFERROR(INDEX($A$2:$A$1000,MATCH(ROWS($F$2:F903),$G$2:$G$1000,0)),"")</f>
        <v/>
      </c>
      <c r="G903" s="9" t="str">
        <f>IF($E903="Yes",COUNTIF($E$2:$E903,"Yes"),"")</f>
        <v/>
      </c>
      <c r="H903" s="3" t="str">
        <f t="shared" si="14"/>
        <v/>
      </c>
    </row>
    <row r="904" spans="1:8" ht="14.25" customHeight="1" x14ac:dyDescent="0.3">
      <c r="A904" s="7"/>
      <c r="B904" s="7"/>
      <c r="C904" s="7"/>
      <c r="D904" s="7"/>
      <c r="E904" s="7"/>
      <c r="F904" s="9" t="str">
        <f>IFERROR(INDEX($A$2:$A$1000,MATCH(ROWS($F$2:F904),$G$2:$G$1000,0)),"")</f>
        <v/>
      </c>
      <c r="G904" s="9" t="str">
        <f>IF($E904="Yes",COUNTIF($E$2:$E904,"Yes"),"")</f>
        <v/>
      </c>
      <c r="H904" s="3" t="str">
        <f t="shared" si="14"/>
        <v/>
      </c>
    </row>
    <row r="905" spans="1:8" ht="14.25" customHeight="1" x14ac:dyDescent="0.3">
      <c r="A905" s="7"/>
      <c r="B905" s="7"/>
      <c r="C905" s="7"/>
      <c r="D905" s="7"/>
      <c r="E905" s="7"/>
      <c r="F905" s="9" t="str">
        <f>IFERROR(INDEX($A$2:$A$1000,MATCH(ROWS($F$2:F905),$G$2:$G$1000,0)),"")</f>
        <v/>
      </c>
      <c r="G905" s="9" t="str">
        <f>IF($E905="Yes",COUNTIF($E$2:$E905,"Yes"),"")</f>
        <v/>
      </c>
      <c r="H905" s="3" t="str">
        <f t="shared" si="14"/>
        <v/>
      </c>
    </row>
    <row r="906" spans="1:8" ht="14.25" customHeight="1" x14ac:dyDescent="0.3">
      <c r="A906" s="7"/>
      <c r="B906" s="7"/>
      <c r="C906" s="7"/>
      <c r="D906" s="7"/>
      <c r="E906" s="7"/>
      <c r="F906" s="9" t="str">
        <f>IFERROR(INDEX($A$2:$A$1000,MATCH(ROWS($F$2:F906),$G$2:$G$1000,0)),"")</f>
        <v/>
      </c>
      <c r="G906" s="9" t="str">
        <f>IF($E906="Yes",COUNTIF($E$2:$E906,"Yes"),"")</f>
        <v/>
      </c>
      <c r="H906" s="3" t="str">
        <f t="shared" si="14"/>
        <v/>
      </c>
    </row>
    <row r="907" spans="1:8" ht="14.25" customHeight="1" x14ac:dyDescent="0.3">
      <c r="A907" s="7"/>
      <c r="B907" s="7"/>
      <c r="C907" s="7"/>
      <c r="D907" s="7"/>
      <c r="E907" s="7"/>
      <c r="F907" s="9" t="str">
        <f>IFERROR(INDEX($A$2:$A$1000,MATCH(ROWS($F$2:F907),$G$2:$G$1000,0)),"")</f>
        <v/>
      </c>
      <c r="G907" s="9" t="str">
        <f>IF($E907="Yes",COUNTIF($E$2:$E907,"Yes"),"")</f>
        <v/>
      </c>
      <c r="H907" s="3" t="str">
        <f t="shared" si="14"/>
        <v/>
      </c>
    </row>
    <row r="908" spans="1:8" ht="14.25" customHeight="1" x14ac:dyDescent="0.3">
      <c r="A908" s="7"/>
      <c r="B908" s="7"/>
      <c r="C908" s="7"/>
      <c r="D908" s="7"/>
      <c r="E908" s="7"/>
      <c r="F908" s="9" t="str">
        <f>IFERROR(INDEX($A$2:$A$1000,MATCH(ROWS($F$2:F908),$G$2:$G$1000,0)),"")</f>
        <v/>
      </c>
      <c r="G908" s="9" t="str">
        <f>IF($E908="Yes",COUNTIF($E$2:$E908,"Yes"),"")</f>
        <v/>
      </c>
      <c r="H908" s="3" t="str">
        <f t="shared" si="14"/>
        <v/>
      </c>
    </row>
    <row r="909" spans="1:8" ht="14.25" customHeight="1" x14ac:dyDescent="0.3">
      <c r="A909" s="7"/>
      <c r="B909" s="7"/>
      <c r="C909" s="7"/>
      <c r="D909" s="7"/>
      <c r="E909" s="7"/>
      <c r="F909" s="9" t="str">
        <f>IFERROR(INDEX($A$2:$A$1000,MATCH(ROWS($F$2:F909),$G$2:$G$1000,0)),"")</f>
        <v/>
      </c>
      <c r="G909" s="9" t="str">
        <f>IF($E909="Yes",COUNTIF($E$2:$E909,"Yes"),"")</f>
        <v/>
      </c>
      <c r="H909" s="3" t="str">
        <f t="shared" si="14"/>
        <v/>
      </c>
    </row>
    <row r="910" spans="1:8" ht="14.25" customHeight="1" x14ac:dyDescent="0.3">
      <c r="A910" s="7"/>
      <c r="B910" s="7"/>
      <c r="C910" s="7"/>
      <c r="D910" s="7"/>
      <c r="E910" s="7"/>
      <c r="F910" s="9" t="str">
        <f>IFERROR(INDEX($A$2:$A$1000,MATCH(ROWS($F$2:F910),$G$2:$G$1000,0)),"")</f>
        <v/>
      </c>
      <c r="G910" s="9" t="str">
        <f>IF($E910="Yes",COUNTIF($E$2:$E910,"Yes"),"")</f>
        <v/>
      </c>
      <c r="H910" s="3" t="str">
        <f t="shared" si="14"/>
        <v/>
      </c>
    </row>
    <row r="911" spans="1:8" ht="14.25" customHeight="1" x14ac:dyDescent="0.3">
      <c r="A911" s="7"/>
      <c r="B911" s="7"/>
      <c r="C911" s="7"/>
      <c r="D911" s="7"/>
      <c r="E911" s="7"/>
      <c r="F911" s="9" t="str">
        <f>IFERROR(INDEX($A$2:$A$1000,MATCH(ROWS($F$2:F911),$G$2:$G$1000,0)),"")</f>
        <v/>
      </c>
      <c r="G911" s="9" t="str">
        <f>IF($E911="Yes",COUNTIF($E$2:$E911,"Yes"),"")</f>
        <v/>
      </c>
      <c r="H911" s="3" t="str">
        <f t="shared" si="14"/>
        <v/>
      </c>
    </row>
    <row r="912" spans="1:8" ht="14.25" customHeight="1" x14ac:dyDescent="0.3">
      <c r="A912" s="7"/>
      <c r="B912" s="7"/>
      <c r="C912" s="7"/>
      <c r="D912" s="7"/>
      <c r="E912" s="7"/>
      <c r="F912" s="9" t="str">
        <f>IFERROR(INDEX($A$2:$A$1000,MATCH(ROWS($F$2:F912),$G$2:$G$1000,0)),"")</f>
        <v/>
      </c>
      <c r="G912" s="9" t="str">
        <f>IF($E912="Yes",COUNTIF($E$2:$E912,"Yes"),"")</f>
        <v/>
      </c>
      <c r="H912" s="3" t="str">
        <f t="shared" si="14"/>
        <v/>
      </c>
    </row>
    <row r="913" spans="1:8" ht="14.25" customHeight="1" x14ac:dyDescent="0.3">
      <c r="A913" s="7"/>
      <c r="B913" s="7"/>
      <c r="C913" s="7"/>
      <c r="D913" s="7"/>
      <c r="E913" s="7"/>
      <c r="F913" s="9" t="str">
        <f>IFERROR(INDEX($A$2:$A$1000,MATCH(ROWS($F$2:F913),$G$2:$G$1000,0)),"")</f>
        <v/>
      </c>
      <c r="G913" s="9" t="str">
        <f>IF($E913="Yes",COUNTIF($E$2:$E913,"Yes"),"")</f>
        <v/>
      </c>
      <c r="H913" s="3" t="str">
        <f t="shared" si="14"/>
        <v/>
      </c>
    </row>
    <row r="914" spans="1:8" ht="14.25" customHeight="1" x14ac:dyDescent="0.3">
      <c r="A914" s="7"/>
      <c r="B914" s="7"/>
      <c r="C914" s="7"/>
      <c r="D914" s="7"/>
      <c r="E914" s="7"/>
      <c r="F914" s="9" t="str">
        <f>IFERROR(INDEX($A$2:$A$1000,MATCH(ROWS($F$2:F914),$G$2:$G$1000,0)),"")</f>
        <v/>
      </c>
      <c r="G914" s="9" t="str">
        <f>IF($E914="Yes",COUNTIF($E$2:$E914,"Yes"),"")</f>
        <v/>
      </c>
      <c r="H914" s="3" t="str">
        <f t="shared" si="14"/>
        <v/>
      </c>
    </row>
    <row r="915" spans="1:8" ht="14.25" customHeight="1" x14ac:dyDescent="0.3">
      <c r="A915" s="7"/>
      <c r="B915" s="7"/>
      <c r="C915" s="7"/>
      <c r="D915" s="7"/>
      <c r="E915" s="7"/>
      <c r="F915" s="9" t="str">
        <f>IFERROR(INDEX($A$2:$A$1000,MATCH(ROWS($F$2:F915),$G$2:$G$1000,0)),"")</f>
        <v/>
      </c>
      <c r="G915" s="9" t="str">
        <f>IF($E915="Yes",COUNTIF($E$2:$E915,"Yes"),"")</f>
        <v/>
      </c>
      <c r="H915" s="3" t="str">
        <f t="shared" si="14"/>
        <v/>
      </c>
    </row>
    <row r="916" spans="1:8" ht="14.25" customHeight="1" x14ac:dyDescent="0.3">
      <c r="A916" s="7"/>
      <c r="B916" s="7"/>
      <c r="C916" s="7"/>
      <c r="D916" s="7"/>
      <c r="E916" s="7"/>
      <c r="F916" s="9" t="str">
        <f>IFERROR(INDEX($A$2:$A$1000,MATCH(ROWS($F$2:F916),$G$2:$G$1000,0)),"")</f>
        <v/>
      </c>
      <c r="G916" s="9" t="str">
        <f>IF($E916="Yes",COUNTIF($E$2:$E916,"Yes"),"")</f>
        <v/>
      </c>
      <c r="H916" s="3" t="str">
        <f t="shared" si="14"/>
        <v/>
      </c>
    </row>
    <row r="917" spans="1:8" ht="14.25" customHeight="1" x14ac:dyDescent="0.3">
      <c r="A917" s="7"/>
      <c r="B917" s="7"/>
      <c r="C917" s="7"/>
      <c r="D917" s="7"/>
      <c r="E917" s="7"/>
      <c r="F917" s="9" t="str">
        <f>IFERROR(INDEX($A$2:$A$1000,MATCH(ROWS($F$2:F917),$G$2:$G$1000,0)),"")</f>
        <v/>
      </c>
      <c r="G917" s="9" t="str">
        <f>IF($E917="Yes",COUNTIF($E$2:$E917,"Yes"),"")</f>
        <v/>
      </c>
      <c r="H917" s="3" t="str">
        <f t="shared" si="14"/>
        <v/>
      </c>
    </row>
    <row r="918" spans="1:8" ht="14.25" customHeight="1" x14ac:dyDescent="0.3">
      <c r="A918" s="7"/>
      <c r="B918" s="7"/>
      <c r="C918" s="7"/>
      <c r="D918" s="7"/>
      <c r="E918" s="7"/>
      <c r="F918" s="9" t="str">
        <f>IFERROR(INDEX($A$2:$A$1000,MATCH(ROWS($F$2:F918),$G$2:$G$1000,0)),"")</f>
        <v/>
      </c>
      <c r="G918" s="9" t="str">
        <f>IF($E918="Yes",COUNTIF($E$2:$E918,"Yes"),"")</f>
        <v/>
      </c>
      <c r="H918" s="3" t="str">
        <f t="shared" si="14"/>
        <v/>
      </c>
    </row>
    <row r="919" spans="1:8" ht="14.25" customHeight="1" x14ac:dyDescent="0.3">
      <c r="A919" s="7"/>
      <c r="B919" s="7"/>
      <c r="C919" s="7"/>
      <c r="D919" s="7"/>
      <c r="E919" s="7"/>
      <c r="F919" s="9" t="str">
        <f>IFERROR(INDEX($A$2:$A$1000,MATCH(ROWS($F$2:F919),$G$2:$G$1000,0)),"")</f>
        <v/>
      </c>
      <c r="G919" s="9" t="str">
        <f>IF($E919="Yes",COUNTIF($E$2:$E919,"Yes"),"")</f>
        <v/>
      </c>
      <c r="H919" s="3" t="str">
        <f t="shared" si="14"/>
        <v/>
      </c>
    </row>
    <row r="920" spans="1:8" ht="14.25" customHeight="1" x14ac:dyDescent="0.3">
      <c r="A920" s="7"/>
      <c r="B920" s="7"/>
      <c r="C920" s="7"/>
      <c r="D920" s="7"/>
      <c r="E920" s="7"/>
      <c r="F920" s="9" t="str">
        <f>IFERROR(INDEX($A$2:$A$1000,MATCH(ROWS($F$2:F920),$G$2:$G$1000,0)),"")</f>
        <v/>
      </c>
      <c r="G920" s="9" t="str">
        <f>IF($E920="Yes",COUNTIF($E$2:$E920,"Yes"),"")</f>
        <v/>
      </c>
      <c r="H920" s="3" t="str">
        <f t="shared" si="14"/>
        <v/>
      </c>
    </row>
    <row r="921" spans="1:8" ht="14.25" customHeight="1" x14ac:dyDescent="0.3">
      <c r="A921" s="7"/>
      <c r="B921" s="7"/>
      <c r="C921" s="7"/>
      <c r="D921" s="7"/>
      <c r="E921" s="7"/>
      <c r="F921" s="9" t="str">
        <f>IFERROR(INDEX($A$2:$A$1000,MATCH(ROWS($F$2:F921),$G$2:$G$1000,0)),"")</f>
        <v/>
      </c>
      <c r="G921" s="9" t="str">
        <f>IF($E921="Yes",COUNTIF($E$2:$E921,"Yes"),"")</f>
        <v/>
      </c>
      <c r="H921" s="3" t="str">
        <f t="shared" si="14"/>
        <v/>
      </c>
    </row>
    <row r="922" spans="1:8" ht="14.25" customHeight="1" x14ac:dyDescent="0.3">
      <c r="A922" s="7"/>
      <c r="B922" s="7"/>
      <c r="C922" s="7"/>
      <c r="D922" s="7"/>
      <c r="E922" s="7"/>
      <c r="F922" s="9" t="str">
        <f>IFERROR(INDEX($A$2:$A$1000,MATCH(ROWS($F$2:F922),$G$2:$G$1000,0)),"")</f>
        <v/>
      </c>
      <c r="G922" s="9" t="str">
        <f>IF($E922="Yes",COUNTIF($E$2:$E922,"Yes"),"")</f>
        <v/>
      </c>
      <c r="H922" s="3" t="str">
        <f t="shared" si="14"/>
        <v/>
      </c>
    </row>
    <row r="923" spans="1:8" ht="14.25" customHeight="1" x14ac:dyDescent="0.3">
      <c r="A923" s="7"/>
      <c r="B923" s="7"/>
      <c r="C923" s="7"/>
      <c r="D923" s="7"/>
      <c r="E923" s="7"/>
      <c r="F923" s="9" t="str">
        <f>IFERROR(INDEX($A$2:$A$1000,MATCH(ROWS($F$2:F923),$G$2:$G$1000,0)),"")</f>
        <v/>
      </c>
      <c r="G923" s="9" t="str">
        <f>IF($E923="Yes",COUNTIF($E$2:$E923,"Yes"),"")</f>
        <v/>
      </c>
      <c r="H923" s="3" t="str">
        <f t="shared" si="14"/>
        <v/>
      </c>
    </row>
    <row r="924" spans="1:8" ht="14.25" customHeight="1" x14ac:dyDescent="0.3">
      <c r="A924" s="7"/>
      <c r="B924" s="7"/>
      <c r="C924" s="7"/>
      <c r="D924" s="7"/>
      <c r="E924" s="7"/>
      <c r="F924" s="9" t="str">
        <f>IFERROR(INDEX($A$2:$A$1000,MATCH(ROWS($F$2:F924),$G$2:$G$1000,0)),"")</f>
        <v/>
      </c>
      <c r="G924" s="9" t="str">
        <f>IF($E924="Yes",COUNTIF($E$2:$E924,"Yes"),"")</f>
        <v/>
      </c>
      <c r="H924" s="3" t="str">
        <f t="shared" si="14"/>
        <v/>
      </c>
    </row>
    <row r="925" spans="1:8" ht="14.25" customHeight="1" x14ac:dyDescent="0.3">
      <c r="A925" s="7"/>
      <c r="B925" s="7"/>
      <c r="C925" s="7"/>
      <c r="D925" s="7"/>
      <c r="E925" s="7"/>
      <c r="F925" s="9" t="str">
        <f>IFERROR(INDEX($A$2:$A$1000,MATCH(ROWS($F$2:F925),$G$2:$G$1000,0)),"")</f>
        <v/>
      </c>
      <c r="G925" s="9" t="str">
        <f>IF($E925="Yes",COUNTIF($E$2:$E925,"Yes"),"")</f>
        <v/>
      </c>
      <c r="H925" s="3" t="str">
        <f t="shared" si="14"/>
        <v/>
      </c>
    </row>
    <row r="926" spans="1:8" ht="14.25" customHeight="1" x14ac:dyDescent="0.3">
      <c r="A926" s="7"/>
      <c r="B926" s="7"/>
      <c r="C926" s="7"/>
      <c r="D926" s="7"/>
      <c r="E926" s="7"/>
      <c r="F926" s="9" t="str">
        <f>IFERROR(INDEX($A$2:$A$1000,MATCH(ROWS($F$2:F926),$G$2:$G$1000,0)),"")</f>
        <v/>
      </c>
      <c r="G926" s="9" t="str">
        <f>IF($E926="Yes",COUNTIF($E$2:$E926,"Yes"),"")</f>
        <v/>
      </c>
      <c r="H926" s="3" t="str">
        <f t="shared" si="14"/>
        <v/>
      </c>
    </row>
    <row r="927" spans="1:8" ht="14.25" customHeight="1" x14ac:dyDescent="0.3">
      <c r="A927" s="7"/>
      <c r="B927" s="7"/>
      <c r="C927" s="7"/>
      <c r="D927" s="7"/>
      <c r="E927" s="7"/>
      <c r="F927" s="9" t="str">
        <f>IFERROR(INDEX($A$2:$A$1000,MATCH(ROWS($F$2:F927),$G$2:$G$1000,0)),"")</f>
        <v/>
      </c>
      <c r="G927" s="9" t="str">
        <f>IF($E927="Yes",COUNTIF($E$2:$E927,"Yes"),"")</f>
        <v/>
      </c>
      <c r="H927" s="3" t="str">
        <f t="shared" si="14"/>
        <v/>
      </c>
    </row>
    <row r="928" spans="1:8" ht="14.25" customHeight="1" x14ac:dyDescent="0.3">
      <c r="A928" s="7"/>
      <c r="B928" s="7"/>
      <c r="C928" s="7"/>
      <c r="D928" s="7"/>
      <c r="E928" s="7"/>
      <c r="F928" s="9" t="str">
        <f>IFERROR(INDEX($A$2:$A$1000,MATCH(ROWS($F$2:F928),$G$2:$G$1000,0)),"")</f>
        <v/>
      </c>
      <c r="G928" s="9" t="str">
        <f>IF($E928="Yes",COUNTIF($E$2:$E928,"Yes"),"")</f>
        <v/>
      </c>
      <c r="H928" s="3" t="str">
        <f t="shared" si="14"/>
        <v/>
      </c>
    </row>
    <row r="929" spans="1:8" ht="14.25" customHeight="1" x14ac:dyDescent="0.3">
      <c r="A929" s="7"/>
      <c r="B929" s="7"/>
      <c r="C929" s="7"/>
      <c r="D929" s="7"/>
      <c r="E929" s="7"/>
      <c r="F929" s="9" t="str">
        <f>IFERROR(INDEX($A$2:$A$1000,MATCH(ROWS($F$2:F929),$G$2:$G$1000,0)),"")</f>
        <v/>
      </c>
      <c r="G929" s="9" t="str">
        <f>IF($E929="Yes",COUNTIF($E$2:$E929,"Yes"),"")</f>
        <v/>
      </c>
      <c r="H929" s="3" t="str">
        <f t="shared" si="14"/>
        <v/>
      </c>
    </row>
    <row r="930" spans="1:8" ht="14.25" customHeight="1" x14ac:dyDescent="0.3">
      <c r="A930" s="7"/>
      <c r="B930" s="7"/>
      <c r="C930" s="7"/>
      <c r="D930" s="7"/>
      <c r="E930" s="7"/>
      <c r="F930" s="9" t="str">
        <f>IFERROR(INDEX($A$2:$A$1000,MATCH(ROWS($F$2:F930),$G$2:$G$1000,0)),"")</f>
        <v/>
      </c>
      <c r="G930" s="9" t="str">
        <f>IF($E930="Yes",COUNTIF($E$2:$E930,"Yes"),"")</f>
        <v/>
      </c>
      <c r="H930" s="3" t="str">
        <f t="shared" si="14"/>
        <v/>
      </c>
    </row>
    <row r="931" spans="1:8" ht="14.25" customHeight="1" x14ac:dyDescent="0.3">
      <c r="A931" s="7"/>
      <c r="B931" s="7"/>
      <c r="C931" s="7"/>
      <c r="D931" s="7"/>
      <c r="E931" s="7"/>
      <c r="F931" s="9" t="str">
        <f>IFERROR(INDEX($A$2:$A$1000,MATCH(ROWS($F$2:F931),$G$2:$G$1000,0)),"")</f>
        <v/>
      </c>
      <c r="G931" s="9" t="str">
        <f>IF($E931="Yes",COUNTIF($E$2:$E931,"Yes"),"")</f>
        <v/>
      </c>
      <c r="H931" s="3" t="str">
        <f t="shared" si="14"/>
        <v/>
      </c>
    </row>
    <row r="932" spans="1:8" ht="14.25" customHeight="1" x14ac:dyDescent="0.3">
      <c r="A932" s="7"/>
      <c r="B932" s="7"/>
      <c r="C932" s="7"/>
      <c r="D932" s="7"/>
      <c r="E932" s="7"/>
      <c r="F932" s="9" t="str">
        <f>IFERROR(INDEX($A$2:$A$1000,MATCH(ROWS($F$2:F932),$G$2:$G$1000,0)),"")</f>
        <v/>
      </c>
      <c r="G932" s="9" t="str">
        <f>IF($E932="Yes",COUNTIF($E$2:$E932,"Yes"),"")</f>
        <v/>
      </c>
      <c r="H932" s="3" t="str">
        <f t="shared" si="14"/>
        <v/>
      </c>
    </row>
    <row r="933" spans="1:8" ht="14.25" customHeight="1" x14ac:dyDescent="0.3">
      <c r="A933" s="7"/>
      <c r="B933" s="7"/>
      <c r="C933" s="7"/>
      <c r="D933" s="7"/>
      <c r="E933" s="7"/>
      <c r="F933" s="9" t="str">
        <f>IFERROR(INDEX($A$2:$A$1000,MATCH(ROWS($F$2:F933),$G$2:$G$1000,0)),"")</f>
        <v/>
      </c>
      <c r="G933" s="9" t="str">
        <f>IF($E933="Yes",COUNTIF($E$2:$E933,"Yes"),"")</f>
        <v/>
      </c>
      <c r="H933" s="3" t="str">
        <f t="shared" si="14"/>
        <v/>
      </c>
    </row>
    <row r="934" spans="1:8" ht="14.25" customHeight="1" x14ac:dyDescent="0.3">
      <c r="A934" s="7"/>
      <c r="B934" s="7"/>
      <c r="C934" s="7"/>
      <c r="D934" s="7"/>
      <c r="E934" s="7"/>
      <c r="F934" s="9" t="str">
        <f>IFERROR(INDEX($A$2:$A$1000,MATCH(ROWS($F$2:F934),$G$2:$G$1000,0)),"")</f>
        <v/>
      </c>
      <c r="G934" s="9" t="str">
        <f>IF($E934="Yes",COUNTIF($E$2:$E934,"Yes"),"")</f>
        <v/>
      </c>
      <c r="H934" s="3" t="str">
        <f t="shared" si="14"/>
        <v/>
      </c>
    </row>
    <row r="935" spans="1:8" ht="14.25" customHeight="1" x14ac:dyDescent="0.3">
      <c r="A935" s="7"/>
      <c r="B935" s="7"/>
      <c r="C935" s="7"/>
      <c r="D935" s="7"/>
      <c r="E935" s="7"/>
      <c r="F935" s="9" t="str">
        <f>IFERROR(INDEX($A$2:$A$1000,MATCH(ROWS($F$2:F935),$G$2:$G$1000,0)),"")</f>
        <v/>
      </c>
      <c r="G935" s="9" t="str">
        <f>IF($E935="Yes",COUNTIF($E$2:$E935,"Yes"),"")</f>
        <v/>
      </c>
      <c r="H935" s="3" t="str">
        <f t="shared" si="14"/>
        <v/>
      </c>
    </row>
    <row r="936" spans="1:8" ht="14.25" customHeight="1" x14ac:dyDescent="0.3">
      <c r="A936" s="7"/>
      <c r="B936" s="7"/>
      <c r="C936" s="7"/>
      <c r="D936" s="7"/>
      <c r="E936" s="7"/>
      <c r="F936" s="9" t="str">
        <f>IFERROR(INDEX($A$2:$A$1000,MATCH(ROWS($F$2:F936),$G$2:$G$1000,0)),"")</f>
        <v/>
      </c>
      <c r="G936" s="9" t="str">
        <f>IF($E936="Yes",COUNTIF($E$2:$E936,"Yes"),"")</f>
        <v/>
      </c>
      <c r="H936" s="3" t="str">
        <f t="shared" si="14"/>
        <v/>
      </c>
    </row>
    <row r="937" spans="1:8" ht="14.25" customHeight="1" x14ac:dyDescent="0.3">
      <c r="A937" s="7"/>
      <c r="B937" s="7"/>
      <c r="C937" s="7"/>
      <c r="D937" s="7"/>
      <c r="E937" s="7"/>
      <c r="F937" s="9" t="str">
        <f>IFERROR(INDEX($A$2:$A$1000,MATCH(ROWS($F$2:F937),$G$2:$G$1000,0)),"")</f>
        <v/>
      </c>
      <c r="G937" s="9" t="str">
        <f>IF($E937="Yes",COUNTIF($E$2:$E937,"Yes"),"")</f>
        <v/>
      </c>
      <c r="H937" s="3" t="str">
        <f t="shared" si="14"/>
        <v/>
      </c>
    </row>
    <row r="938" spans="1:8" ht="14.25" customHeight="1" x14ac:dyDescent="0.3">
      <c r="A938" s="7"/>
      <c r="B938" s="7"/>
      <c r="C938" s="7"/>
      <c r="D938" s="7"/>
      <c r="E938" s="7"/>
      <c r="F938" s="9" t="str">
        <f>IFERROR(INDEX($A$2:$A$1000,MATCH(ROWS($F$2:F938),$G$2:$G$1000,0)),"")</f>
        <v/>
      </c>
      <c r="G938" s="9" t="str">
        <f>IF($E938="Yes",COUNTIF($E$2:$E938,"Yes"),"")</f>
        <v/>
      </c>
      <c r="H938" s="3" t="str">
        <f t="shared" si="14"/>
        <v/>
      </c>
    </row>
    <row r="939" spans="1:8" ht="14.25" customHeight="1" x14ac:dyDescent="0.3">
      <c r="A939" s="7"/>
      <c r="B939" s="7"/>
      <c r="C939" s="7"/>
      <c r="D939" s="7"/>
      <c r="E939" s="7"/>
      <c r="F939" s="9" t="str">
        <f>IFERROR(INDEX($A$2:$A$1000,MATCH(ROWS($F$2:F939),$G$2:$G$1000,0)),"")</f>
        <v/>
      </c>
      <c r="G939" s="9" t="str">
        <f>IF($E939="Yes",COUNTIF($E$2:$E939,"Yes"),"")</f>
        <v/>
      </c>
      <c r="H939" s="3" t="str">
        <f t="shared" si="14"/>
        <v/>
      </c>
    </row>
    <row r="940" spans="1:8" ht="14.25" customHeight="1" x14ac:dyDescent="0.3">
      <c r="A940" s="7"/>
      <c r="B940" s="7"/>
      <c r="C940" s="7"/>
      <c r="D940" s="7"/>
      <c r="E940" s="7"/>
      <c r="F940" s="9" t="str">
        <f>IFERROR(INDEX($A$2:$A$1000,MATCH(ROWS($F$2:F940),$G$2:$G$1000,0)),"")</f>
        <v/>
      </c>
      <c r="G940" s="9" t="str">
        <f>IF($E940="Yes",COUNTIF($E$2:$E940,"Yes"),"")</f>
        <v/>
      </c>
      <c r="H940" s="3" t="str">
        <f t="shared" si="14"/>
        <v/>
      </c>
    </row>
    <row r="941" spans="1:8" ht="14.25" customHeight="1" x14ac:dyDescent="0.3">
      <c r="A941" s="7"/>
      <c r="B941" s="7"/>
      <c r="C941" s="7"/>
      <c r="D941" s="7"/>
      <c r="E941" s="7"/>
      <c r="F941" s="9" t="str">
        <f>IFERROR(INDEX($A$2:$A$1000,MATCH(ROWS($F$2:F941),$G$2:$G$1000,0)),"")</f>
        <v/>
      </c>
      <c r="G941" s="9" t="str">
        <f>IF($E941="Yes",COUNTIF($E$2:$E941,"Yes"),"")</f>
        <v/>
      </c>
      <c r="H941" s="3" t="str">
        <f t="shared" si="14"/>
        <v/>
      </c>
    </row>
    <row r="942" spans="1:8" ht="14.25" customHeight="1" x14ac:dyDescent="0.3">
      <c r="A942" s="7"/>
      <c r="B942" s="7"/>
      <c r="C942" s="7"/>
      <c r="D942" s="7"/>
      <c r="E942" s="7"/>
      <c r="F942" s="9" t="str">
        <f>IFERROR(INDEX($A$2:$A$1000,MATCH(ROWS($F$2:F942),$G$2:$G$1000,0)),"")</f>
        <v/>
      </c>
      <c r="G942" s="9" t="str">
        <f>IF($E942="Yes",COUNTIF($E$2:$E942,"Yes"),"")</f>
        <v/>
      </c>
      <c r="H942" s="3" t="str">
        <f t="shared" si="14"/>
        <v/>
      </c>
    </row>
    <row r="943" spans="1:8" ht="14.25" customHeight="1" x14ac:dyDescent="0.3">
      <c r="A943" s="7"/>
      <c r="B943" s="7"/>
      <c r="C943" s="7"/>
      <c r="D943" s="7"/>
      <c r="E943" s="7"/>
      <c r="F943" s="9" t="str">
        <f>IFERROR(INDEX($A$2:$A$1000,MATCH(ROWS($F$2:F943),$G$2:$G$1000,0)),"")</f>
        <v/>
      </c>
      <c r="G943" s="9" t="str">
        <f>IF($E943="Yes",COUNTIF($E$2:$E943,"Yes"),"")</f>
        <v/>
      </c>
      <c r="H943" s="3" t="str">
        <f t="shared" si="14"/>
        <v/>
      </c>
    </row>
    <row r="944" spans="1:8" ht="14.25" customHeight="1" x14ac:dyDescent="0.3">
      <c r="A944" s="7"/>
      <c r="B944" s="7"/>
      <c r="C944" s="7"/>
      <c r="D944" s="7"/>
      <c r="E944" s="7"/>
      <c r="F944" s="9" t="str">
        <f>IFERROR(INDEX($A$2:$A$1000,MATCH(ROWS($F$2:F944),$G$2:$G$1000,0)),"")</f>
        <v/>
      </c>
      <c r="G944" s="9" t="str">
        <f>IF($E944="Yes",COUNTIF($E$2:$E944,"Yes"),"")</f>
        <v/>
      </c>
      <c r="H944" s="3" t="str">
        <f t="shared" si="14"/>
        <v/>
      </c>
    </row>
    <row r="945" spans="1:8" ht="14.25" customHeight="1" x14ac:dyDescent="0.3">
      <c r="A945" s="7"/>
      <c r="B945" s="7"/>
      <c r="C945" s="7"/>
      <c r="D945" s="7"/>
      <c r="E945" s="7"/>
      <c r="F945" s="9" t="str">
        <f>IFERROR(INDEX($A$2:$A$1000,MATCH(ROWS($F$2:F945),$G$2:$G$1000,0)),"")</f>
        <v/>
      </c>
      <c r="G945" s="9" t="str">
        <f>IF($E945="Yes",COUNTIF($E$2:$E945,"Yes"),"")</f>
        <v/>
      </c>
      <c r="H945" s="3" t="str">
        <f t="shared" si="14"/>
        <v/>
      </c>
    </row>
    <row r="946" spans="1:8" ht="14.25" customHeight="1" x14ac:dyDescent="0.3">
      <c r="A946" s="7"/>
      <c r="B946" s="7"/>
      <c r="C946" s="7"/>
      <c r="D946" s="7"/>
      <c r="E946" s="7"/>
      <c r="F946" s="9" t="str">
        <f>IFERROR(INDEX($A$2:$A$1000,MATCH(ROWS($F$2:F946),$G$2:$G$1000,0)),"")</f>
        <v/>
      </c>
      <c r="G946" s="9" t="str">
        <f>IF($E946="Yes",COUNTIF($E$2:$E946,"Yes"),"")</f>
        <v/>
      </c>
      <c r="H946" s="3" t="str">
        <f t="shared" si="14"/>
        <v/>
      </c>
    </row>
    <row r="947" spans="1:8" ht="14.25" customHeight="1" x14ac:dyDescent="0.3">
      <c r="A947" s="7"/>
      <c r="B947" s="7"/>
      <c r="C947" s="7"/>
      <c r="D947" s="7"/>
      <c r="E947" s="7"/>
      <c r="F947" s="9" t="str">
        <f>IFERROR(INDEX($A$2:$A$1000,MATCH(ROWS($F$2:F947),$G$2:$G$1000,0)),"")</f>
        <v/>
      </c>
      <c r="G947" s="9" t="str">
        <f>IF($E947="Yes",COUNTIF($E$2:$E947,"Yes"),"")</f>
        <v/>
      </c>
      <c r="H947" s="3" t="str">
        <f t="shared" si="14"/>
        <v/>
      </c>
    </row>
    <row r="948" spans="1:8" ht="14.25" customHeight="1" x14ac:dyDescent="0.3">
      <c r="A948" s="7"/>
      <c r="B948" s="7"/>
      <c r="C948" s="7"/>
      <c r="D948" s="7"/>
      <c r="E948" s="7"/>
      <c r="F948" s="9" t="str">
        <f>IFERROR(INDEX($A$2:$A$1000,MATCH(ROWS($F$2:F948),$G$2:$G$1000,0)),"")</f>
        <v/>
      </c>
      <c r="G948" s="9" t="str">
        <f>IF($E948="Yes",COUNTIF($E$2:$E948,"Yes"),"")</f>
        <v/>
      </c>
      <c r="H948" s="3" t="str">
        <f t="shared" si="14"/>
        <v/>
      </c>
    </row>
    <row r="949" spans="1:8" ht="14.25" customHeight="1" x14ac:dyDescent="0.3">
      <c r="A949" s="7"/>
      <c r="B949" s="7"/>
      <c r="C949" s="7"/>
      <c r="D949" s="7"/>
      <c r="E949" s="7"/>
      <c r="F949" s="9" t="str">
        <f>IFERROR(INDEX($A$2:$A$1000,MATCH(ROWS($F$2:F949),$G$2:$G$1000,0)),"")</f>
        <v/>
      </c>
      <c r="G949" s="9" t="str">
        <f>IF($E949="Yes",COUNTIF($E$2:$E949,"Yes"),"")</f>
        <v/>
      </c>
      <c r="H949" s="3" t="str">
        <f t="shared" si="14"/>
        <v/>
      </c>
    </row>
    <row r="950" spans="1:8" ht="14.25" customHeight="1" x14ac:dyDescent="0.3">
      <c r="A950" s="7"/>
      <c r="B950" s="7"/>
      <c r="C950" s="7"/>
      <c r="D950" s="7"/>
      <c r="E950" s="7"/>
      <c r="F950" s="9" t="str">
        <f>IFERROR(INDEX($A$2:$A$1000,MATCH(ROWS($F$2:F950),$G$2:$G$1000,0)),"")</f>
        <v/>
      </c>
      <c r="G950" s="9" t="str">
        <f>IF($E950="Yes",COUNTIF($E$2:$E950,"Yes"),"")</f>
        <v/>
      </c>
      <c r="H950" s="3" t="str">
        <f t="shared" si="14"/>
        <v/>
      </c>
    </row>
    <row r="951" spans="1:8" ht="14.25" customHeight="1" x14ac:dyDescent="0.3">
      <c r="A951" s="7"/>
      <c r="B951" s="7"/>
      <c r="C951" s="7"/>
      <c r="D951" s="7"/>
      <c r="E951" s="7"/>
      <c r="F951" s="9" t="str">
        <f>IFERROR(INDEX($A$2:$A$1000,MATCH(ROWS($F$2:F951),$G$2:$G$1000,0)),"")</f>
        <v/>
      </c>
      <c r="G951" s="9" t="str">
        <f>IF($E951="Yes",COUNTIF($E$2:$E951,"Yes"),"")</f>
        <v/>
      </c>
      <c r="H951" s="3" t="str">
        <f t="shared" si="14"/>
        <v/>
      </c>
    </row>
    <row r="952" spans="1:8" ht="14.25" customHeight="1" x14ac:dyDescent="0.3">
      <c r="A952" s="7"/>
      <c r="B952" s="7"/>
      <c r="C952" s="7"/>
      <c r="D952" s="7"/>
      <c r="E952" s="7"/>
      <c r="F952" s="9" t="str">
        <f>IFERROR(INDEX($A$2:$A$1000,MATCH(ROWS($F$2:F952),$G$2:$G$1000,0)),"")</f>
        <v/>
      </c>
      <c r="G952" s="9" t="str">
        <f>IF($E952="Yes",COUNTIF($E$2:$E952,"Yes"),"")</f>
        <v/>
      </c>
      <c r="H952" s="3" t="str">
        <f t="shared" si="14"/>
        <v/>
      </c>
    </row>
    <row r="953" spans="1:8" ht="14.25" customHeight="1" x14ac:dyDescent="0.3">
      <c r="A953" s="7"/>
      <c r="B953" s="7"/>
      <c r="C953" s="7"/>
      <c r="D953" s="7"/>
      <c r="E953" s="7"/>
      <c r="F953" s="9" t="str">
        <f>IFERROR(INDEX($A$2:$A$1000,MATCH(ROWS($F$2:F953),$G$2:$G$1000,0)),"")</f>
        <v/>
      </c>
      <c r="G953" s="9" t="str">
        <f>IF($E953="Yes",COUNTIF($E$2:$E953,"Yes"),"")</f>
        <v/>
      </c>
      <c r="H953" s="3" t="str">
        <f t="shared" si="14"/>
        <v/>
      </c>
    </row>
    <row r="954" spans="1:8" ht="14.25" customHeight="1" x14ac:dyDescent="0.3">
      <c r="A954" s="7"/>
      <c r="B954" s="7"/>
      <c r="C954" s="7"/>
      <c r="D954" s="7"/>
      <c r="E954" s="7"/>
      <c r="F954" s="9" t="str">
        <f>IFERROR(INDEX($A$2:$A$1000,MATCH(ROWS($F$2:F954),$G$2:$G$1000,0)),"")</f>
        <v/>
      </c>
      <c r="G954" s="9" t="str">
        <f>IF($E954="Yes",COUNTIF($E$2:$E954,"Yes"),"")</f>
        <v/>
      </c>
      <c r="H954" s="3" t="str">
        <f t="shared" si="14"/>
        <v/>
      </c>
    </row>
    <row r="955" spans="1:8" ht="14.25" customHeight="1" x14ac:dyDescent="0.3">
      <c r="A955" s="7"/>
      <c r="B955" s="7"/>
      <c r="C955" s="7"/>
      <c r="D955" s="7"/>
      <c r="E955" s="7"/>
      <c r="F955" s="9" t="str">
        <f>IFERROR(INDEX($A$2:$A$1000,MATCH(ROWS($F$2:F955),$G$2:$G$1000,0)),"")</f>
        <v/>
      </c>
      <c r="G955" s="9" t="str">
        <f>IF($E955="Yes",COUNTIF($E$2:$E955,"Yes"),"")</f>
        <v/>
      </c>
      <c r="H955" s="3" t="str">
        <f t="shared" si="14"/>
        <v/>
      </c>
    </row>
    <row r="956" spans="1:8" ht="14.25" customHeight="1" x14ac:dyDescent="0.3">
      <c r="A956" s="7"/>
      <c r="B956" s="7"/>
      <c r="C956" s="7"/>
      <c r="D956" s="7"/>
      <c r="E956" s="7"/>
      <c r="F956" s="9" t="str">
        <f>IFERROR(INDEX($A$2:$A$1000,MATCH(ROWS($F$2:F956),$G$2:$G$1000,0)),"")</f>
        <v/>
      </c>
      <c r="G956" s="9" t="str">
        <f>IF($E956="Yes",COUNTIF($E$2:$E956,"Yes"),"")</f>
        <v/>
      </c>
      <c r="H956" s="3" t="str">
        <f t="shared" si="14"/>
        <v/>
      </c>
    </row>
    <row r="957" spans="1:8" ht="14.25" customHeight="1" x14ac:dyDescent="0.3">
      <c r="A957" s="7"/>
      <c r="B957" s="7"/>
      <c r="C957" s="7"/>
      <c r="D957" s="7"/>
      <c r="E957" s="7"/>
      <c r="F957" s="9" t="str">
        <f>IFERROR(INDEX($A$2:$A$1000,MATCH(ROWS($F$2:F957),$G$2:$G$1000,0)),"")</f>
        <v/>
      </c>
      <c r="G957" s="9" t="str">
        <f>IF($E957="Yes",COUNTIF($E$2:$E957,"Yes"),"")</f>
        <v/>
      </c>
      <c r="H957" s="3" t="str">
        <f t="shared" si="14"/>
        <v/>
      </c>
    </row>
    <row r="958" spans="1:8" ht="14.25" customHeight="1" x14ac:dyDescent="0.3">
      <c r="A958" s="7"/>
      <c r="B958" s="7"/>
      <c r="C958" s="7"/>
      <c r="D958" s="7"/>
      <c r="E958" s="7"/>
      <c r="F958" s="9" t="str">
        <f>IFERROR(INDEX($A$2:$A$1000,MATCH(ROWS($F$2:F958),$G$2:$G$1000,0)),"")</f>
        <v/>
      </c>
      <c r="G958" s="9" t="str">
        <f>IF($E958="Yes",COUNTIF($E$2:$E958,"Yes"),"")</f>
        <v/>
      </c>
      <c r="H958" s="3" t="str">
        <f t="shared" si="14"/>
        <v/>
      </c>
    </row>
    <row r="959" spans="1:8" ht="14.25" customHeight="1" x14ac:dyDescent="0.3">
      <c r="A959" s="7"/>
      <c r="B959" s="7"/>
      <c r="C959" s="7"/>
      <c r="D959" s="7"/>
      <c r="E959" s="7"/>
      <c r="F959" s="9" t="str">
        <f>IFERROR(INDEX($A$2:$A$1000,MATCH(ROWS($F$2:F959),$G$2:$G$1000,0)),"")</f>
        <v/>
      </c>
      <c r="G959" s="9" t="str">
        <f>IF($E959="Yes",COUNTIF($E$2:$E959,"Yes"),"")</f>
        <v/>
      </c>
      <c r="H959" s="3" t="str">
        <f t="shared" si="14"/>
        <v/>
      </c>
    </row>
    <row r="960" spans="1:8" ht="14.25" customHeight="1" x14ac:dyDescent="0.3">
      <c r="A960" s="7"/>
      <c r="B960" s="7"/>
      <c r="C960" s="7"/>
      <c r="D960" s="7"/>
      <c r="E960" s="7"/>
      <c r="F960" s="9" t="str">
        <f>IFERROR(INDEX($A$2:$A$1000,MATCH(ROWS($F$2:F960),$G$2:$G$1000,0)),"")</f>
        <v/>
      </c>
      <c r="G960" s="9" t="str">
        <f>IF($E960="Yes",COUNTIF($E$2:$E960,"Yes"),"")</f>
        <v/>
      </c>
      <c r="H960" s="3" t="str">
        <f t="shared" si="14"/>
        <v/>
      </c>
    </row>
    <row r="961" spans="1:8" ht="14.25" customHeight="1" x14ac:dyDescent="0.3">
      <c r="A961" s="7"/>
      <c r="B961" s="7"/>
      <c r="C961" s="7"/>
      <c r="D961" s="7"/>
      <c r="E961" s="7"/>
      <c r="F961" s="9" t="str">
        <f>IFERROR(INDEX($A$2:$A$1000,MATCH(ROWS($F$2:F961),$G$2:$G$1000,0)),"")</f>
        <v/>
      </c>
      <c r="G961" s="9" t="str">
        <f>IF($E961="Yes",COUNTIF($E$2:$E961,"Yes"),"")</f>
        <v/>
      </c>
      <c r="H961" s="3" t="str">
        <f t="shared" si="14"/>
        <v/>
      </c>
    </row>
    <row r="962" spans="1:8" ht="14.25" customHeight="1" x14ac:dyDescent="0.3">
      <c r="A962" s="7"/>
      <c r="B962" s="7"/>
      <c r="C962" s="7"/>
      <c r="D962" s="7"/>
      <c r="E962" s="7"/>
      <c r="F962" s="9" t="str">
        <f>IFERROR(INDEX($A$2:$A$1000,MATCH(ROWS($F$2:F962),$G$2:$G$1000,0)),"")</f>
        <v/>
      </c>
      <c r="G962" s="9" t="str">
        <f>IF($E962="Yes",COUNTIF($E$2:$E962,"Yes"),"")</f>
        <v/>
      </c>
      <c r="H962" s="3" t="str">
        <f t="shared" ref="H962:H1000" si="15">IF(COUNTA(A962:E962)=0,"",IF(COUNTIF($A$2:$A$1000,A962)&gt;1,"DUPLICATE YEAR_SEM",IF(OR(B962&lt;1,B962&gt;4,C962&lt;1,C962&gt;2),"INVALID YEAR/SEMESTER","OK")))</f>
        <v/>
      </c>
    </row>
    <row r="963" spans="1:8" ht="14.25" customHeight="1" x14ac:dyDescent="0.3">
      <c r="A963" s="7"/>
      <c r="B963" s="7"/>
      <c r="C963" s="7"/>
      <c r="D963" s="7"/>
      <c r="E963" s="7"/>
      <c r="F963" s="9" t="str">
        <f>IFERROR(INDEX($A$2:$A$1000,MATCH(ROWS($F$2:F963),$G$2:$G$1000,0)),"")</f>
        <v/>
      </c>
      <c r="G963" s="9" t="str">
        <f>IF($E963="Yes",COUNTIF($E$2:$E963,"Yes"),"")</f>
        <v/>
      </c>
      <c r="H963" s="3" t="str">
        <f t="shared" si="15"/>
        <v/>
      </c>
    </row>
    <row r="964" spans="1:8" ht="14.25" customHeight="1" x14ac:dyDescent="0.3">
      <c r="A964" s="7"/>
      <c r="B964" s="7"/>
      <c r="C964" s="7"/>
      <c r="D964" s="7"/>
      <c r="E964" s="7"/>
      <c r="F964" s="9" t="str">
        <f>IFERROR(INDEX($A$2:$A$1000,MATCH(ROWS($F$2:F964),$G$2:$G$1000,0)),"")</f>
        <v/>
      </c>
      <c r="G964" s="9" t="str">
        <f>IF($E964="Yes",COUNTIF($E$2:$E964,"Yes"),"")</f>
        <v/>
      </c>
      <c r="H964" s="3" t="str">
        <f t="shared" si="15"/>
        <v/>
      </c>
    </row>
    <row r="965" spans="1:8" ht="14.25" customHeight="1" x14ac:dyDescent="0.3">
      <c r="A965" s="7"/>
      <c r="B965" s="7"/>
      <c r="C965" s="7"/>
      <c r="D965" s="7"/>
      <c r="E965" s="7"/>
      <c r="F965" s="9" t="str">
        <f>IFERROR(INDEX($A$2:$A$1000,MATCH(ROWS($F$2:F965),$G$2:$G$1000,0)),"")</f>
        <v/>
      </c>
      <c r="G965" s="9" t="str">
        <f>IF($E965="Yes",COUNTIF($E$2:$E965,"Yes"),"")</f>
        <v/>
      </c>
      <c r="H965" s="3" t="str">
        <f t="shared" si="15"/>
        <v/>
      </c>
    </row>
    <row r="966" spans="1:8" ht="14.25" customHeight="1" x14ac:dyDescent="0.3">
      <c r="A966" s="7"/>
      <c r="B966" s="7"/>
      <c r="C966" s="7"/>
      <c r="D966" s="7"/>
      <c r="E966" s="7"/>
      <c r="F966" s="9" t="str">
        <f>IFERROR(INDEX($A$2:$A$1000,MATCH(ROWS($F$2:F966),$G$2:$G$1000,0)),"")</f>
        <v/>
      </c>
      <c r="G966" s="9" t="str">
        <f>IF($E966="Yes",COUNTIF($E$2:$E966,"Yes"),"")</f>
        <v/>
      </c>
      <c r="H966" s="3" t="str">
        <f t="shared" si="15"/>
        <v/>
      </c>
    </row>
    <row r="967" spans="1:8" ht="14.25" customHeight="1" x14ac:dyDescent="0.3">
      <c r="A967" s="7"/>
      <c r="B967" s="7"/>
      <c r="C967" s="7"/>
      <c r="D967" s="7"/>
      <c r="E967" s="7"/>
      <c r="F967" s="9" t="str">
        <f>IFERROR(INDEX($A$2:$A$1000,MATCH(ROWS($F$2:F967),$G$2:$G$1000,0)),"")</f>
        <v/>
      </c>
      <c r="G967" s="9" t="str">
        <f>IF($E967="Yes",COUNTIF($E$2:$E967,"Yes"),"")</f>
        <v/>
      </c>
      <c r="H967" s="3" t="str">
        <f t="shared" si="15"/>
        <v/>
      </c>
    </row>
    <row r="968" spans="1:8" ht="14.25" customHeight="1" x14ac:dyDescent="0.3">
      <c r="A968" s="7"/>
      <c r="B968" s="7"/>
      <c r="C968" s="7"/>
      <c r="D968" s="7"/>
      <c r="E968" s="7"/>
      <c r="F968" s="9" t="str">
        <f>IFERROR(INDEX($A$2:$A$1000,MATCH(ROWS($F$2:F968),$G$2:$G$1000,0)),"")</f>
        <v/>
      </c>
      <c r="G968" s="9" t="str">
        <f>IF($E968="Yes",COUNTIF($E$2:$E968,"Yes"),"")</f>
        <v/>
      </c>
      <c r="H968" s="3" t="str">
        <f t="shared" si="15"/>
        <v/>
      </c>
    </row>
    <row r="969" spans="1:8" ht="14.25" customHeight="1" x14ac:dyDescent="0.3">
      <c r="A969" s="7"/>
      <c r="B969" s="7"/>
      <c r="C969" s="7"/>
      <c r="D969" s="7"/>
      <c r="E969" s="7"/>
      <c r="F969" s="9" t="str">
        <f>IFERROR(INDEX($A$2:$A$1000,MATCH(ROWS($F$2:F969),$G$2:$G$1000,0)),"")</f>
        <v/>
      </c>
      <c r="G969" s="9" t="str">
        <f>IF($E969="Yes",COUNTIF($E$2:$E969,"Yes"),"")</f>
        <v/>
      </c>
      <c r="H969" s="3" t="str">
        <f t="shared" si="15"/>
        <v/>
      </c>
    </row>
    <row r="970" spans="1:8" ht="14.25" customHeight="1" x14ac:dyDescent="0.3">
      <c r="A970" s="7"/>
      <c r="B970" s="7"/>
      <c r="C970" s="7"/>
      <c r="D970" s="7"/>
      <c r="E970" s="7"/>
      <c r="F970" s="9" t="str">
        <f>IFERROR(INDEX($A$2:$A$1000,MATCH(ROWS($F$2:F970),$G$2:$G$1000,0)),"")</f>
        <v/>
      </c>
      <c r="G970" s="9" t="str">
        <f>IF($E970="Yes",COUNTIF($E$2:$E970,"Yes"),"")</f>
        <v/>
      </c>
      <c r="H970" s="3" t="str">
        <f t="shared" si="15"/>
        <v/>
      </c>
    </row>
    <row r="971" spans="1:8" ht="14.25" customHeight="1" x14ac:dyDescent="0.3">
      <c r="A971" s="7"/>
      <c r="B971" s="7"/>
      <c r="C971" s="7"/>
      <c r="D971" s="7"/>
      <c r="E971" s="7"/>
      <c r="F971" s="9" t="str">
        <f>IFERROR(INDEX($A$2:$A$1000,MATCH(ROWS($F$2:F971),$G$2:$G$1000,0)),"")</f>
        <v/>
      </c>
      <c r="G971" s="9" t="str">
        <f>IF($E971="Yes",COUNTIF($E$2:$E971,"Yes"),"")</f>
        <v/>
      </c>
      <c r="H971" s="3" t="str">
        <f t="shared" si="15"/>
        <v/>
      </c>
    </row>
    <row r="972" spans="1:8" ht="14.25" customHeight="1" x14ac:dyDescent="0.3">
      <c r="A972" s="7"/>
      <c r="B972" s="7"/>
      <c r="C972" s="7"/>
      <c r="D972" s="7"/>
      <c r="E972" s="7"/>
      <c r="F972" s="9" t="str">
        <f>IFERROR(INDEX($A$2:$A$1000,MATCH(ROWS($F$2:F972),$G$2:$G$1000,0)),"")</f>
        <v/>
      </c>
      <c r="G972" s="9" t="str">
        <f>IF($E972="Yes",COUNTIF($E$2:$E972,"Yes"),"")</f>
        <v/>
      </c>
      <c r="H972" s="3" t="str">
        <f t="shared" si="15"/>
        <v/>
      </c>
    </row>
    <row r="973" spans="1:8" ht="14.25" customHeight="1" x14ac:dyDescent="0.3">
      <c r="A973" s="7"/>
      <c r="B973" s="7"/>
      <c r="C973" s="7"/>
      <c r="D973" s="7"/>
      <c r="E973" s="7"/>
      <c r="F973" s="9" t="str">
        <f>IFERROR(INDEX($A$2:$A$1000,MATCH(ROWS($F$2:F973),$G$2:$G$1000,0)),"")</f>
        <v/>
      </c>
      <c r="G973" s="9" t="str">
        <f>IF($E973="Yes",COUNTIF($E$2:$E973,"Yes"),"")</f>
        <v/>
      </c>
      <c r="H973" s="3" t="str">
        <f t="shared" si="15"/>
        <v/>
      </c>
    </row>
    <row r="974" spans="1:8" ht="14.25" customHeight="1" x14ac:dyDescent="0.3">
      <c r="A974" s="7"/>
      <c r="B974" s="7"/>
      <c r="C974" s="7"/>
      <c r="D974" s="7"/>
      <c r="E974" s="7"/>
      <c r="F974" s="9" t="str">
        <f>IFERROR(INDEX($A$2:$A$1000,MATCH(ROWS($F$2:F974),$G$2:$G$1000,0)),"")</f>
        <v/>
      </c>
      <c r="G974" s="9" t="str">
        <f>IF($E974="Yes",COUNTIF($E$2:$E974,"Yes"),"")</f>
        <v/>
      </c>
      <c r="H974" s="3" t="str">
        <f t="shared" si="15"/>
        <v/>
      </c>
    </row>
    <row r="975" spans="1:8" ht="14.25" customHeight="1" x14ac:dyDescent="0.3">
      <c r="A975" s="7"/>
      <c r="B975" s="7"/>
      <c r="C975" s="7"/>
      <c r="D975" s="7"/>
      <c r="E975" s="7"/>
      <c r="F975" s="9" t="str">
        <f>IFERROR(INDEX($A$2:$A$1000,MATCH(ROWS($F$2:F975),$G$2:$G$1000,0)),"")</f>
        <v/>
      </c>
      <c r="G975" s="9" t="str">
        <f>IF($E975="Yes",COUNTIF($E$2:$E975,"Yes"),"")</f>
        <v/>
      </c>
      <c r="H975" s="3" t="str">
        <f t="shared" si="15"/>
        <v/>
      </c>
    </row>
    <row r="976" spans="1:8" ht="14.25" customHeight="1" x14ac:dyDescent="0.3">
      <c r="A976" s="7"/>
      <c r="B976" s="7"/>
      <c r="C976" s="7"/>
      <c r="D976" s="7"/>
      <c r="E976" s="7"/>
      <c r="F976" s="9" t="str">
        <f>IFERROR(INDEX($A$2:$A$1000,MATCH(ROWS($F$2:F976),$G$2:$G$1000,0)),"")</f>
        <v/>
      </c>
      <c r="G976" s="9" t="str">
        <f>IF($E976="Yes",COUNTIF($E$2:$E976,"Yes"),"")</f>
        <v/>
      </c>
      <c r="H976" s="3" t="str">
        <f t="shared" si="15"/>
        <v/>
      </c>
    </row>
    <row r="977" spans="1:8" ht="14.25" customHeight="1" x14ac:dyDescent="0.3">
      <c r="A977" s="7"/>
      <c r="B977" s="7"/>
      <c r="C977" s="7"/>
      <c r="D977" s="7"/>
      <c r="E977" s="7"/>
      <c r="F977" s="9" t="str">
        <f>IFERROR(INDEX($A$2:$A$1000,MATCH(ROWS($F$2:F977),$G$2:$G$1000,0)),"")</f>
        <v/>
      </c>
      <c r="G977" s="9" t="str">
        <f>IF($E977="Yes",COUNTIF($E$2:$E977,"Yes"),"")</f>
        <v/>
      </c>
      <c r="H977" s="3" t="str">
        <f t="shared" si="15"/>
        <v/>
      </c>
    </row>
    <row r="978" spans="1:8" ht="14.25" customHeight="1" x14ac:dyDescent="0.3">
      <c r="A978" s="7"/>
      <c r="B978" s="7"/>
      <c r="C978" s="7"/>
      <c r="D978" s="7"/>
      <c r="E978" s="7"/>
      <c r="F978" s="9" t="str">
        <f>IFERROR(INDEX($A$2:$A$1000,MATCH(ROWS($F$2:F978),$G$2:$G$1000,0)),"")</f>
        <v/>
      </c>
      <c r="G978" s="9" t="str">
        <f>IF($E978="Yes",COUNTIF($E$2:$E978,"Yes"),"")</f>
        <v/>
      </c>
      <c r="H978" s="3" t="str">
        <f t="shared" si="15"/>
        <v/>
      </c>
    </row>
    <row r="979" spans="1:8" ht="14.25" customHeight="1" x14ac:dyDescent="0.3">
      <c r="A979" s="7"/>
      <c r="B979" s="7"/>
      <c r="C979" s="7"/>
      <c r="D979" s="7"/>
      <c r="E979" s="7"/>
      <c r="F979" s="9" t="str">
        <f>IFERROR(INDEX($A$2:$A$1000,MATCH(ROWS($F$2:F979),$G$2:$G$1000,0)),"")</f>
        <v/>
      </c>
      <c r="G979" s="9" t="str">
        <f>IF($E979="Yes",COUNTIF($E$2:$E979,"Yes"),"")</f>
        <v/>
      </c>
      <c r="H979" s="3" t="str">
        <f t="shared" si="15"/>
        <v/>
      </c>
    </row>
    <row r="980" spans="1:8" ht="14.25" customHeight="1" x14ac:dyDescent="0.3">
      <c r="A980" s="7"/>
      <c r="B980" s="7"/>
      <c r="C980" s="7"/>
      <c r="D980" s="7"/>
      <c r="E980" s="7"/>
      <c r="F980" s="9" t="str">
        <f>IFERROR(INDEX($A$2:$A$1000,MATCH(ROWS($F$2:F980),$G$2:$G$1000,0)),"")</f>
        <v/>
      </c>
      <c r="G980" s="9" t="str">
        <f>IF($E980="Yes",COUNTIF($E$2:$E980,"Yes"),"")</f>
        <v/>
      </c>
      <c r="H980" s="3" t="str">
        <f t="shared" si="15"/>
        <v/>
      </c>
    </row>
    <row r="981" spans="1:8" ht="14.25" customHeight="1" x14ac:dyDescent="0.3">
      <c r="A981" s="7"/>
      <c r="B981" s="7"/>
      <c r="C981" s="7"/>
      <c r="D981" s="7"/>
      <c r="E981" s="7"/>
      <c r="F981" s="9" t="str">
        <f>IFERROR(INDEX($A$2:$A$1000,MATCH(ROWS($F$2:F981),$G$2:$G$1000,0)),"")</f>
        <v/>
      </c>
      <c r="G981" s="9" t="str">
        <f>IF($E981="Yes",COUNTIF($E$2:$E981,"Yes"),"")</f>
        <v/>
      </c>
      <c r="H981" s="3" t="str">
        <f t="shared" si="15"/>
        <v/>
      </c>
    </row>
    <row r="982" spans="1:8" ht="14.25" customHeight="1" x14ac:dyDescent="0.3">
      <c r="A982" s="7"/>
      <c r="B982" s="7"/>
      <c r="C982" s="7"/>
      <c r="D982" s="7"/>
      <c r="E982" s="7"/>
      <c r="F982" s="9" t="str">
        <f>IFERROR(INDEX($A$2:$A$1000,MATCH(ROWS($F$2:F982),$G$2:$G$1000,0)),"")</f>
        <v/>
      </c>
      <c r="G982" s="9" t="str">
        <f>IF($E982="Yes",COUNTIF($E$2:$E982,"Yes"),"")</f>
        <v/>
      </c>
      <c r="H982" s="3" t="str">
        <f t="shared" si="15"/>
        <v/>
      </c>
    </row>
    <row r="983" spans="1:8" ht="14.25" customHeight="1" x14ac:dyDescent="0.3">
      <c r="A983" s="7"/>
      <c r="B983" s="7"/>
      <c r="C983" s="7"/>
      <c r="D983" s="7"/>
      <c r="E983" s="7"/>
      <c r="F983" s="9" t="str">
        <f>IFERROR(INDEX($A$2:$A$1000,MATCH(ROWS($F$2:F983),$G$2:$G$1000,0)),"")</f>
        <v/>
      </c>
      <c r="G983" s="9" t="str">
        <f>IF($E983="Yes",COUNTIF($E$2:$E983,"Yes"),"")</f>
        <v/>
      </c>
      <c r="H983" s="3" t="str">
        <f t="shared" si="15"/>
        <v/>
      </c>
    </row>
    <row r="984" spans="1:8" ht="14.25" customHeight="1" x14ac:dyDescent="0.3">
      <c r="A984" s="7"/>
      <c r="B984" s="7"/>
      <c r="C984" s="7"/>
      <c r="D984" s="7"/>
      <c r="E984" s="7"/>
      <c r="F984" s="9" t="str">
        <f>IFERROR(INDEX($A$2:$A$1000,MATCH(ROWS($F$2:F984),$G$2:$G$1000,0)),"")</f>
        <v/>
      </c>
      <c r="G984" s="9" t="str">
        <f>IF($E984="Yes",COUNTIF($E$2:$E984,"Yes"),"")</f>
        <v/>
      </c>
      <c r="H984" s="3" t="str">
        <f t="shared" si="15"/>
        <v/>
      </c>
    </row>
    <row r="985" spans="1:8" ht="14.25" customHeight="1" x14ac:dyDescent="0.3">
      <c r="A985" s="7"/>
      <c r="B985" s="7"/>
      <c r="C985" s="7"/>
      <c r="D985" s="7"/>
      <c r="E985" s="7"/>
      <c r="F985" s="9" t="str">
        <f>IFERROR(INDEX($A$2:$A$1000,MATCH(ROWS($F$2:F985),$G$2:$G$1000,0)),"")</f>
        <v/>
      </c>
      <c r="G985" s="9" t="str">
        <f>IF($E985="Yes",COUNTIF($E$2:$E985,"Yes"),"")</f>
        <v/>
      </c>
      <c r="H985" s="3" t="str">
        <f t="shared" si="15"/>
        <v/>
      </c>
    </row>
    <row r="986" spans="1:8" ht="14.25" customHeight="1" x14ac:dyDescent="0.3">
      <c r="A986" s="7"/>
      <c r="B986" s="7"/>
      <c r="C986" s="7"/>
      <c r="D986" s="7"/>
      <c r="E986" s="7"/>
      <c r="F986" s="9" t="str">
        <f>IFERROR(INDEX($A$2:$A$1000,MATCH(ROWS($F$2:F986),$G$2:$G$1000,0)),"")</f>
        <v/>
      </c>
      <c r="G986" s="9" t="str">
        <f>IF($E986="Yes",COUNTIF($E$2:$E986,"Yes"),"")</f>
        <v/>
      </c>
      <c r="H986" s="3" t="str">
        <f t="shared" si="15"/>
        <v/>
      </c>
    </row>
    <row r="987" spans="1:8" ht="14.25" customHeight="1" x14ac:dyDescent="0.3">
      <c r="A987" s="7"/>
      <c r="B987" s="7"/>
      <c r="C987" s="7"/>
      <c r="D987" s="7"/>
      <c r="E987" s="7"/>
      <c r="F987" s="9" t="str">
        <f>IFERROR(INDEX($A$2:$A$1000,MATCH(ROWS($F$2:F987),$G$2:$G$1000,0)),"")</f>
        <v/>
      </c>
      <c r="G987" s="9" t="str">
        <f>IF($E987="Yes",COUNTIF($E$2:$E987,"Yes"),"")</f>
        <v/>
      </c>
      <c r="H987" s="3" t="str">
        <f t="shared" si="15"/>
        <v/>
      </c>
    </row>
    <row r="988" spans="1:8" ht="14.25" customHeight="1" x14ac:dyDescent="0.3">
      <c r="A988" s="7"/>
      <c r="B988" s="7"/>
      <c r="C988" s="7"/>
      <c r="D988" s="7"/>
      <c r="E988" s="7"/>
      <c r="F988" s="9" t="str">
        <f>IFERROR(INDEX($A$2:$A$1000,MATCH(ROWS($F$2:F988),$G$2:$G$1000,0)),"")</f>
        <v/>
      </c>
      <c r="G988" s="9" t="str">
        <f>IF($E988="Yes",COUNTIF($E$2:$E988,"Yes"),"")</f>
        <v/>
      </c>
      <c r="H988" s="3" t="str">
        <f t="shared" si="15"/>
        <v/>
      </c>
    </row>
    <row r="989" spans="1:8" ht="14.25" customHeight="1" x14ac:dyDescent="0.3">
      <c r="A989" s="7"/>
      <c r="B989" s="7"/>
      <c r="C989" s="7"/>
      <c r="D989" s="7"/>
      <c r="E989" s="7"/>
      <c r="F989" s="9" t="str">
        <f>IFERROR(INDEX($A$2:$A$1000,MATCH(ROWS($F$2:F989),$G$2:$G$1000,0)),"")</f>
        <v/>
      </c>
      <c r="G989" s="9" t="str">
        <f>IF($E989="Yes",COUNTIF($E$2:$E989,"Yes"),"")</f>
        <v/>
      </c>
      <c r="H989" s="3" t="str">
        <f t="shared" si="15"/>
        <v/>
      </c>
    </row>
    <row r="990" spans="1:8" ht="14.25" customHeight="1" x14ac:dyDescent="0.3">
      <c r="A990" s="7"/>
      <c r="B990" s="7"/>
      <c r="C990" s="7"/>
      <c r="D990" s="7"/>
      <c r="E990" s="7"/>
      <c r="F990" s="9" t="str">
        <f>IFERROR(INDEX($A$2:$A$1000,MATCH(ROWS($F$2:F990),$G$2:$G$1000,0)),"")</f>
        <v/>
      </c>
      <c r="G990" s="9" t="str">
        <f>IF($E990="Yes",COUNTIF($E$2:$E990,"Yes"),"")</f>
        <v/>
      </c>
      <c r="H990" s="3" t="str">
        <f t="shared" si="15"/>
        <v/>
      </c>
    </row>
    <row r="991" spans="1:8" ht="14.25" customHeight="1" x14ac:dyDescent="0.3">
      <c r="A991" s="7"/>
      <c r="B991" s="7"/>
      <c r="C991" s="7"/>
      <c r="D991" s="7"/>
      <c r="E991" s="7"/>
      <c r="F991" s="9" t="str">
        <f>IFERROR(INDEX($A$2:$A$1000,MATCH(ROWS($F$2:F991),$G$2:$G$1000,0)),"")</f>
        <v/>
      </c>
      <c r="G991" s="9" t="str">
        <f>IF($E991="Yes",COUNTIF($E$2:$E991,"Yes"),"")</f>
        <v/>
      </c>
      <c r="H991" s="3" t="str">
        <f t="shared" si="15"/>
        <v/>
      </c>
    </row>
    <row r="992" spans="1:8" ht="14.25" customHeight="1" x14ac:dyDescent="0.3">
      <c r="A992" s="7"/>
      <c r="B992" s="7"/>
      <c r="C992" s="7"/>
      <c r="D992" s="7"/>
      <c r="E992" s="7"/>
      <c r="F992" s="9" t="str">
        <f>IFERROR(INDEX($A$2:$A$1000,MATCH(ROWS($F$2:F992),$G$2:$G$1000,0)),"")</f>
        <v/>
      </c>
      <c r="G992" s="9" t="str">
        <f>IF($E992="Yes",COUNTIF($E$2:$E992,"Yes"),"")</f>
        <v/>
      </c>
      <c r="H992" s="3" t="str">
        <f t="shared" si="15"/>
        <v/>
      </c>
    </row>
    <row r="993" spans="1:8" ht="14.25" customHeight="1" x14ac:dyDescent="0.3">
      <c r="A993" s="7"/>
      <c r="B993" s="7"/>
      <c r="C993" s="7"/>
      <c r="D993" s="7"/>
      <c r="E993" s="7"/>
      <c r="F993" s="9" t="str">
        <f>IFERROR(INDEX($A$2:$A$1000,MATCH(ROWS($F$2:F993),$G$2:$G$1000,0)),"")</f>
        <v/>
      </c>
      <c r="G993" s="9" t="str">
        <f>IF($E993="Yes",COUNTIF($E$2:$E993,"Yes"),"")</f>
        <v/>
      </c>
      <c r="H993" s="3" t="str">
        <f t="shared" si="15"/>
        <v/>
      </c>
    </row>
    <row r="994" spans="1:8" ht="14.25" customHeight="1" x14ac:dyDescent="0.3">
      <c r="A994" s="7"/>
      <c r="B994" s="7"/>
      <c r="C994" s="7"/>
      <c r="D994" s="7"/>
      <c r="E994" s="7"/>
      <c r="F994" s="9" t="str">
        <f>IFERROR(INDEX($A$2:$A$1000,MATCH(ROWS($F$2:F994),$G$2:$G$1000,0)),"")</f>
        <v/>
      </c>
      <c r="G994" s="9" t="str">
        <f>IF($E994="Yes",COUNTIF($E$2:$E994,"Yes"),"")</f>
        <v/>
      </c>
      <c r="H994" s="3" t="str">
        <f t="shared" si="15"/>
        <v/>
      </c>
    </row>
    <row r="995" spans="1:8" ht="14.25" customHeight="1" x14ac:dyDescent="0.3">
      <c r="A995" s="7"/>
      <c r="B995" s="7"/>
      <c r="C995" s="7"/>
      <c r="D995" s="7"/>
      <c r="E995" s="7"/>
      <c r="F995" s="9" t="str">
        <f>IFERROR(INDEX($A$2:$A$1000,MATCH(ROWS($F$2:F995),$G$2:$G$1000,0)),"")</f>
        <v/>
      </c>
      <c r="G995" s="9" t="str">
        <f>IF($E995="Yes",COUNTIF($E$2:$E995,"Yes"),"")</f>
        <v/>
      </c>
      <c r="H995" s="3" t="str">
        <f t="shared" si="15"/>
        <v/>
      </c>
    </row>
    <row r="996" spans="1:8" ht="14.25" customHeight="1" x14ac:dyDescent="0.3">
      <c r="A996" s="7"/>
      <c r="B996" s="7"/>
      <c r="C996" s="7"/>
      <c r="D996" s="7"/>
      <c r="E996" s="7"/>
      <c r="F996" s="9" t="str">
        <f>IFERROR(INDEX($A$2:$A$1000,MATCH(ROWS($F$2:F996),$G$2:$G$1000,0)),"")</f>
        <v/>
      </c>
      <c r="G996" s="9" t="str">
        <f>IF($E996="Yes",COUNTIF($E$2:$E996,"Yes"),"")</f>
        <v/>
      </c>
      <c r="H996" s="3" t="str">
        <f t="shared" si="15"/>
        <v/>
      </c>
    </row>
    <row r="997" spans="1:8" ht="14.25" customHeight="1" x14ac:dyDescent="0.3">
      <c r="A997" s="7"/>
      <c r="B997" s="7"/>
      <c r="C997" s="7"/>
      <c r="D997" s="7"/>
      <c r="E997" s="7"/>
      <c r="F997" s="9" t="str">
        <f>IFERROR(INDEX($A$2:$A$1000,MATCH(ROWS($F$2:F997),$G$2:$G$1000,0)),"")</f>
        <v/>
      </c>
      <c r="G997" s="9" t="str">
        <f>IF($E997="Yes",COUNTIF($E$2:$E997,"Yes"),"")</f>
        <v/>
      </c>
      <c r="H997" s="3" t="str">
        <f t="shared" si="15"/>
        <v/>
      </c>
    </row>
    <row r="998" spans="1:8" ht="14.25" customHeight="1" x14ac:dyDescent="0.3">
      <c r="A998" s="7"/>
      <c r="B998" s="7"/>
      <c r="C998" s="7"/>
      <c r="D998" s="7"/>
      <c r="E998" s="7"/>
      <c r="F998" s="9" t="str">
        <f>IFERROR(INDEX($A$2:$A$1000,MATCH(ROWS($F$2:F998),$G$2:$G$1000,0)),"")</f>
        <v/>
      </c>
      <c r="G998" s="9" t="str">
        <f>IF($E998="Yes",COUNTIF($E$2:$E998,"Yes"),"")</f>
        <v/>
      </c>
      <c r="H998" s="3" t="str">
        <f t="shared" si="15"/>
        <v/>
      </c>
    </row>
    <row r="999" spans="1:8" ht="14.25" customHeight="1" x14ac:dyDescent="0.3">
      <c r="A999" s="7"/>
      <c r="B999" s="7"/>
      <c r="C999" s="7"/>
      <c r="D999" s="7"/>
      <c r="E999" s="7"/>
      <c r="F999" s="9" t="str">
        <f>IFERROR(INDEX($A$2:$A$1000,MATCH(ROWS($F$2:F999),$G$2:$G$1000,0)),"")</f>
        <v/>
      </c>
      <c r="G999" s="9" t="str">
        <f>IF($E999="Yes",COUNTIF($E$2:$E999,"Yes"),"")</f>
        <v/>
      </c>
      <c r="H999" s="3" t="str">
        <f t="shared" si="15"/>
        <v/>
      </c>
    </row>
    <row r="1000" spans="1:8" ht="14.25" customHeight="1" x14ac:dyDescent="0.3">
      <c r="A1000" s="7"/>
      <c r="B1000" s="7"/>
      <c r="C1000" s="7"/>
      <c r="D1000" s="7"/>
      <c r="E1000" s="7"/>
      <c r="F1000" s="9" t="str">
        <f>IFERROR(INDEX($A$2:$A$1000,MATCH(ROWS($F$2:F1000),$G$2:$G$1000,0)),"")</f>
        <v/>
      </c>
      <c r="G1000" s="9" t="str">
        <f>IF($E1000="Yes",COUNTIF($E$2:$E1000,"Yes"),"")</f>
        <v/>
      </c>
      <c r="H1000" s="3" t="str">
        <f t="shared" si="15"/>
        <v/>
      </c>
    </row>
  </sheetData>
  <conditionalFormatting sqref="A2:E1000">
    <cfRule type="expression" dxfId="24" priority="2">
      <formula>AND(COUNTA($A2:$E2)&gt;0,A2="")</formula>
    </cfRule>
    <cfRule type="expression" dxfId="23" priority="3">
      <formula>AND($H2&lt;&gt;"",$H2&lt;&gt;"OK")</formula>
    </cfRule>
  </conditionalFormatting>
  <conditionalFormatting sqref="H2:H1000">
    <cfRule type="expression" dxfId="22" priority="4">
      <formula>AND($H2&lt;&gt;"",$H2&lt;&gt;"OK")</formula>
    </cfRule>
  </conditionalFormatting>
  <dataValidations count="5">
    <dataValidation type="list" errorStyle="information" allowBlank="1" showInputMessage="1" errorTitle="Custom value accepted" error="A custom value is allowed. Choose an existing option or continue with your typed value." promptTitle="Search or add custom value" prompt="Type to search an existing option, or enter a new custom value if no match exists." sqref="B2:B200" xr:uid="{00000000-0002-0000-0300-000000000000}">
      <formula1>dv_Year</formula1>
      <formula2>0</formula2>
    </dataValidation>
    <dataValidation type="list" errorStyle="information" allowBlank="1" showInputMessage="1" errorTitle="Custom value accepted" error="A custom value is allowed. Choose an existing option or continue with your typed value." promptTitle="Search or add custom value" prompt="Type to search an existing option, or enter a new custom value if no match exists." sqref="C2:C200" xr:uid="{00000000-0002-0000-0300-000001000000}">
      <formula1>dv_Semester</formula1>
      <formula2>0</formula2>
    </dataValidation>
    <dataValidation type="list" errorStyle="information" allowBlank="1" showInputMessage="1" errorTitle="Custom value accepted" error="A custom value is allowed. Choose an existing option or continue with your typed value." promptTitle="Search or add custom value" prompt="Type to search an existing option, or enter a new custom value if no match exists." sqref="D2:D200" xr:uid="{00000000-0002-0000-0300-000002000000}">
      <formula1>dv_YearGroup</formula1>
      <formula2>0</formula2>
    </dataValidation>
    <dataValidation type="list" errorStyle="information" allowBlank="1" showInputMessage="1" errorTitle="Custom value accepted" error="A custom value is allowed. Choose an existing option or continue with your typed value." promptTitle="Search or add custom value" prompt="Type to search an existing option, or enter a new custom value if no match exists." sqref="E2:E200" xr:uid="{00000000-0002-0000-0300-000003000000}">
      <formula1>dv_YesNo</formula1>
      <formula2>0</formula2>
    </dataValidation>
    <dataValidation type="list" errorStyle="information" allowBlank="1" showInputMessage="1" errorTitle="Invalid year_sem value" error="Choose an existing year_sem value or type a custom value." promptTitle="Year-semester" prompt="Type to search or select a year-semester value." sqref="A2:A200" xr:uid="{00000000-0002-0000-0300-000004000000}">
      <formula1>dv_YearSemEntry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showGridLines="0" zoomScaleNormal="100" workbookViewId="0">
      <pane ySplit="1" topLeftCell="A2" activePane="bottomLeft" state="frozen"/>
      <selection pane="bottomLeft" activeCell="D7" sqref="D7"/>
    </sheetView>
  </sheetViews>
  <sheetFormatPr defaultColWidth="14.44140625" defaultRowHeight="14.4" x14ac:dyDescent="0.3"/>
  <cols>
    <col min="1" max="1" width="30" customWidth="1"/>
    <col min="2" max="2" width="14" customWidth="1"/>
    <col min="3" max="3" width="30" customWidth="1"/>
    <col min="4" max="4" width="48" customWidth="1"/>
    <col min="5" max="26" width="28" customWidth="1"/>
  </cols>
  <sheetData>
    <row r="1" spans="1:5" ht="14.25" customHeight="1" x14ac:dyDescent="0.3">
      <c r="A1" s="2" t="s">
        <v>146</v>
      </c>
      <c r="B1" s="2" t="s">
        <v>147</v>
      </c>
      <c r="C1" s="2" t="s">
        <v>148</v>
      </c>
      <c r="D1" s="2" t="s">
        <v>149</v>
      </c>
      <c r="E1" s="2" t="s">
        <v>2</v>
      </c>
    </row>
    <row r="2" spans="1:5" ht="14.25" customHeight="1" x14ac:dyDescent="0.3">
      <c r="A2" s="7" t="s">
        <v>150</v>
      </c>
      <c r="B2" s="7" t="s">
        <v>151</v>
      </c>
      <c r="C2" s="7" t="s">
        <v>76</v>
      </c>
      <c r="D2" s="7" t="s">
        <v>75</v>
      </c>
      <c r="E2" s="3" t="str">
        <f t="shared" ref="E2:E65" si="0">IF(COUNTA(A2:D2)=0,"",IF(COUNTIF($B$2:$B$500,B2)&gt;1,"DUPLICATE ABBREVIATION","OK"))</f>
        <v>OK</v>
      </c>
    </row>
    <row r="3" spans="1:5" ht="14.25" customHeight="1" x14ac:dyDescent="0.3">
      <c r="A3" s="7" t="s">
        <v>152</v>
      </c>
      <c r="B3" s="7" t="s">
        <v>153</v>
      </c>
      <c r="C3" s="7" t="s">
        <v>92</v>
      </c>
      <c r="D3" s="7" t="s">
        <v>75</v>
      </c>
      <c r="E3" s="3" t="str">
        <f t="shared" si="0"/>
        <v>OK</v>
      </c>
    </row>
    <row r="4" spans="1:5" ht="14.25" customHeight="1" x14ac:dyDescent="0.3">
      <c r="A4" s="7" t="s">
        <v>154</v>
      </c>
      <c r="B4" s="7" t="s">
        <v>155</v>
      </c>
      <c r="C4" s="7" t="s">
        <v>92</v>
      </c>
      <c r="D4" s="7" t="s">
        <v>75</v>
      </c>
      <c r="E4" s="3" t="str">
        <f t="shared" si="0"/>
        <v>OK</v>
      </c>
    </row>
    <row r="5" spans="1:5" ht="26.25" customHeight="1" x14ac:dyDescent="0.3">
      <c r="A5" s="7" t="s">
        <v>156</v>
      </c>
      <c r="B5" s="7" t="s">
        <v>157</v>
      </c>
      <c r="C5" s="7" t="s">
        <v>106</v>
      </c>
      <c r="D5" s="7" t="s">
        <v>75</v>
      </c>
      <c r="E5" s="3" t="str">
        <f t="shared" si="0"/>
        <v>OK</v>
      </c>
    </row>
    <row r="6" spans="1:5" ht="14.25" customHeight="1" x14ac:dyDescent="0.3">
      <c r="A6" s="7" t="s">
        <v>158</v>
      </c>
      <c r="B6" s="7" t="s">
        <v>159</v>
      </c>
      <c r="C6" s="7" t="s">
        <v>106</v>
      </c>
      <c r="D6" s="7" t="s">
        <v>75</v>
      </c>
      <c r="E6" s="3" t="str">
        <f t="shared" si="0"/>
        <v>OK</v>
      </c>
    </row>
    <row r="7" spans="1:5" ht="14.25" customHeight="1" x14ac:dyDescent="0.3">
      <c r="A7" s="7" t="s">
        <v>160</v>
      </c>
      <c r="B7" s="7" t="s">
        <v>161</v>
      </c>
      <c r="C7" s="7" t="s">
        <v>106</v>
      </c>
      <c r="D7" s="7" t="s">
        <v>75</v>
      </c>
      <c r="E7" s="3" t="str">
        <f t="shared" si="0"/>
        <v>OK</v>
      </c>
    </row>
    <row r="8" spans="1:5" ht="14.25" customHeight="1" x14ac:dyDescent="0.3">
      <c r="A8" s="7" t="s">
        <v>162</v>
      </c>
      <c r="B8" s="7" t="s">
        <v>163</v>
      </c>
      <c r="C8" s="7" t="s">
        <v>116</v>
      </c>
      <c r="D8" s="7" t="s">
        <v>75</v>
      </c>
      <c r="E8" s="3" t="str">
        <f t="shared" si="0"/>
        <v>OK</v>
      </c>
    </row>
    <row r="9" spans="1:5" ht="14.25" customHeight="1" x14ac:dyDescent="0.3">
      <c r="A9" s="7" t="s">
        <v>164</v>
      </c>
      <c r="B9" s="7" t="s">
        <v>165</v>
      </c>
      <c r="C9" s="7" t="s">
        <v>106</v>
      </c>
      <c r="D9" s="7" t="s">
        <v>109</v>
      </c>
      <c r="E9" s="3" t="str">
        <f t="shared" si="0"/>
        <v>OK</v>
      </c>
    </row>
    <row r="10" spans="1:5" ht="14.25" customHeight="1" x14ac:dyDescent="0.3">
      <c r="A10" s="7" t="s">
        <v>166</v>
      </c>
      <c r="B10" s="7" t="s">
        <v>167</v>
      </c>
      <c r="C10" s="7" t="s">
        <v>106</v>
      </c>
      <c r="D10" s="7" t="s">
        <v>91</v>
      </c>
      <c r="E10" s="3" t="str">
        <f t="shared" si="0"/>
        <v>OK</v>
      </c>
    </row>
    <row r="11" spans="1:5" ht="15" customHeight="1" x14ac:dyDescent="0.3">
      <c r="A11" s="7" t="s">
        <v>168</v>
      </c>
      <c r="B11" s="7" t="s">
        <v>169</v>
      </c>
      <c r="C11" s="7" t="s">
        <v>92</v>
      </c>
      <c r="D11" s="7" t="s">
        <v>85</v>
      </c>
      <c r="E11" s="3" t="str">
        <f t="shared" si="0"/>
        <v>OK</v>
      </c>
    </row>
    <row r="12" spans="1:5" ht="14.25" customHeight="1" x14ac:dyDescent="0.3">
      <c r="A12" s="7" t="s">
        <v>170</v>
      </c>
      <c r="B12" s="7" t="s">
        <v>171</v>
      </c>
      <c r="C12" s="7" t="s">
        <v>106</v>
      </c>
      <c r="D12" s="7" t="s">
        <v>91</v>
      </c>
      <c r="E12" s="3" t="str">
        <f t="shared" si="0"/>
        <v>OK</v>
      </c>
    </row>
    <row r="13" spans="1:5" ht="14.25" customHeight="1" x14ac:dyDescent="0.3">
      <c r="A13" s="7"/>
      <c r="B13" s="7"/>
      <c r="C13" s="7"/>
      <c r="D13" s="7"/>
      <c r="E13" s="3" t="str">
        <f t="shared" si="0"/>
        <v/>
      </c>
    </row>
    <row r="14" spans="1:5" ht="14.25" customHeight="1" x14ac:dyDescent="0.3">
      <c r="A14" s="7"/>
      <c r="B14" s="7"/>
      <c r="C14" s="7"/>
      <c r="D14" s="7"/>
      <c r="E14" s="3" t="str">
        <f t="shared" si="0"/>
        <v/>
      </c>
    </row>
    <row r="15" spans="1:5" ht="14.25" customHeight="1" x14ac:dyDescent="0.3">
      <c r="A15" s="7"/>
      <c r="B15" s="7"/>
      <c r="C15" s="7"/>
      <c r="D15" s="7"/>
      <c r="E15" s="3" t="str">
        <f t="shared" si="0"/>
        <v/>
      </c>
    </row>
    <row r="16" spans="1:5" ht="14.25" customHeight="1" x14ac:dyDescent="0.3">
      <c r="A16" s="7"/>
      <c r="B16" s="7"/>
      <c r="C16" s="7"/>
      <c r="D16" s="7"/>
      <c r="E16" s="3" t="str">
        <f t="shared" si="0"/>
        <v/>
      </c>
    </row>
    <row r="17" spans="1:5" ht="14.25" customHeight="1" x14ac:dyDescent="0.3">
      <c r="A17" s="7"/>
      <c r="B17" s="7"/>
      <c r="C17" s="7"/>
      <c r="D17" s="7"/>
      <c r="E17" s="3" t="str">
        <f t="shared" si="0"/>
        <v/>
      </c>
    </row>
    <row r="18" spans="1:5" ht="14.25" customHeight="1" x14ac:dyDescent="0.3">
      <c r="A18" s="7"/>
      <c r="B18" s="7"/>
      <c r="C18" s="7"/>
      <c r="D18" s="7"/>
      <c r="E18" s="3" t="str">
        <f t="shared" si="0"/>
        <v/>
      </c>
    </row>
    <row r="19" spans="1:5" ht="14.25" customHeight="1" x14ac:dyDescent="0.3">
      <c r="A19" s="7"/>
      <c r="B19" s="7"/>
      <c r="C19" s="7"/>
      <c r="D19" s="7"/>
      <c r="E19" s="3" t="str">
        <f t="shared" si="0"/>
        <v/>
      </c>
    </row>
    <row r="20" spans="1:5" ht="14.25" customHeight="1" x14ac:dyDescent="0.3">
      <c r="A20" s="7"/>
      <c r="B20" s="7"/>
      <c r="C20" s="7"/>
      <c r="D20" s="7"/>
      <c r="E20" s="3" t="str">
        <f t="shared" si="0"/>
        <v/>
      </c>
    </row>
    <row r="21" spans="1:5" ht="14.25" customHeight="1" x14ac:dyDescent="0.3">
      <c r="A21" s="7"/>
      <c r="B21" s="7"/>
      <c r="C21" s="7"/>
      <c r="D21" s="7"/>
      <c r="E21" s="3" t="str">
        <f t="shared" si="0"/>
        <v/>
      </c>
    </row>
    <row r="22" spans="1:5" ht="14.25" customHeight="1" x14ac:dyDescent="0.3">
      <c r="A22" s="7"/>
      <c r="B22" s="7"/>
      <c r="C22" s="7"/>
      <c r="D22" s="7"/>
      <c r="E22" s="3" t="str">
        <f t="shared" si="0"/>
        <v/>
      </c>
    </row>
    <row r="23" spans="1:5" ht="14.25" customHeight="1" x14ac:dyDescent="0.3">
      <c r="A23" s="7"/>
      <c r="B23" s="7"/>
      <c r="C23" s="7"/>
      <c r="D23" s="7"/>
      <c r="E23" s="3" t="str">
        <f t="shared" si="0"/>
        <v/>
      </c>
    </row>
    <row r="24" spans="1:5" ht="14.25" customHeight="1" x14ac:dyDescent="0.3">
      <c r="A24" s="7"/>
      <c r="B24" s="7"/>
      <c r="C24" s="7"/>
      <c r="D24" s="7"/>
      <c r="E24" s="3" t="str">
        <f t="shared" si="0"/>
        <v/>
      </c>
    </row>
    <row r="25" spans="1:5" ht="14.25" customHeight="1" x14ac:dyDescent="0.3">
      <c r="A25" s="7"/>
      <c r="B25" s="7"/>
      <c r="C25" s="7"/>
      <c r="D25" s="7"/>
      <c r="E25" s="3" t="str">
        <f t="shared" si="0"/>
        <v/>
      </c>
    </row>
    <row r="26" spans="1:5" ht="14.25" customHeight="1" x14ac:dyDescent="0.3">
      <c r="A26" s="7"/>
      <c r="B26" s="7"/>
      <c r="C26" s="7"/>
      <c r="D26" s="7"/>
      <c r="E26" s="3" t="str">
        <f t="shared" si="0"/>
        <v/>
      </c>
    </row>
    <row r="27" spans="1:5" ht="14.25" customHeight="1" x14ac:dyDescent="0.3">
      <c r="A27" s="7"/>
      <c r="B27" s="7"/>
      <c r="C27" s="7"/>
      <c r="D27" s="7"/>
      <c r="E27" s="3" t="str">
        <f t="shared" si="0"/>
        <v/>
      </c>
    </row>
    <row r="28" spans="1:5" ht="14.25" customHeight="1" x14ac:dyDescent="0.3">
      <c r="A28" s="7"/>
      <c r="B28" s="7"/>
      <c r="C28" s="7"/>
      <c r="D28" s="7"/>
      <c r="E28" s="3" t="str">
        <f t="shared" si="0"/>
        <v/>
      </c>
    </row>
    <row r="29" spans="1:5" ht="14.25" customHeight="1" x14ac:dyDescent="0.3">
      <c r="A29" s="7"/>
      <c r="B29" s="7"/>
      <c r="C29" s="7"/>
      <c r="D29" s="7"/>
      <c r="E29" s="3" t="str">
        <f t="shared" si="0"/>
        <v/>
      </c>
    </row>
    <row r="30" spans="1:5" ht="14.25" customHeight="1" x14ac:dyDescent="0.3">
      <c r="A30" s="7"/>
      <c r="B30" s="7"/>
      <c r="C30" s="7"/>
      <c r="D30" s="7"/>
      <c r="E30" s="3" t="str">
        <f t="shared" si="0"/>
        <v/>
      </c>
    </row>
    <row r="31" spans="1:5" ht="14.25" customHeight="1" x14ac:dyDescent="0.3">
      <c r="A31" s="7"/>
      <c r="B31" s="7"/>
      <c r="C31" s="7"/>
      <c r="D31" s="7"/>
      <c r="E31" s="3" t="str">
        <f t="shared" si="0"/>
        <v/>
      </c>
    </row>
    <row r="32" spans="1:5" ht="14.25" customHeight="1" x14ac:dyDescent="0.3">
      <c r="A32" s="7"/>
      <c r="B32" s="7"/>
      <c r="C32" s="7"/>
      <c r="D32" s="7"/>
      <c r="E32" s="3" t="str">
        <f t="shared" si="0"/>
        <v/>
      </c>
    </row>
    <row r="33" spans="1:5" ht="14.25" customHeight="1" x14ac:dyDescent="0.3">
      <c r="A33" s="7"/>
      <c r="B33" s="7"/>
      <c r="C33" s="7"/>
      <c r="D33" s="7"/>
      <c r="E33" s="3" t="str">
        <f t="shared" si="0"/>
        <v/>
      </c>
    </row>
    <row r="34" spans="1:5" ht="14.25" customHeight="1" x14ac:dyDescent="0.3">
      <c r="A34" s="7"/>
      <c r="B34" s="7"/>
      <c r="C34" s="7"/>
      <c r="D34" s="7"/>
      <c r="E34" s="3" t="str">
        <f t="shared" si="0"/>
        <v/>
      </c>
    </row>
    <row r="35" spans="1:5" ht="14.25" customHeight="1" x14ac:dyDescent="0.3">
      <c r="A35" s="7"/>
      <c r="B35" s="7"/>
      <c r="C35" s="7"/>
      <c r="D35" s="7"/>
      <c r="E35" s="3" t="str">
        <f t="shared" si="0"/>
        <v/>
      </c>
    </row>
    <row r="36" spans="1:5" ht="14.25" customHeight="1" x14ac:dyDescent="0.3">
      <c r="A36" s="7"/>
      <c r="B36" s="7"/>
      <c r="C36" s="7"/>
      <c r="D36" s="7"/>
      <c r="E36" s="3" t="str">
        <f t="shared" si="0"/>
        <v/>
      </c>
    </row>
    <row r="37" spans="1:5" ht="14.25" customHeight="1" x14ac:dyDescent="0.3">
      <c r="A37" s="7"/>
      <c r="B37" s="7"/>
      <c r="C37" s="7"/>
      <c r="D37" s="7"/>
      <c r="E37" s="3" t="str">
        <f t="shared" si="0"/>
        <v/>
      </c>
    </row>
    <row r="38" spans="1:5" ht="14.25" customHeight="1" x14ac:dyDescent="0.3">
      <c r="A38" s="7"/>
      <c r="B38" s="7"/>
      <c r="C38" s="7"/>
      <c r="D38" s="7"/>
      <c r="E38" s="3" t="str">
        <f t="shared" si="0"/>
        <v/>
      </c>
    </row>
    <row r="39" spans="1:5" ht="14.25" customHeight="1" x14ac:dyDescent="0.3">
      <c r="A39" s="7"/>
      <c r="B39" s="7"/>
      <c r="C39" s="7"/>
      <c r="D39" s="7"/>
      <c r="E39" s="3" t="str">
        <f t="shared" si="0"/>
        <v/>
      </c>
    </row>
    <row r="40" spans="1:5" ht="14.25" customHeight="1" x14ac:dyDescent="0.3">
      <c r="A40" s="7"/>
      <c r="B40" s="7"/>
      <c r="C40" s="7"/>
      <c r="D40" s="7"/>
      <c r="E40" s="3" t="str">
        <f t="shared" si="0"/>
        <v/>
      </c>
    </row>
    <row r="41" spans="1:5" ht="14.25" customHeight="1" x14ac:dyDescent="0.3">
      <c r="A41" s="7"/>
      <c r="B41" s="7"/>
      <c r="C41" s="7"/>
      <c r="D41" s="7"/>
      <c r="E41" s="3" t="str">
        <f t="shared" si="0"/>
        <v/>
      </c>
    </row>
    <row r="42" spans="1:5" ht="14.25" customHeight="1" x14ac:dyDescent="0.3">
      <c r="A42" s="7"/>
      <c r="B42" s="7"/>
      <c r="C42" s="7"/>
      <c r="D42" s="7"/>
      <c r="E42" s="3" t="str">
        <f t="shared" si="0"/>
        <v/>
      </c>
    </row>
    <row r="43" spans="1:5" ht="14.25" customHeight="1" x14ac:dyDescent="0.3">
      <c r="A43" s="7"/>
      <c r="B43" s="7"/>
      <c r="C43" s="7"/>
      <c r="D43" s="7"/>
      <c r="E43" s="3" t="str">
        <f t="shared" si="0"/>
        <v/>
      </c>
    </row>
    <row r="44" spans="1:5" ht="14.25" customHeight="1" x14ac:dyDescent="0.3">
      <c r="A44" s="7"/>
      <c r="B44" s="7"/>
      <c r="C44" s="7"/>
      <c r="D44" s="7"/>
      <c r="E44" s="3" t="str">
        <f t="shared" si="0"/>
        <v/>
      </c>
    </row>
    <row r="45" spans="1:5" ht="14.25" customHeight="1" x14ac:dyDescent="0.3">
      <c r="A45" s="7"/>
      <c r="B45" s="7"/>
      <c r="C45" s="7"/>
      <c r="D45" s="7"/>
      <c r="E45" s="3" t="str">
        <f t="shared" si="0"/>
        <v/>
      </c>
    </row>
    <row r="46" spans="1:5" ht="14.25" customHeight="1" x14ac:dyDescent="0.3">
      <c r="A46" s="7"/>
      <c r="B46" s="7"/>
      <c r="C46" s="7"/>
      <c r="D46" s="7"/>
      <c r="E46" s="3" t="str">
        <f t="shared" si="0"/>
        <v/>
      </c>
    </row>
    <row r="47" spans="1:5" ht="14.25" customHeight="1" x14ac:dyDescent="0.3">
      <c r="A47" s="7"/>
      <c r="B47" s="7"/>
      <c r="C47" s="7"/>
      <c r="D47" s="7"/>
      <c r="E47" s="3" t="str">
        <f t="shared" si="0"/>
        <v/>
      </c>
    </row>
    <row r="48" spans="1:5" ht="14.25" customHeight="1" x14ac:dyDescent="0.3">
      <c r="A48" s="7"/>
      <c r="B48" s="7"/>
      <c r="C48" s="7"/>
      <c r="D48" s="7"/>
      <c r="E48" s="3" t="str">
        <f t="shared" si="0"/>
        <v/>
      </c>
    </row>
    <row r="49" spans="1:5" ht="14.25" customHeight="1" x14ac:dyDescent="0.3">
      <c r="A49" s="7"/>
      <c r="B49" s="7"/>
      <c r="C49" s="7"/>
      <c r="D49" s="7"/>
      <c r="E49" s="3" t="str">
        <f t="shared" si="0"/>
        <v/>
      </c>
    </row>
    <row r="50" spans="1:5" ht="14.25" customHeight="1" x14ac:dyDescent="0.3">
      <c r="A50" s="7"/>
      <c r="B50" s="7"/>
      <c r="C50" s="7"/>
      <c r="D50" s="7"/>
      <c r="E50" s="3" t="str">
        <f t="shared" si="0"/>
        <v/>
      </c>
    </row>
    <row r="51" spans="1:5" ht="14.25" customHeight="1" x14ac:dyDescent="0.3">
      <c r="A51" s="7"/>
      <c r="B51" s="7"/>
      <c r="C51" s="7"/>
      <c r="D51" s="7"/>
      <c r="E51" s="3" t="str">
        <f t="shared" si="0"/>
        <v/>
      </c>
    </row>
    <row r="52" spans="1:5" ht="14.25" customHeight="1" x14ac:dyDescent="0.3">
      <c r="A52" s="7"/>
      <c r="B52" s="7"/>
      <c r="C52" s="7"/>
      <c r="D52" s="7"/>
      <c r="E52" s="3" t="str">
        <f t="shared" si="0"/>
        <v/>
      </c>
    </row>
    <row r="53" spans="1:5" ht="14.25" customHeight="1" x14ac:dyDescent="0.3">
      <c r="A53" s="7"/>
      <c r="B53" s="7"/>
      <c r="C53" s="7"/>
      <c r="D53" s="7"/>
      <c r="E53" s="3" t="str">
        <f t="shared" si="0"/>
        <v/>
      </c>
    </row>
    <row r="54" spans="1:5" ht="14.25" customHeight="1" x14ac:dyDescent="0.3">
      <c r="A54" s="7"/>
      <c r="B54" s="7"/>
      <c r="C54" s="7"/>
      <c r="D54" s="7"/>
      <c r="E54" s="3" t="str">
        <f t="shared" si="0"/>
        <v/>
      </c>
    </row>
    <row r="55" spans="1:5" ht="14.25" customHeight="1" x14ac:dyDescent="0.3">
      <c r="A55" s="7"/>
      <c r="B55" s="7"/>
      <c r="C55" s="7"/>
      <c r="D55" s="7"/>
      <c r="E55" s="3" t="str">
        <f t="shared" si="0"/>
        <v/>
      </c>
    </row>
    <row r="56" spans="1:5" ht="14.25" customHeight="1" x14ac:dyDescent="0.3">
      <c r="A56" s="7"/>
      <c r="B56" s="7"/>
      <c r="C56" s="7"/>
      <c r="D56" s="7"/>
      <c r="E56" s="3" t="str">
        <f t="shared" si="0"/>
        <v/>
      </c>
    </row>
    <row r="57" spans="1:5" ht="14.25" customHeight="1" x14ac:dyDescent="0.3">
      <c r="A57" s="7"/>
      <c r="B57" s="7"/>
      <c r="C57" s="7"/>
      <c r="D57" s="7"/>
      <c r="E57" s="3" t="str">
        <f t="shared" si="0"/>
        <v/>
      </c>
    </row>
    <row r="58" spans="1:5" ht="14.25" customHeight="1" x14ac:dyDescent="0.3">
      <c r="A58" s="7"/>
      <c r="B58" s="7"/>
      <c r="C58" s="7"/>
      <c r="D58" s="7"/>
      <c r="E58" s="3" t="str">
        <f t="shared" si="0"/>
        <v/>
      </c>
    </row>
    <row r="59" spans="1:5" ht="14.25" customHeight="1" x14ac:dyDescent="0.3">
      <c r="A59" s="7"/>
      <c r="B59" s="7"/>
      <c r="C59" s="7"/>
      <c r="D59" s="7"/>
      <c r="E59" s="3" t="str">
        <f t="shared" si="0"/>
        <v/>
      </c>
    </row>
    <row r="60" spans="1:5" ht="14.25" customHeight="1" x14ac:dyDescent="0.3">
      <c r="A60" s="7"/>
      <c r="B60" s="7"/>
      <c r="C60" s="7"/>
      <c r="D60" s="7"/>
      <c r="E60" s="3" t="str">
        <f t="shared" si="0"/>
        <v/>
      </c>
    </row>
    <row r="61" spans="1:5" ht="14.25" customHeight="1" x14ac:dyDescent="0.3">
      <c r="A61" s="7"/>
      <c r="B61" s="7"/>
      <c r="C61" s="7"/>
      <c r="D61" s="7"/>
      <c r="E61" s="3" t="str">
        <f t="shared" si="0"/>
        <v/>
      </c>
    </row>
    <row r="62" spans="1:5" ht="14.25" customHeight="1" x14ac:dyDescent="0.3">
      <c r="A62" s="7"/>
      <c r="B62" s="7"/>
      <c r="C62" s="7"/>
      <c r="D62" s="7"/>
      <c r="E62" s="3" t="str">
        <f t="shared" si="0"/>
        <v/>
      </c>
    </row>
    <row r="63" spans="1:5" ht="14.25" customHeight="1" x14ac:dyDescent="0.3">
      <c r="A63" s="7"/>
      <c r="B63" s="7"/>
      <c r="C63" s="7"/>
      <c r="D63" s="7"/>
      <c r="E63" s="3" t="str">
        <f t="shared" si="0"/>
        <v/>
      </c>
    </row>
    <row r="64" spans="1:5" ht="14.25" customHeight="1" x14ac:dyDescent="0.3">
      <c r="A64" s="7"/>
      <c r="B64" s="7"/>
      <c r="C64" s="7"/>
      <c r="D64" s="7"/>
      <c r="E64" s="3" t="str">
        <f t="shared" si="0"/>
        <v/>
      </c>
    </row>
    <row r="65" spans="1:5" ht="14.25" customHeight="1" x14ac:dyDescent="0.3">
      <c r="A65" s="7"/>
      <c r="B65" s="7"/>
      <c r="C65" s="7"/>
      <c r="D65" s="7"/>
      <c r="E65" s="3" t="str">
        <f t="shared" si="0"/>
        <v/>
      </c>
    </row>
    <row r="66" spans="1:5" ht="14.25" customHeight="1" x14ac:dyDescent="0.3">
      <c r="A66" s="7"/>
      <c r="B66" s="7"/>
      <c r="C66" s="7"/>
      <c r="D66" s="7"/>
      <c r="E66" s="3" t="str">
        <f t="shared" ref="E66:E129" si="1">IF(COUNTA(A66:D66)=0,"",IF(COUNTIF($B$2:$B$500,B66)&gt;1,"DUPLICATE ABBREVIATION","OK"))</f>
        <v/>
      </c>
    </row>
    <row r="67" spans="1:5" ht="14.25" customHeight="1" x14ac:dyDescent="0.3">
      <c r="A67" s="7"/>
      <c r="B67" s="7"/>
      <c r="C67" s="7"/>
      <c r="D67" s="7"/>
      <c r="E67" s="3" t="str">
        <f t="shared" si="1"/>
        <v/>
      </c>
    </row>
    <row r="68" spans="1:5" ht="14.25" customHeight="1" x14ac:dyDescent="0.3">
      <c r="A68" s="7"/>
      <c r="B68" s="7"/>
      <c r="C68" s="7"/>
      <c r="D68" s="7"/>
      <c r="E68" s="3" t="str">
        <f t="shared" si="1"/>
        <v/>
      </c>
    </row>
    <row r="69" spans="1:5" ht="14.25" customHeight="1" x14ac:dyDescent="0.3">
      <c r="A69" s="7"/>
      <c r="B69" s="7"/>
      <c r="C69" s="7"/>
      <c r="D69" s="7"/>
      <c r="E69" s="3" t="str">
        <f t="shared" si="1"/>
        <v/>
      </c>
    </row>
    <row r="70" spans="1:5" ht="14.25" customHeight="1" x14ac:dyDescent="0.3">
      <c r="A70" s="7"/>
      <c r="B70" s="7"/>
      <c r="C70" s="7"/>
      <c r="D70" s="7"/>
      <c r="E70" s="3" t="str">
        <f t="shared" si="1"/>
        <v/>
      </c>
    </row>
    <row r="71" spans="1:5" ht="14.25" customHeight="1" x14ac:dyDescent="0.3">
      <c r="A71" s="7"/>
      <c r="B71" s="7"/>
      <c r="C71" s="7"/>
      <c r="D71" s="7"/>
      <c r="E71" s="3" t="str">
        <f t="shared" si="1"/>
        <v/>
      </c>
    </row>
    <row r="72" spans="1:5" ht="14.25" customHeight="1" x14ac:dyDescent="0.3">
      <c r="A72" s="7"/>
      <c r="B72" s="7"/>
      <c r="C72" s="7"/>
      <c r="D72" s="7"/>
      <c r="E72" s="3" t="str">
        <f t="shared" si="1"/>
        <v/>
      </c>
    </row>
    <row r="73" spans="1:5" ht="14.25" customHeight="1" x14ac:dyDescent="0.3">
      <c r="A73" s="7"/>
      <c r="B73" s="7"/>
      <c r="C73" s="7"/>
      <c r="D73" s="7"/>
      <c r="E73" s="3" t="str">
        <f t="shared" si="1"/>
        <v/>
      </c>
    </row>
    <row r="74" spans="1:5" ht="14.25" customHeight="1" x14ac:dyDescent="0.3">
      <c r="A74" s="7"/>
      <c r="B74" s="7"/>
      <c r="C74" s="7"/>
      <c r="D74" s="7"/>
      <c r="E74" s="3" t="str">
        <f t="shared" si="1"/>
        <v/>
      </c>
    </row>
    <row r="75" spans="1:5" ht="14.25" customHeight="1" x14ac:dyDescent="0.3">
      <c r="A75" s="7"/>
      <c r="B75" s="7"/>
      <c r="C75" s="7"/>
      <c r="D75" s="7"/>
      <c r="E75" s="3" t="str">
        <f t="shared" si="1"/>
        <v/>
      </c>
    </row>
    <row r="76" spans="1:5" ht="14.25" customHeight="1" x14ac:dyDescent="0.3">
      <c r="A76" s="7"/>
      <c r="B76" s="7"/>
      <c r="C76" s="7"/>
      <c r="D76" s="7"/>
      <c r="E76" s="3" t="str">
        <f t="shared" si="1"/>
        <v/>
      </c>
    </row>
    <row r="77" spans="1:5" ht="14.25" customHeight="1" x14ac:dyDescent="0.3">
      <c r="A77" s="7"/>
      <c r="B77" s="7"/>
      <c r="C77" s="7"/>
      <c r="D77" s="7"/>
      <c r="E77" s="3" t="str">
        <f t="shared" si="1"/>
        <v/>
      </c>
    </row>
    <row r="78" spans="1:5" ht="14.25" customHeight="1" x14ac:dyDescent="0.3">
      <c r="A78" s="7"/>
      <c r="B78" s="7"/>
      <c r="C78" s="7"/>
      <c r="D78" s="7"/>
      <c r="E78" s="3" t="str">
        <f t="shared" si="1"/>
        <v/>
      </c>
    </row>
    <row r="79" spans="1:5" ht="14.25" customHeight="1" x14ac:dyDescent="0.3">
      <c r="A79" s="7"/>
      <c r="B79" s="7"/>
      <c r="C79" s="7"/>
      <c r="D79" s="7"/>
      <c r="E79" s="3" t="str">
        <f t="shared" si="1"/>
        <v/>
      </c>
    </row>
    <row r="80" spans="1:5" ht="14.25" customHeight="1" x14ac:dyDescent="0.3">
      <c r="A80" s="7"/>
      <c r="B80" s="7"/>
      <c r="C80" s="7"/>
      <c r="D80" s="7"/>
      <c r="E80" s="3" t="str">
        <f t="shared" si="1"/>
        <v/>
      </c>
    </row>
    <row r="81" spans="1:5" ht="14.25" customHeight="1" x14ac:dyDescent="0.3">
      <c r="A81" s="7"/>
      <c r="B81" s="7"/>
      <c r="C81" s="7"/>
      <c r="D81" s="7"/>
      <c r="E81" s="3" t="str">
        <f t="shared" si="1"/>
        <v/>
      </c>
    </row>
    <row r="82" spans="1:5" ht="14.25" customHeight="1" x14ac:dyDescent="0.3">
      <c r="A82" s="7"/>
      <c r="B82" s="7"/>
      <c r="C82" s="7"/>
      <c r="D82" s="7"/>
      <c r="E82" s="3" t="str">
        <f t="shared" si="1"/>
        <v/>
      </c>
    </row>
    <row r="83" spans="1:5" ht="14.25" customHeight="1" x14ac:dyDescent="0.3">
      <c r="A83" s="7"/>
      <c r="B83" s="7"/>
      <c r="C83" s="7"/>
      <c r="D83" s="7"/>
      <c r="E83" s="3" t="str">
        <f t="shared" si="1"/>
        <v/>
      </c>
    </row>
    <row r="84" spans="1:5" ht="14.25" customHeight="1" x14ac:dyDescent="0.3">
      <c r="A84" s="7"/>
      <c r="B84" s="7"/>
      <c r="C84" s="7"/>
      <c r="D84" s="7"/>
      <c r="E84" s="3" t="str">
        <f t="shared" si="1"/>
        <v/>
      </c>
    </row>
    <row r="85" spans="1:5" ht="14.25" customHeight="1" x14ac:dyDescent="0.3">
      <c r="A85" s="7"/>
      <c r="B85" s="7"/>
      <c r="C85" s="7"/>
      <c r="D85" s="7"/>
      <c r="E85" s="3" t="str">
        <f t="shared" si="1"/>
        <v/>
      </c>
    </row>
    <row r="86" spans="1:5" ht="14.25" customHeight="1" x14ac:dyDescent="0.3">
      <c r="A86" s="7"/>
      <c r="B86" s="7"/>
      <c r="C86" s="7"/>
      <c r="D86" s="7"/>
      <c r="E86" s="3" t="str">
        <f t="shared" si="1"/>
        <v/>
      </c>
    </row>
    <row r="87" spans="1:5" ht="14.25" customHeight="1" x14ac:dyDescent="0.3">
      <c r="A87" s="7"/>
      <c r="B87" s="7"/>
      <c r="C87" s="7"/>
      <c r="D87" s="7"/>
      <c r="E87" s="3" t="str">
        <f t="shared" si="1"/>
        <v/>
      </c>
    </row>
    <row r="88" spans="1:5" ht="14.25" customHeight="1" x14ac:dyDescent="0.3">
      <c r="A88" s="7"/>
      <c r="B88" s="7"/>
      <c r="C88" s="7"/>
      <c r="D88" s="7"/>
      <c r="E88" s="3" t="str">
        <f t="shared" si="1"/>
        <v/>
      </c>
    </row>
    <row r="89" spans="1:5" ht="14.25" customHeight="1" x14ac:dyDescent="0.3">
      <c r="A89" s="7"/>
      <c r="B89" s="7"/>
      <c r="C89" s="7"/>
      <c r="D89" s="7"/>
      <c r="E89" s="3" t="str">
        <f t="shared" si="1"/>
        <v/>
      </c>
    </row>
    <row r="90" spans="1:5" ht="14.25" customHeight="1" x14ac:dyDescent="0.3">
      <c r="A90" s="7"/>
      <c r="B90" s="7"/>
      <c r="C90" s="7"/>
      <c r="D90" s="7"/>
      <c r="E90" s="3" t="str">
        <f t="shared" si="1"/>
        <v/>
      </c>
    </row>
    <row r="91" spans="1:5" ht="14.25" customHeight="1" x14ac:dyDescent="0.3">
      <c r="A91" s="7"/>
      <c r="B91" s="7"/>
      <c r="C91" s="7"/>
      <c r="D91" s="7"/>
      <c r="E91" s="3" t="str">
        <f t="shared" si="1"/>
        <v/>
      </c>
    </row>
    <row r="92" spans="1:5" ht="14.25" customHeight="1" x14ac:dyDescent="0.3">
      <c r="A92" s="7"/>
      <c r="B92" s="7"/>
      <c r="C92" s="7"/>
      <c r="D92" s="7"/>
      <c r="E92" s="3" t="str">
        <f t="shared" si="1"/>
        <v/>
      </c>
    </row>
    <row r="93" spans="1:5" ht="14.25" customHeight="1" x14ac:dyDescent="0.3">
      <c r="A93" s="7"/>
      <c r="B93" s="7"/>
      <c r="C93" s="7"/>
      <c r="D93" s="7"/>
      <c r="E93" s="3" t="str">
        <f t="shared" si="1"/>
        <v/>
      </c>
    </row>
    <row r="94" spans="1:5" ht="14.25" customHeight="1" x14ac:dyDescent="0.3">
      <c r="A94" s="7"/>
      <c r="B94" s="7"/>
      <c r="C94" s="7"/>
      <c r="D94" s="7"/>
      <c r="E94" s="3" t="str">
        <f t="shared" si="1"/>
        <v/>
      </c>
    </row>
    <row r="95" spans="1:5" ht="14.25" customHeight="1" x14ac:dyDescent="0.3">
      <c r="A95" s="7"/>
      <c r="B95" s="7"/>
      <c r="C95" s="7"/>
      <c r="D95" s="7"/>
      <c r="E95" s="3" t="str">
        <f t="shared" si="1"/>
        <v/>
      </c>
    </row>
    <row r="96" spans="1:5" ht="14.25" customHeight="1" x14ac:dyDescent="0.3">
      <c r="A96" s="7"/>
      <c r="B96" s="7"/>
      <c r="C96" s="7"/>
      <c r="D96" s="7"/>
      <c r="E96" s="3" t="str">
        <f t="shared" si="1"/>
        <v/>
      </c>
    </row>
    <row r="97" spans="1:5" ht="14.25" customHeight="1" x14ac:dyDescent="0.3">
      <c r="A97" s="7"/>
      <c r="B97" s="7"/>
      <c r="C97" s="7"/>
      <c r="D97" s="7"/>
      <c r="E97" s="3" t="str">
        <f t="shared" si="1"/>
        <v/>
      </c>
    </row>
    <row r="98" spans="1:5" ht="14.25" customHeight="1" x14ac:dyDescent="0.3">
      <c r="A98" s="7"/>
      <c r="B98" s="7"/>
      <c r="C98" s="7"/>
      <c r="D98" s="7"/>
      <c r="E98" s="3" t="str">
        <f t="shared" si="1"/>
        <v/>
      </c>
    </row>
    <row r="99" spans="1:5" ht="14.25" customHeight="1" x14ac:dyDescent="0.3">
      <c r="A99" s="7"/>
      <c r="B99" s="7"/>
      <c r="C99" s="7"/>
      <c r="D99" s="7"/>
      <c r="E99" s="3" t="str">
        <f t="shared" si="1"/>
        <v/>
      </c>
    </row>
    <row r="100" spans="1:5" ht="14.25" customHeight="1" x14ac:dyDescent="0.3">
      <c r="A100" s="7"/>
      <c r="B100" s="7"/>
      <c r="C100" s="7"/>
      <c r="D100" s="7"/>
      <c r="E100" s="3" t="str">
        <f t="shared" si="1"/>
        <v/>
      </c>
    </row>
    <row r="101" spans="1:5" ht="14.25" customHeight="1" x14ac:dyDescent="0.3">
      <c r="A101" s="7"/>
      <c r="B101" s="7"/>
      <c r="C101" s="7"/>
      <c r="D101" s="7"/>
      <c r="E101" s="3" t="str">
        <f t="shared" si="1"/>
        <v/>
      </c>
    </row>
    <row r="102" spans="1:5" ht="14.25" customHeight="1" x14ac:dyDescent="0.3">
      <c r="A102" s="7"/>
      <c r="B102" s="7"/>
      <c r="C102" s="7"/>
      <c r="D102" s="7"/>
      <c r="E102" s="3" t="str">
        <f t="shared" si="1"/>
        <v/>
      </c>
    </row>
    <row r="103" spans="1:5" ht="14.25" customHeight="1" x14ac:dyDescent="0.3">
      <c r="A103" s="7"/>
      <c r="B103" s="7"/>
      <c r="C103" s="7"/>
      <c r="D103" s="7"/>
      <c r="E103" s="3" t="str">
        <f t="shared" si="1"/>
        <v/>
      </c>
    </row>
    <row r="104" spans="1:5" ht="14.25" customHeight="1" x14ac:dyDescent="0.3">
      <c r="A104" s="7"/>
      <c r="B104" s="7"/>
      <c r="C104" s="7"/>
      <c r="D104" s="7"/>
      <c r="E104" s="3" t="str">
        <f t="shared" si="1"/>
        <v/>
      </c>
    </row>
    <row r="105" spans="1:5" ht="14.25" customHeight="1" x14ac:dyDescent="0.3">
      <c r="A105" s="7"/>
      <c r="B105" s="7"/>
      <c r="C105" s="7"/>
      <c r="D105" s="7"/>
      <c r="E105" s="3" t="str">
        <f t="shared" si="1"/>
        <v/>
      </c>
    </row>
    <row r="106" spans="1:5" ht="14.25" customHeight="1" x14ac:dyDescent="0.3">
      <c r="A106" s="7"/>
      <c r="B106" s="7"/>
      <c r="C106" s="7"/>
      <c r="D106" s="7"/>
      <c r="E106" s="3" t="str">
        <f t="shared" si="1"/>
        <v/>
      </c>
    </row>
    <row r="107" spans="1:5" ht="14.25" customHeight="1" x14ac:dyDescent="0.3">
      <c r="A107" s="7"/>
      <c r="B107" s="7"/>
      <c r="C107" s="7"/>
      <c r="D107" s="7"/>
      <c r="E107" s="3" t="str">
        <f t="shared" si="1"/>
        <v/>
      </c>
    </row>
    <row r="108" spans="1:5" ht="14.25" customHeight="1" x14ac:dyDescent="0.3">
      <c r="A108" s="7"/>
      <c r="B108" s="7"/>
      <c r="C108" s="7"/>
      <c r="D108" s="7"/>
      <c r="E108" s="3" t="str">
        <f t="shared" si="1"/>
        <v/>
      </c>
    </row>
    <row r="109" spans="1:5" ht="14.25" customHeight="1" x14ac:dyDescent="0.3">
      <c r="A109" s="7"/>
      <c r="B109" s="7"/>
      <c r="C109" s="7"/>
      <c r="D109" s="7"/>
      <c r="E109" s="3" t="str">
        <f t="shared" si="1"/>
        <v/>
      </c>
    </row>
    <row r="110" spans="1:5" ht="14.25" customHeight="1" x14ac:dyDescent="0.3">
      <c r="A110" s="7"/>
      <c r="B110" s="7"/>
      <c r="C110" s="7"/>
      <c r="D110" s="7"/>
      <c r="E110" s="3" t="str">
        <f t="shared" si="1"/>
        <v/>
      </c>
    </row>
    <row r="111" spans="1:5" ht="14.25" customHeight="1" x14ac:dyDescent="0.3">
      <c r="A111" s="7"/>
      <c r="B111" s="7"/>
      <c r="C111" s="7"/>
      <c r="D111" s="7"/>
      <c r="E111" s="3" t="str">
        <f t="shared" si="1"/>
        <v/>
      </c>
    </row>
    <row r="112" spans="1:5" ht="14.25" customHeight="1" x14ac:dyDescent="0.3">
      <c r="A112" s="7"/>
      <c r="B112" s="7"/>
      <c r="C112" s="7"/>
      <c r="D112" s="7"/>
      <c r="E112" s="3" t="str">
        <f t="shared" si="1"/>
        <v/>
      </c>
    </row>
    <row r="113" spans="1:5" ht="14.25" customHeight="1" x14ac:dyDescent="0.3">
      <c r="A113" s="7"/>
      <c r="B113" s="7"/>
      <c r="C113" s="7"/>
      <c r="D113" s="7"/>
      <c r="E113" s="3" t="str">
        <f t="shared" si="1"/>
        <v/>
      </c>
    </row>
    <row r="114" spans="1:5" ht="14.25" customHeight="1" x14ac:dyDescent="0.3">
      <c r="A114" s="7"/>
      <c r="B114" s="7"/>
      <c r="C114" s="7"/>
      <c r="D114" s="7"/>
      <c r="E114" s="3" t="str">
        <f t="shared" si="1"/>
        <v/>
      </c>
    </row>
    <row r="115" spans="1:5" ht="14.25" customHeight="1" x14ac:dyDescent="0.3">
      <c r="A115" s="7"/>
      <c r="B115" s="7"/>
      <c r="C115" s="7"/>
      <c r="D115" s="7"/>
      <c r="E115" s="3" t="str">
        <f t="shared" si="1"/>
        <v/>
      </c>
    </row>
    <row r="116" spans="1:5" ht="14.25" customHeight="1" x14ac:dyDescent="0.3">
      <c r="A116" s="7"/>
      <c r="B116" s="7"/>
      <c r="C116" s="7"/>
      <c r="D116" s="7"/>
      <c r="E116" s="3" t="str">
        <f t="shared" si="1"/>
        <v/>
      </c>
    </row>
    <row r="117" spans="1:5" ht="14.25" customHeight="1" x14ac:dyDescent="0.3">
      <c r="A117" s="7"/>
      <c r="B117" s="7"/>
      <c r="C117" s="7"/>
      <c r="D117" s="7"/>
      <c r="E117" s="3" t="str">
        <f t="shared" si="1"/>
        <v/>
      </c>
    </row>
    <row r="118" spans="1:5" ht="14.25" customHeight="1" x14ac:dyDescent="0.3">
      <c r="A118" s="7"/>
      <c r="B118" s="7"/>
      <c r="C118" s="7"/>
      <c r="D118" s="7"/>
      <c r="E118" s="3" t="str">
        <f t="shared" si="1"/>
        <v/>
      </c>
    </row>
    <row r="119" spans="1:5" ht="14.25" customHeight="1" x14ac:dyDescent="0.3">
      <c r="A119" s="7"/>
      <c r="B119" s="7"/>
      <c r="C119" s="7"/>
      <c r="D119" s="7"/>
      <c r="E119" s="3" t="str">
        <f t="shared" si="1"/>
        <v/>
      </c>
    </row>
    <row r="120" spans="1:5" ht="14.25" customHeight="1" x14ac:dyDescent="0.3">
      <c r="A120" s="7"/>
      <c r="B120" s="7"/>
      <c r="C120" s="7"/>
      <c r="D120" s="7"/>
      <c r="E120" s="3" t="str">
        <f t="shared" si="1"/>
        <v/>
      </c>
    </row>
    <row r="121" spans="1:5" ht="14.25" customHeight="1" x14ac:dyDescent="0.3">
      <c r="A121" s="7"/>
      <c r="B121" s="7"/>
      <c r="C121" s="7"/>
      <c r="D121" s="7"/>
      <c r="E121" s="3" t="str">
        <f t="shared" si="1"/>
        <v/>
      </c>
    </row>
    <row r="122" spans="1:5" ht="14.25" customHeight="1" x14ac:dyDescent="0.3">
      <c r="A122" s="7"/>
      <c r="B122" s="7"/>
      <c r="C122" s="7"/>
      <c r="D122" s="7"/>
      <c r="E122" s="3" t="str">
        <f t="shared" si="1"/>
        <v/>
      </c>
    </row>
    <row r="123" spans="1:5" ht="14.25" customHeight="1" x14ac:dyDescent="0.3">
      <c r="A123" s="7"/>
      <c r="B123" s="7"/>
      <c r="C123" s="7"/>
      <c r="D123" s="7"/>
      <c r="E123" s="3" t="str">
        <f t="shared" si="1"/>
        <v/>
      </c>
    </row>
    <row r="124" spans="1:5" ht="14.25" customHeight="1" x14ac:dyDescent="0.3">
      <c r="A124" s="7"/>
      <c r="B124" s="7"/>
      <c r="C124" s="7"/>
      <c r="D124" s="7"/>
      <c r="E124" s="3" t="str">
        <f t="shared" si="1"/>
        <v/>
      </c>
    </row>
    <row r="125" spans="1:5" ht="14.25" customHeight="1" x14ac:dyDescent="0.3">
      <c r="A125" s="7"/>
      <c r="B125" s="7"/>
      <c r="C125" s="7"/>
      <c r="D125" s="7"/>
      <c r="E125" s="3" t="str">
        <f t="shared" si="1"/>
        <v/>
      </c>
    </row>
    <row r="126" spans="1:5" ht="14.25" customHeight="1" x14ac:dyDescent="0.3">
      <c r="A126" s="7"/>
      <c r="B126" s="7"/>
      <c r="C126" s="7"/>
      <c r="D126" s="7"/>
      <c r="E126" s="3" t="str">
        <f t="shared" si="1"/>
        <v/>
      </c>
    </row>
    <row r="127" spans="1:5" ht="14.25" customHeight="1" x14ac:dyDescent="0.3">
      <c r="A127" s="7"/>
      <c r="B127" s="7"/>
      <c r="C127" s="7"/>
      <c r="D127" s="7"/>
      <c r="E127" s="3" t="str">
        <f t="shared" si="1"/>
        <v/>
      </c>
    </row>
    <row r="128" spans="1:5" ht="14.25" customHeight="1" x14ac:dyDescent="0.3">
      <c r="A128" s="7"/>
      <c r="B128" s="7"/>
      <c r="C128" s="7"/>
      <c r="D128" s="7"/>
      <c r="E128" s="3" t="str">
        <f t="shared" si="1"/>
        <v/>
      </c>
    </row>
    <row r="129" spans="1:5" ht="14.25" customHeight="1" x14ac:dyDescent="0.3">
      <c r="A129" s="7"/>
      <c r="B129" s="7"/>
      <c r="C129" s="7"/>
      <c r="D129" s="7"/>
      <c r="E129" s="3" t="str">
        <f t="shared" si="1"/>
        <v/>
      </c>
    </row>
    <row r="130" spans="1:5" ht="14.25" customHeight="1" x14ac:dyDescent="0.3">
      <c r="A130" s="7"/>
      <c r="B130" s="7"/>
      <c r="C130" s="7"/>
      <c r="D130" s="7"/>
      <c r="E130" s="3" t="str">
        <f t="shared" ref="E130:E193" si="2">IF(COUNTA(A130:D130)=0,"",IF(COUNTIF($B$2:$B$500,B130)&gt;1,"DUPLICATE ABBREVIATION","OK"))</f>
        <v/>
      </c>
    </row>
    <row r="131" spans="1:5" ht="14.25" customHeight="1" x14ac:dyDescent="0.3">
      <c r="A131" s="7"/>
      <c r="B131" s="7"/>
      <c r="C131" s="7"/>
      <c r="D131" s="7"/>
      <c r="E131" s="3" t="str">
        <f t="shared" si="2"/>
        <v/>
      </c>
    </row>
    <row r="132" spans="1:5" ht="14.25" customHeight="1" x14ac:dyDescent="0.3">
      <c r="A132" s="7"/>
      <c r="B132" s="7"/>
      <c r="C132" s="7"/>
      <c r="D132" s="7"/>
      <c r="E132" s="3" t="str">
        <f t="shared" si="2"/>
        <v/>
      </c>
    </row>
    <row r="133" spans="1:5" ht="14.25" customHeight="1" x14ac:dyDescent="0.3">
      <c r="A133" s="7"/>
      <c r="B133" s="7"/>
      <c r="C133" s="7"/>
      <c r="D133" s="7"/>
      <c r="E133" s="3" t="str">
        <f t="shared" si="2"/>
        <v/>
      </c>
    </row>
    <row r="134" spans="1:5" ht="14.25" customHeight="1" x14ac:dyDescent="0.3">
      <c r="A134" s="7"/>
      <c r="B134" s="7"/>
      <c r="C134" s="7"/>
      <c r="D134" s="7"/>
      <c r="E134" s="3" t="str">
        <f t="shared" si="2"/>
        <v/>
      </c>
    </row>
    <row r="135" spans="1:5" ht="14.25" customHeight="1" x14ac:dyDescent="0.3">
      <c r="A135" s="7"/>
      <c r="B135" s="7"/>
      <c r="C135" s="7"/>
      <c r="D135" s="7"/>
      <c r="E135" s="3" t="str">
        <f t="shared" si="2"/>
        <v/>
      </c>
    </row>
    <row r="136" spans="1:5" ht="14.25" customHeight="1" x14ac:dyDescent="0.3">
      <c r="A136" s="7"/>
      <c r="B136" s="7"/>
      <c r="C136" s="7"/>
      <c r="D136" s="7"/>
      <c r="E136" s="3" t="str">
        <f t="shared" si="2"/>
        <v/>
      </c>
    </row>
    <row r="137" spans="1:5" ht="14.25" customHeight="1" x14ac:dyDescent="0.3">
      <c r="A137" s="7"/>
      <c r="B137" s="7"/>
      <c r="C137" s="7"/>
      <c r="D137" s="7"/>
      <c r="E137" s="3" t="str">
        <f t="shared" si="2"/>
        <v/>
      </c>
    </row>
    <row r="138" spans="1:5" ht="14.25" customHeight="1" x14ac:dyDescent="0.3">
      <c r="A138" s="7"/>
      <c r="B138" s="7"/>
      <c r="C138" s="7"/>
      <c r="D138" s="7"/>
      <c r="E138" s="3" t="str">
        <f t="shared" si="2"/>
        <v/>
      </c>
    </row>
    <row r="139" spans="1:5" ht="14.25" customHeight="1" x14ac:dyDescent="0.3">
      <c r="A139" s="7"/>
      <c r="B139" s="7"/>
      <c r="C139" s="7"/>
      <c r="D139" s="7"/>
      <c r="E139" s="3" t="str">
        <f t="shared" si="2"/>
        <v/>
      </c>
    </row>
    <row r="140" spans="1:5" ht="14.25" customHeight="1" x14ac:dyDescent="0.3">
      <c r="A140" s="7"/>
      <c r="B140" s="7"/>
      <c r="C140" s="7"/>
      <c r="D140" s="7"/>
      <c r="E140" s="3" t="str">
        <f t="shared" si="2"/>
        <v/>
      </c>
    </row>
    <row r="141" spans="1:5" ht="14.25" customHeight="1" x14ac:dyDescent="0.3">
      <c r="A141" s="7"/>
      <c r="B141" s="7"/>
      <c r="C141" s="7"/>
      <c r="D141" s="7"/>
      <c r="E141" s="3" t="str">
        <f t="shared" si="2"/>
        <v/>
      </c>
    </row>
    <row r="142" spans="1:5" ht="14.25" customHeight="1" x14ac:dyDescent="0.3">
      <c r="A142" s="7"/>
      <c r="B142" s="7"/>
      <c r="C142" s="7"/>
      <c r="D142" s="7"/>
      <c r="E142" s="3" t="str">
        <f t="shared" si="2"/>
        <v/>
      </c>
    </row>
    <row r="143" spans="1:5" ht="14.25" customHeight="1" x14ac:dyDescent="0.3">
      <c r="A143" s="7"/>
      <c r="B143" s="7"/>
      <c r="C143" s="7"/>
      <c r="D143" s="7"/>
      <c r="E143" s="3" t="str">
        <f t="shared" si="2"/>
        <v/>
      </c>
    </row>
    <row r="144" spans="1:5" ht="14.25" customHeight="1" x14ac:dyDescent="0.3">
      <c r="A144" s="7"/>
      <c r="B144" s="7"/>
      <c r="C144" s="7"/>
      <c r="D144" s="7"/>
      <c r="E144" s="3" t="str">
        <f t="shared" si="2"/>
        <v/>
      </c>
    </row>
    <row r="145" spans="1:5" ht="14.25" customHeight="1" x14ac:dyDescent="0.3">
      <c r="A145" s="7"/>
      <c r="B145" s="7"/>
      <c r="C145" s="7"/>
      <c r="D145" s="7"/>
      <c r="E145" s="3" t="str">
        <f t="shared" si="2"/>
        <v/>
      </c>
    </row>
    <row r="146" spans="1:5" ht="14.25" customHeight="1" x14ac:dyDescent="0.3">
      <c r="A146" s="7"/>
      <c r="B146" s="7"/>
      <c r="C146" s="7"/>
      <c r="D146" s="7"/>
      <c r="E146" s="3" t="str">
        <f t="shared" si="2"/>
        <v/>
      </c>
    </row>
    <row r="147" spans="1:5" ht="14.25" customHeight="1" x14ac:dyDescent="0.3">
      <c r="A147" s="7"/>
      <c r="B147" s="7"/>
      <c r="C147" s="7"/>
      <c r="D147" s="7"/>
      <c r="E147" s="3" t="str">
        <f t="shared" si="2"/>
        <v/>
      </c>
    </row>
    <row r="148" spans="1:5" ht="14.25" customHeight="1" x14ac:dyDescent="0.3">
      <c r="A148" s="7"/>
      <c r="B148" s="7"/>
      <c r="C148" s="7"/>
      <c r="D148" s="7"/>
      <c r="E148" s="3" t="str">
        <f t="shared" si="2"/>
        <v/>
      </c>
    </row>
    <row r="149" spans="1:5" ht="14.25" customHeight="1" x14ac:dyDescent="0.3">
      <c r="A149" s="7"/>
      <c r="B149" s="7"/>
      <c r="C149" s="7"/>
      <c r="D149" s="7"/>
      <c r="E149" s="3" t="str">
        <f t="shared" si="2"/>
        <v/>
      </c>
    </row>
    <row r="150" spans="1:5" ht="14.25" customHeight="1" x14ac:dyDescent="0.3">
      <c r="A150" s="7"/>
      <c r="B150" s="7"/>
      <c r="C150" s="7"/>
      <c r="D150" s="7"/>
      <c r="E150" s="3" t="str">
        <f t="shared" si="2"/>
        <v/>
      </c>
    </row>
    <row r="151" spans="1:5" ht="14.25" customHeight="1" x14ac:dyDescent="0.3">
      <c r="A151" s="7"/>
      <c r="B151" s="7"/>
      <c r="C151" s="7"/>
      <c r="D151" s="7"/>
      <c r="E151" s="3" t="str">
        <f t="shared" si="2"/>
        <v/>
      </c>
    </row>
    <row r="152" spans="1:5" ht="14.25" customHeight="1" x14ac:dyDescent="0.3">
      <c r="A152" s="7"/>
      <c r="B152" s="7"/>
      <c r="C152" s="7"/>
      <c r="D152" s="7"/>
      <c r="E152" s="3" t="str">
        <f t="shared" si="2"/>
        <v/>
      </c>
    </row>
    <row r="153" spans="1:5" ht="14.25" customHeight="1" x14ac:dyDescent="0.3">
      <c r="A153" s="7"/>
      <c r="B153" s="7"/>
      <c r="C153" s="7"/>
      <c r="D153" s="7"/>
      <c r="E153" s="3" t="str">
        <f t="shared" si="2"/>
        <v/>
      </c>
    </row>
    <row r="154" spans="1:5" ht="14.25" customHeight="1" x14ac:dyDescent="0.3">
      <c r="A154" s="7"/>
      <c r="B154" s="7"/>
      <c r="C154" s="7"/>
      <c r="D154" s="7"/>
      <c r="E154" s="3" t="str">
        <f t="shared" si="2"/>
        <v/>
      </c>
    </row>
    <row r="155" spans="1:5" ht="14.25" customHeight="1" x14ac:dyDescent="0.3">
      <c r="A155" s="7"/>
      <c r="B155" s="7"/>
      <c r="C155" s="7"/>
      <c r="D155" s="7"/>
      <c r="E155" s="3" t="str">
        <f t="shared" si="2"/>
        <v/>
      </c>
    </row>
    <row r="156" spans="1:5" ht="14.25" customHeight="1" x14ac:dyDescent="0.3">
      <c r="A156" s="7"/>
      <c r="B156" s="7"/>
      <c r="C156" s="7"/>
      <c r="D156" s="7"/>
      <c r="E156" s="3" t="str">
        <f t="shared" si="2"/>
        <v/>
      </c>
    </row>
    <row r="157" spans="1:5" ht="14.25" customHeight="1" x14ac:dyDescent="0.3">
      <c r="A157" s="7"/>
      <c r="B157" s="7"/>
      <c r="C157" s="7"/>
      <c r="D157" s="7"/>
      <c r="E157" s="3" t="str">
        <f t="shared" si="2"/>
        <v/>
      </c>
    </row>
    <row r="158" spans="1:5" ht="14.25" customHeight="1" x14ac:dyDescent="0.3">
      <c r="A158" s="7"/>
      <c r="B158" s="7"/>
      <c r="C158" s="7"/>
      <c r="D158" s="7"/>
      <c r="E158" s="3" t="str">
        <f t="shared" si="2"/>
        <v/>
      </c>
    </row>
    <row r="159" spans="1:5" ht="14.25" customHeight="1" x14ac:dyDescent="0.3">
      <c r="A159" s="7"/>
      <c r="B159" s="7"/>
      <c r="C159" s="7"/>
      <c r="D159" s="7"/>
      <c r="E159" s="3" t="str">
        <f t="shared" si="2"/>
        <v/>
      </c>
    </row>
    <row r="160" spans="1:5" ht="14.25" customHeight="1" x14ac:dyDescent="0.3">
      <c r="A160" s="7"/>
      <c r="B160" s="7"/>
      <c r="C160" s="7"/>
      <c r="D160" s="7"/>
      <c r="E160" s="3" t="str">
        <f t="shared" si="2"/>
        <v/>
      </c>
    </row>
    <row r="161" spans="1:5" ht="14.25" customHeight="1" x14ac:dyDescent="0.3">
      <c r="A161" s="7"/>
      <c r="B161" s="7"/>
      <c r="C161" s="7"/>
      <c r="D161" s="7"/>
      <c r="E161" s="3" t="str">
        <f t="shared" si="2"/>
        <v/>
      </c>
    </row>
    <row r="162" spans="1:5" ht="14.25" customHeight="1" x14ac:dyDescent="0.3">
      <c r="A162" s="7"/>
      <c r="B162" s="7"/>
      <c r="C162" s="7"/>
      <c r="D162" s="7"/>
      <c r="E162" s="3" t="str">
        <f t="shared" si="2"/>
        <v/>
      </c>
    </row>
    <row r="163" spans="1:5" ht="14.25" customHeight="1" x14ac:dyDescent="0.3">
      <c r="A163" s="7"/>
      <c r="B163" s="7"/>
      <c r="C163" s="7"/>
      <c r="D163" s="7"/>
      <c r="E163" s="3" t="str">
        <f t="shared" si="2"/>
        <v/>
      </c>
    </row>
    <row r="164" spans="1:5" ht="14.25" customHeight="1" x14ac:dyDescent="0.3">
      <c r="A164" s="7"/>
      <c r="B164" s="7"/>
      <c r="C164" s="7"/>
      <c r="D164" s="7"/>
      <c r="E164" s="3" t="str">
        <f t="shared" si="2"/>
        <v/>
      </c>
    </row>
    <row r="165" spans="1:5" ht="14.25" customHeight="1" x14ac:dyDescent="0.3">
      <c r="A165" s="7"/>
      <c r="B165" s="7"/>
      <c r="C165" s="7"/>
      <c r="D165" s="7"/>
      <c r="E165" s="3" t="str">
        <f t="shared" si="2"/>
        <v/>
      </c>
    </row>
    <row r="166" spans="1:5" ht="14.25" customHeight="1" x14ac:dyDescent="0.3">
      <c r="A166" s="7"/>
      <c r="B166" s="7"/>
      <c r="C166" s="7"/>
      <c r="D166" s="7"/>
      <c r="E166" s="3" t="str">
        <f t="shared" si="2"/>
        <v/>
      </c>
    </row>
    <row r="167" spans="1:5" ht="14.25" customHeight="1" x14ac:dyDescent="0.3">
      <c r="A167" s="7"/>
      <c r="B167" s="7"/>
      <c r="C167" s="7"/>
      <c r="D167" s="7"/>
      <c r="E167" s="3" t="str">
        <f t="shared" si="2"/>
        <v/>
      </c>
    </row>
    <row r="168" spans="1:5" ht="14.25" customHeight="1" x14ac:dyDescent="0.3">
      <c r="A168" s="7"/>
      <c r="B168" s="7"/>
      <c r="C168" s="7"/>
      <c r="D168" s="7"/>
      <c r="E168" s="3" t="str">
        <f t="shared" si="2"/>
        <v/>
      </c>
    </row>
    <row r="169" spans="1:5" ht="14.25" customHeight="1" x14ac:dyDescent="0.3">
      <c r="A169" s="7"/>
      <c r="B169" s="7"/>
      <c r="C169" s="7"/>
      <c r="D169" s="7"/>
      <c r="E169" s="3" t="str">
        <f t="shared" si="2"/>
        <v/>
      </c>
    </row>
    <row r="170" spans="1:5" ht="14.25" customHeight="1" x14ac:dyDescent="0.3">
      <c r="A170" s="7"/>
      <c r="B170" s="7"/>
      <c r="C170" s="7"/>
      <c r="D170" s="7"/>
      <c r="E170" s="3" t="str">
        <f t="shared" si="2"/>
        <v/>
      </c>
    </row>
    <row r="171" spans="1:5" ht="14.25" customHeight="1" x14ac:dyDescent="0.3">
      <c r="A171" s="7"/>
      <c r="B171" s="7"/>
      <c r="C171" s="7"/>
      <c r="D171" s="7"/>
      <c r="E171" s="3" t="str">
        <f t="shared" si="2"/>
        <v/>
      </c>
    </row>
    <row r="172" spans="1:5" ht="14.25" customHeight="1" x14ac:dyDescent="0.3">
      <c r="A172" s="7"/>
      <c r="B172" s="7"/>
      <c r="C172" s="7"/>
      <c r="D172" s="7"/>
      <c r="E172" s="3" t="str">
        <f t="shared" si="2"/>
        <v/>
      </c>
    </row>
    <row r="173" spans="1:5" ht="14.25" customHeight="1" x14ac:dyDescent="0.3">
      <c r="A173" s="7"/>
      <c r="B173" s="7"/>
      <c r="C173" s="7"/>
      <c r="D173" s="7"/>
      <c r="E173" s="3" t="str">
        <f t="shared" si="2"/>
        <v/>
      </c>
    </row>
    <row r="174" spans="1:5" ht="14.25" customHeight="1" x14ac:dyDescent="0.3">
      <c r="A174" s="7"/>
      <c r="B174" s="7"/>
      <c r="C174" s="7"/>
      <c r="D174" s="7"/>
      <c r="E174" s="3" t="str">
        <f t="shared" si="2"/>
        <v/>
      </c>
    </row>
    <row r="175" spans="1:5" ht="14.25" customHeight="1" x14ac:dyDescent="0.3">
      <c r="A175" s="7"/>
      <c r="B175" s="7"/>
      <c r="C175" s="7"/>
      <c r="D175" s="7"/>
      <c r="E175" s="3" t="str">
        <f t="shared" si="2"/>
        <v/>
      </c>
    </row>
    <row r="176" spans="1:5" ht="14.25" customHeight="1" x14ac:dyDescent="0.3">
      <c r="A176" s="7"/>
      <c r="B176" s="7"/>
      <c r="C176" s="7"/>
      <c r="D176" s="7"/>
      <c r="E176" s="3" t="str">
        <f t="shared" si="2"/>
        <v/>
      </c>
    </row>
    <row r="177" spans="1:5" ht="14.25" customHeight="1" x14ac:dyDescent="0.3">
      <c r="A177" s="7"/>
      <c r="B177" s="7"/>
      <c r="C177" s="7"/>
      <c r="D177" s="7"/>
      <c r="E177" s="3" t="str">
        <f t="shared" si="2"/>
        <v/>
      </c>
    </row>
    <row r="178" spans="1:5" ht="14.25" customHeight="1" x14ac:dyDescent="0.3">
      <c r="A178" s="7"/>
      <c r="B178" s="7"/>
      <c r="C178" s="7"/>
      <c r="D178" s="7"/>
      <c r="E178" s="3" t="str">
        <f t="shared" si="2"/>
        <v/>
      </c>
    </row>
    <row r="179" spans="1:5" ht="14.25" customHeight="1" x14ac:dyDescent="0.3">
      <c r="A179" s="7"/>
      <c r="B179" s="7"/>
      <c r="C179" s="7"/>
      <c r="D179" s="7"/>
      <c r="E179" s="3" t="str">
        <f t="shared" si="2"/>
        <v/>
      </c>
    </row>
    <row r="180" spans="1:5" ht="14.25" customHeight="1" x14ac:dyDescent="0.3">
      <c r="A180" s="7"/>
      <c r="B180" s="7"/>
      <c r="C180" s="7"/>
      <c r="D180" s="7"/>
      <c r="E180" s="3" t="str">
        <f t="shared" si="2"/>
        <v/>
      </c>
    </row>
    <row r="181" spans="1:5" ht="14.25" customHeight="1" x14ac:dyDescent="0.3">
      <c r="A181" s="7"/>
      <c r="B181" s="7"/>
      <c r="C181" s="7"/>
      <c r="D181" s="7"/>
      <c r="E181" s="3" t="str">
        <f t="shared" si="2"/>
        <v/>
      </c>
    </row>
    <row r="182" spans="1:5" ht="14.25" customHeight="1" x14ac:dyDescent="0.3">
      <c r="A182" s="7"/>
      <c r="B182" s="7"/>
      <c r="C182" s="7"/>
      <c r="D182" s="7"/>
      <c r="E182" s="3" t="str">
        <f t="shared" si="2"/>
        <v/>
      </c>
    </row>
    <row r="183" spans="1:5" ht="14.25" customHeight="1" x14ac:dyDescent="0.3">
      <c r="A183" s="7"/>
      <c r="B183" s="7"/>
      <c r="C183" s="7"/>
      <c r="D183" s="7"/>
      <c r="E183" s="3" t="str">
        <f t="shared" si="2"/>
        <v/>
      </c>
    </row>
    <row r="184" spans="1:5" ht="14.25" customHeight="1" x14ac:dyDescent="0.3">
      <c r="A184" s="7"/>
      <c r="B184" s="7"/>
      <c r="C184" s="7"/>
      <c r="D184" s="7"/>
      <c r="E184" s="3" t="str">
        <f t="shared" si="2"/>
        <v/>
      </c>
    </row>
    <row r="185" spans="1:5" ht="14.25" customHeight="1" x14ac:dyDescent="0.3">
      <c r="A185" s="7"/>
      <c r="B185" s="7"/>
      <c r="C185" s="7"/>
      <c r="D185" s="7"/>
      <c r="E185" s="3" t="str">
        <f t="shared" si="2"/>
        <v/>
      </c>
    </row>
    <row r="186" spans="1:5" ht="14.25" customHeight="1" x14ac:dyDescent="0.3">
      <c r="A186" s="7"/>
      <c r="B186" s="7"/>
      <c r="C186" s="7"/>
      <c r="D186" s="7"/>
      <c r="E186" s="3" t="str">
        <f t="shared" si="2"/>
        <v/>
      </c>
    </row>
    <row r="187" spans="1:5" ht="14.25" customHeight="1" x14ac:dyDescent="0.3">
      <c r="A187" s="7"/>
      <c r="B187" s="7"/>
      <c r="C187" s="7"/>
      <c r="D187" s="7"/>
      <c r="E187" s="3" t="str">
        <f t="shared" si="2"/>
        <v/>
      </c>
    </row>
    <row r="188" spans="1:5" ht="14.25" customHeight="1" x14ac:dyDescent="0.3">
      <c r="A188" s="7"/>
      <c r="B188" s="7"/>
      <c r="C188" s="7"/>
      <c r="D188" s="7"/>
      <c r="E188" s="3" t="str">
        <f t="shared" si="2"/>
        <v/>
      </c>
    </row>
    <row r="189" spans="1:5" ht="14.25" customHeight="1" x14ac:dyDescent="0.3">
      <c r="A189" s="7"/>
      <c r="B189" s="7"/>
      <c r="C189" s="7"/>
      <c r="D189" s="7"/>
      <c r="E189" s="3" t="str">
        <f t="shared" si="2"/>
        <v/>
      </c>
    </row>
    <row r="190" spans="1:5" ht="14.25" customHeight="1" x14ac:dyDescent="0.3">
      <c r="A190" s="7"/>
      <c r="B190" s="7"/>
      <c r="C190" s="7"/>
      <c r="D190" s="7"/>
      <c r="E190" s="3" t="str">
        <f t="shared" si="2"/>
        <v/>
      </c>
    </row>
    <row r="191" spans="1:5" ht="14.25" customHeight="1" x14ac:dyDescent="0.3">
      <c r="A191" s="7"/>
      <c r="B191" s="7"/>
      <c r="C191" s="7"/>
      <c r="D191" s="7"/>
      <c r="E191" s="3" t="str">
        <f t="shared" si="2"/>
        <v/>
      </c>
    </row>
    <row r="192" spans="1:5" ht="14.25" customHeight="1" x14ac:dyDescent="0.3">
      <c r="A192" s="7"/>
      <c r="B192" s="7"/>
      <c r="C192" s="7"/>
      <c r="D192" s="7"/>
      <c r="E192" s="3" t="str">
        <f t="shared" si="2"/>
        <v/>
      </c>
    </row>
    <row r="193" spans="1:5" ht="14.25" customHeight="1" x14ac:dyDescent="0.3">
      <c r="A193" s="7"/>
      <c r="B193" s="7"/>
      <c r="C193" s="7"/>
      <c r="D193" s="7"/>
      <c r="E193" s="3" t="str">
        <f t="shared" si="2"/>
        <v/>
      </c>
    </row>
    <row r="194" spans="1:5" ht="14.25" customHeight="1" x14ac:dyDescent="0.3">
      <c r="A194" s="7"/>
      <c r="B194" s="7"/>
      <c r="C194" s="7"/>
      <c r="D194" s="7"/>
      <c r="E194" s="3" t="str">
        <f t="shared" ref="E194:E257" si="3">IF(COUNTA(A194:D194)=0,"",IF(COUNTIF($B$2:$B$500,B194)&gt;1,"DUPLICATE ABBREVIATION","OK"))</f>
        <v/>
      </c>
    </row>
    <row r="195" spans="1:5" ht="14.25" customHeight="1" x14ac:dyDescent="0.3">
      <c r="A195" s="7"/>
      <c r="B195" s="7"/>
      <c r="C195" s="7"/>
      <c r="D195" s="7"/>
      <c r="E195" s="3" t="str">
        <f t="shared" si="3"/>
        <v/>
      </c>
    </row>
    <row r="196" spans="1:5" ht="14.25" customHeight="1" x14ac:dyDescent="0.3">
      <c r="A196" s="7"/>
      <c r="B196" s="7"/>
      <c r="C196" s="7"/>
      <c r="D196" s="7"/>
      <c r="E196" s="3" t="str">
        <f t="shared" si="3"/>
        <v/>
      </c>
    </row>
    <row r="197" spans="1:5" ht="14.25" customHeight="1" x14ac:dyDescent="0.3">
      <c r="A197" s="7"/>
      <c r="B197" s="7"/>
      <c r="C197" s="7"/>
      <c r="D197" s="7"/>
      <c r="E197" s="3" t="str">
        <f t="shared" si="3"/>
        <v/>
      </c>
    </row>
    <row r="198" spans="1:5" ht="14.25" customHeight="1" x14ac:dyDescent="0.3">
      <c r="A198" s="7"/>
      <c r="B198" s="7"/>
      <c r="C198" s="7"/>
      <c r="D198" s="7"/>
      <c r="E198" s="3" t="str">
        <f t="shared" si="3"/>
        <v/>
      </c>
    </row>
    <row r="199" spans="1:5" ht="14.25" customHeight="1" x14ac:dyDescent="0.3">
      <c r="A199" s="7"/>
      <c r="B199" s="7"/>
      <c r="C199" s="7"/>
      <c r="D199" s="7"/>
      <c r="E199" s="3" t="str">
        <f t="shared" si="3"/>
        <v/>
      </c>
    </row>
    <row r="200" spans="1:5" ht="14.25" customHeight="1" x14ac:dyDescent="0.3">
      <c r="A200" s="7"/>
      <c r="B200" s="7"/>
      <c r="C200" s="7"/>
      <c r="D200" s="7"/>
      <c r="E200" s="3" t="str">
        <f t="shared" si="3"/>
        <v/>
      </c>
    </row>
    <row r="201" spans="1:5" ht="14.25" customHeight="1" x14ac:dyDescent="0.3">
      <c r="A201" s="7"/>
      <c r="B201" s="7"/>
      <c r="C201" s="7"/>
      <c r="D201" s="7"/>
      <c r="E201" s="3" t="str">
        <f t="shared" si="3"/>
        <v/>
      </c>
    </row>
    <row r="202" spans="1:5" ht="14.25" customHeight="1" x14ac:dyDescent="0.3">
      <c r="A202" s="7"/>
      <c r="B202" s="7"/>
      <c r="C202" s="7"/>
      <c r="D202" s="7"/>
      <c r="E202" s="3" t="str">
        <f t="shared" si="3"/>
        <v/>
      </c>
    </row>
    <row r="203" spans="1:5" ht="14.25" customHeight="1" x14ac:dyDescent="0.3">
      <c r="A203" s="7"/>
      <c r="B203" s="7"/>
      <c r="C203" s="7"/>
      <c r="D203" s="7"/>
      <c r="E203" s="3" t="str">
        <f t="shared" si="3"/>
        <v/>
      </c>
    </row>
    <row r="204" spans="1:5" ht="14.25" customHeight="1" x14ac:dyDescent="0.3">
      <c r="A204" s="7"/>
      <c r="B204" s="7"/>
      <c r="C204" s="7"/>
      <c r="D204" s="7"/>
      <c r="E204" s="3" t="str">
        <f t="shared" si="3"/>
        <v/>
      </c>
    </row>
    <row r="205" spans="1:5" ht="14.25" customHeight="1" x14ac:dyDescent="0.3">
      <c r="A205" s="7"/>
      <c r="B205" s="7"/>
      <c r="C205" s="7"/>
      <c r="D205" s="7"/>
      <c r="E205" s="3" t="str">
        <f t="shared" si="3"/>
        <v/>
      </c>
    </row>
    <row r="206" spans="1:5" ht="14.25" customHeight="1" x14ac:dyDescent="0.3">
      <c r="A206" s="7"/>
      <c r="B206" s="7"/>
      <c r="C206" s="7"/>
      <c r="D206" s="7"/>
      <c r="E206" s="3" t="str">
        <f t="shared" si="3"/>
        <v/>
      </c>
    </row>
    <row r="207" spans="1:5" ht="14.25" customHeight="1" x14ac:dyDescent="0.3">
      <c r="A207" s="7"/>
      <c r="B207" s="7"/>
      <c r="C207" s="7"/>
      <c r="D207" s="7"/>
      <c r="E207" s="3" t="str">
        <f t="shared" si="3"/>
        <v/>
      </c>
    </row>
    <row r="208" spans="1:5" ht="14.25" customHeight="1" x14ac:dyDescent="0.3">
      <c r="A208" s="7"/>
      <c r="B208" s="7"/>
      <c r="C208" s="7"/>
      <c r="D208" s="7"/>
      <c r="E208" s="3" t="str">
        <f t="shared" si="3"/>
        <v/>
      </c>
    </row>
    <row r="209" spans="1:5" ht="14.25" customHeight="1" x14ac:dyDescent="0.3">
      <c r="A209" s="7"/>
      <c r="B209" s="7"/>
      <c r="C209" s="7"/>
      <c r="D209" s="7"/>
      <c r="E209" s="3" t="str">
        <f t="shared" si="3"/>
        <v/>
      </c>
    </row>
    <row r="210" spans="1:5" ht="14.25" customHeight="1" x14ac:dyDescent="0.3">
      <c r="A210" s="7"/>
      <c r="B210" s="7"/>
      <c r="C210" s="7"/>
      <c r="D210" s="7"/>
      <c r="E210" s="3" t="str">
        <f t="shared" si="3"/>
        <v/>
      </c>
    </row>
    <row r="211" spans="1:5" ht="14.25" customHeight="1" x14ac:dyDescent="0.3">
      <c r="A211" s="7"/>
      <c r="B211" s="7"/>
      <c r="C211" s="7"/>
      <c r="D211" s="7"/>
      <c r="E211" s="3" t="str">
        <f t="shared" si="3"/>
        <v/>
      </c>
    </row>
    <row r="212" spans="1:5" ht="14.25" customHeight="1" x14ac:dyDescent="0.3">
      <c r="A212" s="7"/>
      <c r="B212" s="7"/>
      <c r="C212" s="7"/>
      <c r="D212" s="7"/>
      <c r="E212" s="3" t="str">
        <f t="shared" si="3"/>
        <v/>
      </c>
    </row>
    <row r="213" spans="1:5" ht="14.25" customHeight="1" x14ac:dyDescent="0.3">
      <c r="A213" s="7"/>
      <c r="B213" s="7"/>
      <c r="C213" s="7"/>
      <c r="D213" s="7"/>
      <c r="E213" s="3" t="str">
        <f t="shared" si="3"/>
        <v/>
      </c>
    </row>
    <row r="214" spans="1:5" ht="14.25" customHeight="1" x14ac:dyDescent="0.3">
      <c r="A214" s="7"/>
      <c r="B214" s="7"/>
      <c r="C214" s="7"/>
      <c r="D214" s="7"/>
      <c r="E214" s="3" t="str">
        <f t="shared" si="3"/>
        <v/>
      </c>
    </row>
    <row r="215" spans="1:5" ht="14.25" customHeight="1" x14ac:dyDescent="0.3">
      <c r="A215" s="7"/>
      <c r="B215" s="7"/>
      <c r="C215" s="7"/>
      <c r="D215" s="7"/>
      <c r="E215" s="3" t="str">
        <f t="shared" si="3"/>
        <v/>
      </c>
    </row>
    <row r="216" spans="1:5" ht="14.25" customHeight="1" x14ac:dyDescent="0.3">
      <c r="A216" s="7"/>
      <c r="B216" s="7"/>
      <c r="C216" s="7"/>
      <c r="D216" s="7"/>
      <c r="E216" s="3" t="str">
        <f t="shared" si="3"/>
        <v/>
      </c>
    </row>
    <row r="217" spans="1:5" ht="14.25" customHeight="1" x14ac:dyDescent="0.3">
      <c r="A217" s="7"/>
      <c r="B217" s="7"/>
      <c r="C217" s="7"/>
      <c r="D217" s="7"/>
      <c r="E217" s="3" t="str">
        <f t="shared" si="3"/>
        <v/>
      </c>
    </row>
    <row r="218" spans="1:5" ht="14.25" customHeight="1" x14ac:dyDescent="0.3">
      <c r="A218" s="7"/>
      <c r="B218" s="7"/>
      <c r="C218" s="7"/>
      <c r="D218" s="7"/>
      <c r="E218" s="3" t="str">
        <f t="shared" si="3"/>
        <v/>
      </c>
    </row>
    <row r="219" spans="1:5" ht="14.25" customHeight="1" x14ac:dyDescent="0.3">
      <c r="A219" s="7"/>
      <c r="B219" s="7"/>
      <c r="C219" s="7"/>
      <c r="D219" s="7"/>
      <c r="E219" s="3" t="str">
        <f t="shared" si="3"/>
        <v/>
      </c>
    </row>
    <row r="220" spans="1:5" ht="14.25" customHeight="1" x14ac:dyDescent="0.3">
      <c r="A220" s="7"/>
      <c r="B220" s="7"/>
      <c r="C220" s="7"/>
      <c r="D220" s="7"/>
      <c r="E220" s="3" t="str">
        <f t="shared" si="3"/>
        <v/>
      </c>
    </row>
    <row r="221" spans="1:5" ht="14.25" customHeight="1" x14ac:dyDescent="0.3">
      <c r="A221" s="7"/>
      <c r="B221" s="7"/>
      <c r="C221" s="7"/>
      <c r="D221" s="7"/>
      <c r="E221" s="3" t="str">
        <f t="shared" si="3"/>
        <v/>
      </c>
    </row>
    <row r="222" spans="1:5" ht="14.25" customHeight="1" x14ac:dyDescent="0.3">
      <c r="A222" s="7"/>
      <c r="B222" s="7"/>
      <c r="C222" s="7"/>
      <c r="D222" s="7"/>
      <c r="E222" s="3" t="str">
        <f t="shared" si="3"/>
        <v/>
      </c>
    </row>
    <row r="223" spans="1:5" ht="14.25" customHeight="1" x14ac:dyDescent="0.3">
      <c r="A223" s="7"/>
      <c r="B223" s="7"/>
      <c r="C223" s="7"/>
      <c r="D223" s="7"/>
      <c r="E223" s="3" t="str">
        <f t="shared" si="3"/>
        <v/>
      </c>
    </row>
    <row r="224" spans="1:5" ht="14.25" customHeight="1" x14ac:dyDescent="0.3">
      <c r="A224" s="7"/>
      <c r="B224" s="7"/>
      <c r="C224" s="7"/>
      <c r="D224" s="7"/>
      <c r="E224" s="3" t="str">
        <f t="shared" si="3"/>
        <v/>
      </c>
    </row>
    <row r="225" spans="1:5" ht="14.25" customHeight="1" x14ac:dyDescent="0.3">
      <c r="A225" s="7"/>
      <c r="B225" s="7"/>
      <c r="C225" s="7"/>
      <c r="D225" s="7"/>
      <c r="E225" s="3" t="str">
        <f t="shared" si="3"/>
        <v/>
      </c>
    </row>
    <row r="226" spans="1:5" ht="14.25" customHeight="1" x14ac:dyDescent="0.3">
      <c r="A226" s="7"/>
      <c r="B226" s="7"/>
      <c r="C226" s="7"/>
      <c r="D226" s="7"/>
      <c r="E226" s="3" t="str">
        <f t="shared" si="3"/>
        <v/>
      </c>
    </row>
    <row r="227" spans="1:5" ht="14.25" customHeight="1" x14ac:dyDescent="0.3">
      <c r="A227" s="7"/>
      <c r="B227" s="7"/>
      <c r="C227" s="7"/>
      <c r="D227" s="7"/>
      <c r="E227" s="3" t="str">
        <f t="shared" si="3"/>
        <v/>
      </c>
    </row>
    <row r="228" spans="1:5" ht="14.25" customHeight="1" x14ac:dyDescent="0.3">
      <c r="A228" s="7"/>
      <c r="B228" s="7"/>
      <c r="C228" s="7"/>
      <c r="D228" s="7"/>
      <c r="E228" s="3" t="str">
        <f t="shared" si="3"/>
        <v/>
      </c>
    </row>
    <row r="229" spans="1:5" ht="14.25" customHeight="1" x14ac:dyDescent="0.3">
      <c r="A229" s="7"/>
      <c r="B229" s="7"/>
      <c r="C229" s="7"/>
      <c r="D229" s="7"/>
      <c r="E229" s="3" t="str">
        <f t="shared" si="3"/>
        <v/>
      </c>
    </row>
    <row r="230" spans="1:5" ht="14.25" customHeight="1" x14ac:dyDescent="0.3">
      <c r="A230" s="7"/>
      <c r="B230" s="7"/>
      <c r="C230" s="7"/>
      <c r="D230" s="7"/>
      <c r="E230" s="3" t="str">
        <f t="shared" si="3"/>
        <v/>
      </c>
    </row>
    <row r="231" spans="1:5" ht="14.25" customHeight="1" x14ac:dyDescent="0.3">
      <c r="A231" s="7"/>
      <c r="B231" s="7"/>
      <c r="C231" s="7"/>
      <c r="D231" s="7"/>
      <c r="E231" s="3" t="str">
        <f t="shared" si="3"/>
        <v/>
      </c>
    </row>
    <row r="232" spans="1:5" ht="14.25" customHeight="1" x14ac:dyDescent="0.3">
      <c r="A232" s="7"/>
      <c r="B232" s="7"/>
      <c r="C232" s="7"/>
      <c r="D232" s="7"/>
      <c r="E232" s="3" t="str">
        <f t="shared" si="3"/>
        <v/>
      </c>
    </row>
    <row r="233" spans="1:5" ht="14.25" customHeight="1" x14ac:dyDescent="0.3">
      <c r="A233" s="7"/>
      <c r="B233" s="7"/>
      <c r="C233" s="7"/>
      <c r="D233" s="7"/>
      <c r="E233" s="3" t="str">
        <f t="shared" si="3"/>
        <v/>
      </c>
    </row>
    <row r="234" spans="1:5" ht="14.25" customHeight="1" x14ac:dyDescent="0.3">
      <c r="A234" s="7"/>
      <c r="B234" s="7"/>
      <c r="C234" s="7"/>
      <c r="D234" s="7"/>
      <c r="E234" s="3" t="str">
        <f t="shared" si="3"/>
        <v/>
      </c>
    </row>
    <row r="235" spans="1:5" ht="14.25" customHeight="1" x14ac:dyDescent="0.3">
      <c r="A235" s="7"/>
      <c r="B235" s="7"/>
      <c r="C235" s="7"/>
      <c r="D235" s="7"/>
      <c r="E235" s="3" t="str">
        <f t="shared" si="3"/>
        <v/>
      </c>
    </row>
    <row r="236" spans="1:5" ht="14.25" customHeight="1" x14ac:dyDescent="0.3">
      <c r="A236" s="7"/>
      <c r="B236" s="7"/>
      <c r="C236" s="7"/>
      <c r="D236" s="7"/>
      <c r="E236" s="3" t="str">
        <f t="shared" si="3"/>
        <v/>
      </c>
    </row>
    <row r="237" spans="1:5" ht="14.25" customHeight="1" x14ac:dyDescent="0.3">
      <c r="A237" s="7"/>
      <c r="B237" s="7"/>
      <c r="C237" s="7"/>
      <c r="D237" s="7"/>
      <c r="E237" s="3" t="str">
        <f t="shared" si="3"/>
        <v/>
      </c>
    </row>
    <row r="238" spans="1:5" ht="14.25" customHeight="1" x14ac:dyDescent="0.3">
      <c r="A238" s="7"/>
      <c r="B238" s="7"/>
      <c r="C238" s="7"/>
      <c r="D238" s="7"/>
      <c r="E238" s="3" t="str">
        <f t="shared" si="3"/>
        <v/>
      </c>
    </row>
    <row r="239" spans="1:5" ht="14.25" customHeight="1" x14ac:dyDescent="0.3">
      <c r="A239" s="7"/>
      <c r="B239" s="7"/>
      <c r="C239" s="7"/>
      <c r="D239" s="7"/>
      <c r="E239" s="3" t="str">
        <f t="shared" si="3"/>
        <v/>
      </c>
    </row>
    <row r="240" spans="1:5" ht="14.25" customHeight="1" x14ac:dyDescent="0.3">
      <c r="A240" s="7"/>
      <c r="B240" s="7"/>
      <c r="C240" s="7"/>
      <c r="D240" s="7"/>
      <c r="E240" s="3" t="str">
        <f t="shared" si="3"/>
        <v/>
      </c>
    </row>
    <row r="241" spans="1:5" ht="14.25" customHeight="1" x14ac:dyDescent="0.3">
      <c r="A241" s="7"/>
      <c r="B241" s="7"/>
      <c r="C241" s="7"/>
      <c r="D241" s="7"/>
      <c r="E241" s="3" t="str">
        <f t="shared" si="3"/>
        <v/>
      </c>
    </row>
    <row r="242" spans="1:5" ht="14.25" customHeight="1" x14ac:dyDescent="0.3">
      <c r="A242" s="7"/>
      <c r="B242" s="7"/>
      <c r="C242" s="7"/>
      <c r="D242" s="7"/>
      <c r="E242" s="3" t="str">
        <f t="shared" si="3"/>
        <v/>
      </c>
    </row>
    <row r="243" spans="1:5" ht="14.25" customHeight="1" x14ac:dyDescent="0.3">
      <c r="A243" s="7"/>
      <c r="B243" s="7"/>
      <c r="C243" s="7"/>
      <c r="D243" s="7"/>
      <c r="E243" s="3" t="str">
        <f t="shared" si="3"/>
        <v/>
      </c>
    </row>
    <row r="244" spans="1:5" ht="14.25" customHeight="1" x14ac:dyDescent="0.3">
      <c r="A244" s="7"/>
      <c r="B244" s="7"/>
      <c r="C244" s="7"/>
      <c r="D244" s="7"/>
      <c r="E244" s="3" t="str">
        <f t="shared" si="3"/>
        <v/>
      </c>
    </row>
    <row r="245" spans="1:5" ht="14.25" customHeight="1" x14ac:dyDescent="0.3">
      <c r="A245" s="7"/>
      <c r="B245" s="7"/>
      <c r="C245" s="7"/>
      <c r="D245" s="7"/>
      <c r="E245" s="3" t="str">
        <f t="shared" si="3"/>
        <v/>
      </c>
    </row>
    <row r="246" spans="1:5" ht="14.25" customHeight="1" x14ac:dyDescent="0.3">
      <c r="A246" s="7"/>
      <c r="B246" s="7"/>
      <c r="C246" s="7"/>
      <c r="D246" s="7"/>
      <c r="E246" s="3" t="str">
        <f t="shared" si="3"/>
        <v/>
      </c>
    </row>
    <row r="247" spans="1:5" ht="14.25" customHeight="1" x14ac:dyDescent="0.3">
      <c r="A247" s="7"/>
      <c r="B247" s="7"/>
      <c r="C247" s="7"/>
      <c r="D247" s="7"/>
      <c r="E247" s="3" t="str">
        <f t="shared" si="3"/>
        <v/>
      </c>
    </row>
    <row r="248" spans="1:5" ht="14.25" customHeight="1" x14ac:dyDescent="0.3">
      <c r="A248" s="7"/>
      <c r="B248" s="7"/>
      <c r="C248" s="7"/>
      <c r="D248" s="7"/>
      <c r="E248" s="3" t="str">
        <f t="shared" si="3"/>
        <v/>
      </c>
    </row>
    <row r="249" spans="1:5" ht="14.25" customHeight="1" x14ac:dyDescent="0.3">
      <c r="A249" s="7"/>
      <c r="B249" s="7"/>
      <c r="C249" s="7"/>
      <c r="D249" s="7"/>
      <c r="E249" s="3" t="str">
        <f t="shared" si="3"/>
        <v/>
      </c>
    </row>
    <row r="250" spans="1:5" ht="14.25" customHeight="1" x14ac:dyDescent="0.3">
      <c r="A250" s="7"/>
      <c r="B250" s="7"/>
      <c r="C250" s="7"/>
      <c r="D250" s="7"/>
      <c r="E250" s="3" t="str">
        <f t="shared" si="3"/>
        <v/>
      </c>
    </row>
    <row r="251" spans="1:5" ht="14.25" customHeight="1" x14ac:dyDescent="0.3">
      <c r="A251" s="7"/>
      <c r="B251" s="7"/>
      <c r="C251" s="7"/>
      <c r="D251" s="7"/>
      <c r="E251" s="3" t="str">
        <f t="shared" si="3"/>
        <v/>
      </c>
    </row>
    <row r="252" spans="1:5" ht="14.25" customHeight="1" x14ac:dyDescent="0.3">
      <c r="A252" s="7"/>
      <c r="B252" s="7"/>
      <c r="C252" s="7"/>
      <c r="D252" s="7"/>
      <c r="E252" s="3" t="str">
        <f t="shared" si="3"/>
        <v/>
      </c>
    </row>
    <row r="253" spans="1:5" ht="14.25" customHeight="1" x14ac:dyDescent="0.3">
      <c r="A253" s="7"/>
      <c r="B253" s="7"/>
      <c r="C253" s="7"/>
      <c r="D253" s="7"/>
      <c r="E253" s="3" t="str">
        <f t="shared" si="3"/>
        <v/>
      </c>
    </row>
    <row r="254" spans="1:5" ht="14.25" customHeight="1" x14ac:dyDescent="0.3">
      <c r="A254" s="7"/>
      <c r="B254" s="7"/>
      <c r="C254" s="7"/>
      <c r="D254" s="7"/>
      <c r="E254" s="3" t="str">
        <f t="shared" si="3"/>
        <v/>
      </c>
    </row>
    <row r="255" spans="1:5" ht="14.25" customHeight="1" x14ac:dyDescent="0.3">
      <c r="A255" s="7"/>
      <c r="B255" s="7"/>
      <c r="C255" s="7"/>
      <c r="D255" s="7"/>
      <c r="E255" s="3" t="str">
        <f t="shared" si="3"/>
        <v/>
      </c>
    </row>
    <row r="256" spans="1:5" ht="14.25" customHeight="1" x14ac:dyDescent="0.3">
      <c r="A256" s="7"/>
      <c r="B256" s="7"/>
      <c r="C256" s="7"/>
      <c r="D256" s="7"/>
      <c r="E256" s="3" t="str">
        <f t="shared" si="3"/>
        <v/>
      </c>
    </row>
    <row r="257" spans="1:5" ht="14.25" customHeight="1" x14ac:dyDescent="0.3">
      <c r="A257" s="7"/>
      <c r="B257" s="7"/>
      <c r="C257" s="7"/>
      <c r="D257" s="7"/>
      <c r="E257" s="3" t="str">
        <f t="shared" si="3"/>
        <v/>
      </c>
    </row>
    <row r="258" spans="1:5" ht="14.25" customHeight="1" x14ac:dyDescent="0.3">
      <c r="A258" s="7"/>
      <c r="B258" s="7"/>
      <c r="C258" s="7"/>
      <c r="D258" s="7"/>
      <c r="E258" s="3" t="str">
        <f t="shared" ref="E258:E321" si="4">IF(COUNTA(A258:D258)=0,"",IF(COUNTIF($B$2:$B$500,B258)&gt;1,"DUPLICATE ABBREVIATION","OK"))</f>
        <v/>
      </c>
    </row>
    <row r="259" spans="1:5" ht="14.25" customHeight="1" x14ac:dyDescent="0.3">
      <c r="A259" s="7"/>
      <c r="B259" s="7"/>
      <c r="C259" s="7"/>
      <c r="D259" s="7"/>
      <c r="E259" s="3" t="str">
        <f t="shared" si="4"/>
        <v/>
      </c>
    </row>
    <row r="260" spans="1:5" ht="14.25" customHeight="1" x14ac:dyDescent="0.3">
      <c r="A260" s="7"/>
      <c r="B260" s="7"/>
      <c r="C260" s="7"/>
      <c r="D260" s="7"/>
      <c r="E260" s="3" t="str">
        <f t="shared" si="4"/>
        <v/>
      </c>
    </row>
    <row r="261" spans="1:5" ht="14.25" customHeight="1" x14ac:dyDescent="0.3">
      <c r="A261" s="7"/>
      <c r="B261" s="7"/>
      <c r="C261" s="7"/>
      <c r="D261" s="7"/>
      <c r="E261" s="3" t="str">
        <f t="shared" si="4"/>
        <v/>
      </c>
    </row>
    <row r="262" spans="1:5" ht="14.25" customHeight="1" x14ac:dyDescent="0.3">
      <c r="A262" s="7"/>
      <c r="B262" s="7"/>
      <c r="C262" s="7"/>
      <c r="D262" s="7"/>
      <c r="E262" s="3" t="str">
        <f t="shared" si="4"/>
        <v/>
      </c>
    </row>
    <row r="263" spans="1:5" ht="14.25" customHeight="1" x14ac:dyDescent="0.3">
      <c r="A263" s="7"/>
      <c r="B263" s="7"/>
      <c r="C263" s="7"/>
      <c r="D263" s="7"/>
      <c r="E263" s="3" t="str">
        <f t="shared" si="4"/>
        <v/>
      </c>
    </row>
    <row r="264" spans="1:5" ht="14.25" customHeight="1" x14ac:dyDescent="0.3">
      <c r="A264" s="7"/>
      <c r="B264" s="7"/>
      <c r="C264" s="7"/>
      <c r="D264" s="7"/>
      <c r="E264" s="3" t="str">
        <f t="shared" si="4"/>
        <v/>
      </c>
    </row>
    <row r="265" spans="1:5" ht="14.25" customHeight="1" x14ac:dyDescent="0.3">
      <c r="A265" s="7"/>
      <c r="B265" s="7"/>
      <c r="C265" s="7"/>
      <c r="D265" s="7"/>
      <c r="E265" s="3" t="str">
        <f t="shared" si="4"/>
        <v/>
      </c>
    </row>
    <row r="266" spans="1:5" ht="14.25" customHeight="1" x14ac:dyDescent="0.3">
      <c r="A266" s="7"/>
      <c r="B266" s="7"/>
      <c r="C266" s="7"/>
      <c r="D266" s="7"/>
      <c r="E266" s="3" t="str">
        <f t="shared" si="4"/>
        <v/>
      </c>
    </row>
    <row r="267" spans="1:5" ht="14.25" customHeight="1" x14ac:dyDescent="0.3">
      <c r="A267" s="7"/>
      <c r="B267" s="7"/>
      <c r="C267" s="7"/>
      <c r="D267" s="7"/>
      <c r="E267" s="3" t="str">
        <f t="shared" si="4"/>
        <v/>
      </c>
    </row>
    <row r="268" spans="1:5" ht="14.25" customHeight="1" x14ac:dyDescent="0.3">
      <c r="A268" s="7"/>
      <c r="B268" s="7"/>
      <c r="C268" s="7"/>
      <c r="D268" s="7"/>
      <c r="E268" s="3" t="str">
        <f t="shared" si="4"/>
        <v/>
      </c>
    </row>
    <row r="269" spans="1:5" ht="14.25" customHeight="1" x14ac:dyDescent="0.3">
      <c r="A269" s="7"/>
      <c r="B269" s="7"/>
      <c r="C269" s="7"/>
      <c r="D269" s="7"/>
      <c r="E269" s="3" t="str">
        <f t="shared" si="4"/>
        <v/>
      </c>
    </row>
    <row r="270" spans="1:5" ht="14.25" customHeight="1" x14ac:dyDescent="0.3">
      <c r="A270" s="7"/>
      <c r="B270" s="7"/>
      <c r="C270" s="7"/>
      <c r="D270" s="7"/>
      <c r="E270" s="3" t="str">
        <f t="shared" si="4"/>
        <v/>
      </c>
    </row>
    <row r="271" spans="1:5" ht="14.25" customHeight="1" x14ac:dyDescent="0.3">
      <c r="A271" s="7"/>
      <c r="B271" s="7"/>
      <c r="C271" s="7"/>
      <c r="D271" s="7"/>
      <c r="E271" s="3" t="str">
        <f t="shared" si="4"/>
        <v/>
      </c>
    </row>
    <row r="272" spans="1:5" ht="14.25" customHeight="1" x14ac:dyDescent="0.3">
      <c r="A272" s="7"/>
      <c r="B272" s="7"/>
      <c r="C272" s="7"/>
      <c r="D272" s="7"/>
      <c r="E272" s="3" t="str">
        <f t="shared" si="4"/>
        <v/>
      </c>
    </row>
    <row r="273" spans="1:5" ht="14.25" customHeight="1" x14ac:dyDescent="0.3">
      <c r="A273" s="7"/>
      <c r="B273" s="7"/>
      <c r="C273" s="7"/>
      <c r="D273" s="7"/>
      <c r="E273" s="3" t="str">
        <f t="shared" si="4"/>
        <v/>
      </c>
    </row>
    <row r="274" spans="1:5" ht="14.25" customHeight="1" x14ac:dyDescent="0.3">
      <c r="A274" s="7"/>
      <c r="B274" s="7"/>
      <c r="C274" s="7"/>
      <c r="D274" s="7"/>
      <c r="E274" s="3" t="str">
        <f t="shared" si="4"/>
        <v/>
      </c>
    </row>
    <row r="275" spans="1:5" ht="14.25" customHeight="1" x14ac:dyDescent="0.3">
      <c r="A275" s="7"/>
      <c r="B275" s="7"/>
      <c r="C275" s="7"/>
      <c r="D275" s="7"/>
      <c r="E275" s="3" t="str">
        <f t="shared" si="4"/>
        <v/>
      </c>
    </row>
    <row r="276" spans="1:5" ht="14.25" customHeight="1" x14ac:dyDescent="0.3">
      <c r="A276" s="7"/>
      <c r="B276" s="7"/>
      <c r="C276" s="7"/>
      <c r="D276" s="7"/>
      <c r="E276" s="3" t="str">
        <f t="shared" si="4"/>
        <v/>
      </c>
    </row>
    <row r="277" spans="1:5" ht="14.25" customHeight="1" x14ac:dyDescent="0.3">
      <c r="A277" s="7"/>
      <c r="B277" s="7"/>
      <c r="C277" s="7"/>
      <c r="D277" s="7"/>
      <c r="E277" s="3" t="str">
        <f t="shared" si="4"/>
        <v/>
      </c>
    </row>
    <row r="278" spans="1:5" ht="14.25" customHeight="1" x14ac:dyDescent="0.3">
      <c r="A278" s="7"/>
      <c r="B278" s="7"/>
      <c r="C278" s="7"/>
      <c r="D278" s="7"/>
      <c r="E278" s="3" t="str">
        <f t="shared" si="4"/>
        <v/>
      </c>
    </row>
    <row r="279" spans="1:5" ht="14.25" customHeight="1" x14ac:dyDescent="0.3">
      <c r="A279" s="7"/>
      <c r="B279" s="7"/>
      <c r="C279" s="7"/>
      <c r="D279" s="7"/>
      <c r="E279" s="3" t="str">
        <f t="shared" si="4"/>
        <v/>
      </c>
    </row>
    <row r="280" spans="1:5" ht="14.25" customHeight="1" x14ac:dyDescent="0.3">
      <c r="A280" s="7"/>
      <c r="B280" s="7"/>
      <c r="C280" s="7"/>
      <c r="D280" s="7"/>
      <c r="E280" s="3" t="str">
        <f t="shared" si="4"/>
        <v/>
      </c>
    </row>
    <row r="281" spans="1:5" ht="14.25" customHeight="1" x14ac:dyDescent="0.3">
      <c r="A281" s="7"/>
      <c r="B281" s="7"/>
      <c r="C281" s="7"/>
      <c r="D281" s="7"/>
      <c r="E281" s="3" t="str">
        <f t="shared" si="4"/>
        <v/>
      </c>
    </row>
    <row r="282" spans="1:5" ht="14.25" customHeight="1" x14ac:dyDescent="0.3">
      <c r="A282" s="7"/>
      <c r="B282" s="7"/>
      <c r="C282" s="7"/>
      <c r="D282" s="7"/>
      <c r="E282" s="3" t="str">
        <f t="shared" si="4"/>
        <v/>
      </c>
    </row>
    <row r="283" spans="1:5" ht="14.25" customHeight="1" x14ac:dyDescent="0.3">
      <c r="A283" s="7"/>
      <c r="B283" s="7"/>
      <c r="C283" s="7"/>
      <c r="D283" s="7"/>
      <c r="E283" s="3" t="str">
        <f t="shared" si="4"/>
        <v/>
      </c>
    </row>
    <row r="284" spans="1:5" ht="14.25" customHeight="1" x14ac:dyDescent="0.3">
      <c r="A284" s="7"/>
      <c r="B284" s="7"/>
      <c r="C284" s="7"/>
      <c r="D284" s="7"/>
      <c r="E284" s="3" t="str">
        <f t="shared" si="4"/>
        <v/>
      </c>
    </row>
    <row r="285" spans="1:5" ht="14.25" customHeight="1" x14ac:dyDescent="0.3">
      <c r="A285" s="7"/>
      <c r="B285" s="7"/>
      <c r="C285" s="7"/>
      <c r="D285" s="7"/>
      <c r="E285" s="3" t="str">
        <f t="shared" si="4"/>
        <v/>
      </c>
    </row>
    <row r="286" spans="1:5" ht="14.25" customHeight="1" x14ac:dyDescent="0.3">
      <c r="A286" s="7"/>
      <c r="B286" s="7"/>
      <c r="C286" s="7"/>
      <c r="D286" s="7"/>
      <c r="E286" s="3" t="str">
        <f t="shared" si="4"/>
        <v/>
      </c>
    </row>
    <row r="287" spans="1:5" ht="14.25" customHeight="1" x14ac:dyDescent="0.3">
      <c r="A287" s="7"/>
      <c r="B287" s="7"/>
      <c r="C287" s="7"/>
      <c r="D287" s="7"/>
      <c r="E287" s="3" t="str">
        <f t="shared" si="4"/>
        <v/>
      </c>
    </row>
    <row r="288" spans="1:5" ht="14.25" customHeight="1" x14ac:dyDescent="0.3">
      <c r="A288" s="7"/>
      <c r="B288" s="7"/>
      <c r="C288" s="7"/>
      <c r="D288" s="7"/>
      <c r="E288" s="3" t="str">
        <f t="shared" si="4"/>
        <v/>
      </c>
    </row>
    <row r="289" spans="1:5" ht="14.25" customHeight="1" x14ac:dyDescent="0.3">
      <c r="A289" s="7"/>
      <c r="B289" s="7"/>
      <c r="C289" s="7"/>
      <c r="D289" s="7"/>
      <c r="E289" s="3" t="str">
        <f t="shared" si="4"/>
        <v/>
      </c>
    </row>
    <row r="290" spans="1:5" ht="14.25" customHeight="1" x14ac:dyDescent="0.3">
      <c r="A290" s="7"/>
      <c r="B290" s="7"/>
      <c r="C290" s="7"/>
      <c r="D290" s="7"/>
      <c r="E290" s="3" t="str">
        <f t="shared" si="4"/>
        <v/>
      </c>
    </row>
    <row r="291" spans="1:5" ht="14.25" customHeight="1" x14ac:dyDescent="0.3">
      <c r="A291" s="7"/>
      <c r="B291" s="7"/>
      <c r="C291" s="7"/>
      <c r="D291" s="7"/>
      <c r="E291" s="3" t="str">
        <f t="shared" si="4"/>
        <v/>
      </c>
    </row>
    <row r="292" spans="1:5" ht="14.25" customHeight="1" x14ac:dyDescent="0.3">
      <c r="A292" s="7"/>
      <c r="B292" s="7"/>
      <c r="C292" s="7"/>
      <c r="D292" s="7"/>
      <c r="E292" s="3" t="str">
        <f t="shared" si="4"/>
        <v/>
      </c>
    </row>
    <row r="293" spans="1:5" ht="14.25" customHeight="1" x14ac:dyDescent="0.3">
      <c r="A293" s="7"/>
      <c r="B293" s="7"/>
      <c r="C293" s="7"/>
      <c r="D293" s="7"/>
      <c r="E293" s="3" t="str">
        <f t="shared" si="4"/>
        <v/>
      </c>
    </row>
    <row r="294" spans="1:5" ht="14.25" customHeight="1" x14ac:dyDescent="0.3">
      <c r="A294" s="7"/>
      <c r="B294" s="7"/>
      <c r="C294" s="7"/>
      <c r="D294" s="7"/>
      <c r="E294" s="3" t="str">
        <f t="shared" si="4"/>
        <v/>
      </c>
    </row>
    <row r="295" spans="1:5" ht="14.25" customHeight="1" x14ac:dyDescent="0.3">
      <c r="A295" s="7"/>
      <c r="B295" s="7"/>
      <c r="C295" s="7"/>
      <c r="D295" s="7"/>
      <c r="E295" s="3" t="str">
        <f t="shared" si="4"/>
        <v/>
      </c>
    </row>
    <row r="296" spans="1:5" ht="14.25" customHeight="1" x14ac:dyDescent="0.3">
      <c r="A296" s="7"/>
      <c r="B296" s="7"/>
      <c r="C296" s="7"/>
      <c r="D296" s="7"/>
      <c r="E296" s="3" t="str">
        <f t="shared" si="4"/>
        <v/>
      </c>
    </row>
    <row r="297" spans="1:5" ht="14.25" customHeight="1" x14ac:dyDescent="0.3">
      <c r="A297" s="7"/>
      <c r="B297" s="7"/>
      <c r="C297" s="7"/>
      <c r="D297" s="7"/>
      <c r="E297" s="3" t="str">
        <f t="shared" si="4"/>
        <v/>
      </c>
    </row>
    <row r="298" spans="1:5" ht="14.25" customHeight="1" x14ac:dyDescent="0.3">
      <c r="A298" s="7"/>
      <c r="B298" s="7"/>
      <c r="C298" s="7"/>
      <c r="D298" s="7"/>
      <c r="E298" s="3" t="str">
        <f t="shared" si="4"/>
        <v/>
      </c>
    </row>
    <row r="299" spans="1:5" ht="14.25" customHeight="1" x14ac:dyDescent="0.3">
      <c r="A299" s="7"/>
      <c r="B299" s="7"/>
      <c r="C299" s="7"/>
      <c r="D299" s="7"/>
      <c r="E299" s="3" t="str">
        <f t="shared" si="4"/>
        <v/>
      </c>
    </row>
    <row r="300" spans="1:5" ht="14.25" customHeight="1" x14ac:dyDescent="0.3">
      <c r="A300" s="7"/>
      <c r="B300" s="7"/>
      <c r="C300" s="7"/>
      <c r="D300" s="7"/>
      <c r="E300" s="3" t="str">
        <f t="shared" si="4"/>
        <v/>
      </c>
    </row>
    <row r="301" spans="1:5" ht="14.25" customHeight="1" x14ac:dyDescent="0.3">
      <c r="A301" s="7"/>
      <c r="B301" s="7"/>
      <c r="C301" s="7"/>
      <c r="D301" s="7"/>
      <c r="E301" s="3" t="str">
        <f t="shared" si="4"/>
        <v/>
      </c>
    </row>
    <row r="302" spans="1:5" ht="14.25" customHeight="1" x14ac:dyDescent="0.3">
      <c r="A302" s="7"/>
      <c r="B302" s="7"/>
      <c r="C302" s="7"/>
      <c r="D302" s="7"/>
      <c r="E302" s="3" t="str">
        <f t="shared" si="4"/>
        <v/>
      </c>
    </row>
    <row r="303" spans="1:5" ht="14.25" customHeight="1" x14ac:dyDescent="0.3">
      <c r="A303" s="7"/>
      <c r="B303" s="7"/>
      <c r="C303" s="7"/>
      <c r="D303" s="7"/>
      <c r="E303" s="3" t="str">
        <f t="shared" si="4"/>
        <v/>
      </c>
    </row>
    <row r="304" spans="1:5" ht="14.25" customHeight="1" x14ac:dyDescent="0.3">
      <c r="A304" s="7"/>
      <c r="B304" s="7"/>
      <c r="C304" s="7"/>
      <c r="D304" s="7"/>
      <c r="E304" s="3" t="str">
        <f t="shared" si="4"/>
        <v/>
      </c>
    </row>
    <row r="305" spans="1:5" ht="14.25" customHeight="1" x14ac:dyDescent="0.3">
      <c r="A305" s="7"/>
      <c r="B305" s="7"/>
      <c r="C305" s="7"/>
      <c r="D305" s="7"/>
      <c r="E305" s="3" t="str">
        <f t="shared" si="4"/>
        <v/>
      </c>
    </row>
    <row r="306" spans="1:5" ht="14.25" customHeight="1" x14ac:dyDescent="0.3">
      <c r="A306" s="7"/>
      <c r="B306" s="7"/>
      <c r="C306" s="7"/>
      <c r="D306" s="7"/>
      <c r="E306" s="3" t="str">
        <f t="shared" si="4"/>
        <v/>
      </c>
    </row>
    <row r="307" spans="1:5" ht="14.25" customHeight="1" x14ac:dyDescent="0.3">
      <c r="A307" s="7"/>
      <c r="B307" s="7"/>
      <c r="C307" s="7"/>
      <c r="D307" s="7"/>
      <c r="E307" s="3" t="str">
        <f t="shared" si="4"/>
        <v/>
      </c>
    </row>
    <row r="308" spans="1:5" ht="14.25" customHeight="1" x14ac:dyDescent="0.3">
      <c r="A308" s="7"/>
      <c r="B308" s="7"/>
      <c r="C308" s="7"/>
      <c r="D308" s="7"/>
      <c r="E308" s="3" t="str">
        <f t="shared" si="4"/>
        <v/>
      </c>
    </row>
    <row r="309" spans="1:5" ht="14.25" customHeight="1" x14ac:dyDescent="0.3">
      <c r="A309" s="7"/>
      <c r="B309" s="7"/>
      <c r="C309" s="7"/>
      <c r="D309" s="7"/>
      <c r="E309" s="3" t="str">
        <f t="shared" si="4"/>
        <v/>
      </c>
    </row>
    <row r="310" spans="1:5" ht="14.25" customHeight="1" x14ac:dyDescent="0.3">
      <c r="A310" s="7"/>
      <c r="B310" s="7"/>
      <c r="C310" s="7"/>
      <c r="D310" s="7"/>
      <c r="E310" s="3" t="str">
        <f t="shared" si="4"/>
        <v/>
      </c>
    </row>
    <row r="311" spans="1:5" ht="14.25" customHeight="1" x14ac:dyDescent="0.3">
      <c r="A311" s="7"/>
      <c r="B311" s="7"/>
      <c r="C311" s="7"/>
      <c r="D311" s="7"/>
      <c r="E311" s="3" t="str">
        <f t="shared" si="4"/>
        <v/>
      </c>
    </row>
    <row r="312" spans="1:5" ht="14.25" customHeight="1" x14ac:dyDescent="0.3">
      <c r="A312" s="7"/>
      <c r="B312" s="7"/>
      <c r="C312" s="7"/>
      <c r="D312" s="7"/>
      <c r="E312" s="3" t="str">
        <f t="shared" si="4"/>
        <v/>
      </c>
    </row>
    <row r="313" spans="1:5" ht="14.25" customHeight="1" x14ac:dyDescent="0.3">
      <c r="A313" s="7"/>
      <c r="B313" s="7"/>
      <c r="C313" s="7"/>
      <c r="D313" s="7"/>
      <c r="E313" s="3" t="str">
        <f t="shared" si="4"/>
        <v/>
      </c>
    </row>
    <row r="314" spans="1:5" ht="14.25" customHeight="1" x14ac:dyDescent="0.3">
      <c r="A314" s="7"/>
      <c r="B314" s="7"/>
      <c r="C314" s="7"/>
      <c r="D314" s="7"/>
      <c r="E314" s="3" t="str">
        <f t="shared" si="4"/>
        <v/>
      </c>
    </row>
    <row r="315" spans="1:5" ht="14.25" customHeight="1" x14ac:dyDescent="0.3">
      <c r="A315" s="7"/>
      <c r="B315" s="7"/>
      <c r="C315" s="7"/>
      <c r="D315" s="7"/>
      <c r="E315" s="3" t="str">
        <f t="shared" si="4"/>
        <v/>
      </c>
    </row>
    <row r="316" spans="1:5" ht="14.25" customHeight="1" x14ac:dyDescent="0.3">
      <c r="A316" s="7"/>
      <c r="B316" s="7"/>
      <c r="C316" s="7"/>
      <c r="D316" s="7"/>
      <c r="E316" s="3" t="str">
        <f t="shared" si="4"/>
        <v/>
      </c>
    </row>
    <row r="317" spans="1:5" ht="14.25" customHeight="1" x14ac:dyDescent="0.3">
      <c r="A317" s="7"/>
      <c r="B317" s="7"/>
      <c r="C317" s="7"/>
      <c r="D317" s="7"/>
      <c r="E317" s="3" t="str">
        <f t="shared" si="4"/>
        <v/>
      </c>
    </row>
    <row r="318" spans="1:5" ht="14.25" customHeight="1" x14ac:dyDescent="0.3">
      <c r="A318" s="7"/>
      <c r="B318" s="7"/>
      <c r="C318" s="7"/>
      <c r="D318" s="7"/>
      <c r="E318" s="3" t="str">
        <f t="shared" si="4"/>
        <v/>
      </c>
    </row>
    <row r="319" spans="1:5" ht="14.25" customHeight="1" x14ac:dyDescent="0.3">
      <c r="A319" s="7"/>
      <c r="B319" s="7"/>
      <c r="C319" s="7"/>
      <c r="D319" s="7"/>
      <c r="E319" s="3" t="str">
        <f t="shared" si="4"/>
        <v/>
      </c>
    </row>
    <row r="320" spans="1:5" ht="14.25" customHeight="1" x14ac:dyDescent="0.3">
      <c r="A320" s="7"/>
      <c r="B320" s="7"/>
      <c r="C320" s="7"/>
      <c r="D320" s="7"/>
      <c r="E320" s="3" t="str">
        <f t="shared" si="4"/>
        <v/>
      </c>
    </row>
    <row r="321" spans="1:5" ht="14.25" customHeight="1" x14ac:dyDescent="0.3">
      <c r="A321" s="7"/>
      <c r="B321" s="7"/>
      <c r="C321" s="7"/>
      <c r="D321" s="7"/>
      <c r="E321" s="3" t="str">
        <f t="shared" si="4"/>
        <v/>
      </c>
    </row>
    <row r="322" spans="1:5" ht="14.25" customHeight="1" x14ac:dyDescent="0.3">
      <c r="A322" s="7"/>
      <c r="B322" s="7"/>
      <c r="C322" s="7"/>
      <c r="D322" s="7"/>
      <c r="E322" s="3" t="str">
        <f t="shared" ref="E322:E385" si="5">IF(COUNTA(A322:D322)=0,"",IF(COUNTIF($B$2:$B$500,B322)&gt;1,"DUPLICATE ABBREVIATION","OK"))</f>
        <v/>
      </c>
    </row>
    <row r="323" spans="1:5" ht="14.25" customHeight="1" x14ac:dyDescent="0.3">
      <c r="A323" s="7"/>
      <c r="B323" s="7"/>
      <c r="C323" s="7"/>
      <c r="D323" s="7"/>
      <c r="E323" s="3" t="str">
        <f t="shared" si="5"/>
        <v/>
      </c>
    </row>
    <row r="324" spans="1:5" ht="14.25" customHeight="1" x14ac:dyDescent="0.3">
      <c r="A324" s="7"/>
      <c r="B324" s="7"/>
      <c r="C324" s="7"/>
      <c r="D324" s="7"/>
      <c r="E324" s="3" t="str">
        <f t="shared" si="5"/>
        <v/>
      </c>
    </row>
    <row r="325" spans="1:5" ht="14.25" customHeight="1" x14ac:dyDescent="0.3">
      <c r="A325" s="7"/>
      <c r="B325" s="7"/>
      <c r="C325" s="7"/>
      <c r="D325" s="7"/>
      <c r="E325" s="3" t="str">
        <f t="shared" si="5"/>
        <v/>
      </c>
    </row>
    <row r="326" spans="1:5" ht="14.25" customHeight="1" x14ac:dyDescent="0.3">
      <c r="A326" s="7"/>
      <c r="B326" s="7"/>
      <c r="C326" s="7"/>
      <c r="D326" s="7"/>
      <c r="E326" s="3" t="str">
        <f t="shared" si="5"/>
        <v/>
      </c>
    </row>
    <row r="327" spans="1:5" ht="14.25" customHeight="1" x14ac:dyDescent="0.3">
      <c r="A327" s="7"/>
      <c r="B327" s="7"/>
      <c r="C327" s="7"/>
      <c r="D327" s="7"/>
      <c r="E327" s="3" t="str">
        <f t="shared" si="5"/>
        <v/>
      </c>
    </row>
    <row r="328" spans="1:5" ht="14.25" customHeight="1" x14ac:dyDescent="0.3">
      <c r="A328" s="7"/>
      <c r="B328" s="7"/>
      <c r="C328" s="7"/>
      <c r="D328" s="7"/>
      <c r="E328" s="3" t="str">
        <f t="shared" si="5"/>
        <v/>
      </c>
    </row>
    <row r="329" spans="1:5" ht="14.25" customHeight="1" x14ac:dyDescent="0.3">
      <c r="A329" s="7"/>
      <c r="B329" s="7"/>
      <c r="C329" s="7"/>
      <c r="D329" s="7"/>
      <c r="E329" s="3" t="str">
        <f t="shared" si="5"/>
        <v/>
      </c>
    </row>
    <row r="330" spans="1:5" ht="14.25" customHeight="1" x14ac:dyDescent="0.3">
      <c r="A330" s="7"/>
      <c r="B330" s="7"/>
      <c r="C330" s="7"/>
      <c r="D330" s="7"/>
      <c r="E330" s="3" t="str">
        <f t="shared" si="5"/>
        <v/>
      </c>
    </row>
    <row r="331" spans="1:5" ht="14.25" customHeight="1" x14ac:dyDescent="0.3">
      <c r="A331" s="7"/>
      <c r="B331" s="7"/>
      <c r="C331" s="7"/>
      <c r="D331" s="7"/>
      <c r="E331" s="3" t="str">
        <f t="shared" si="5"/>
        <v/>
      </c>
    </row>
    <row r="332" spans="1:5" ht="14.25" customHeight="1" x14ac:dyDescent="0.3">
      <c r="A332" s="7"/>
      <c r="B332" s="7"/>
      <c r="C332" s="7"/>
      <c r="D332" s="7"/>
      <c r="E332" s="3" t="str">
        <f t="shared" si="5"/>
        <v/>
      </c>
    </row>
    <row r="333" spans="1:5" ht="14.25" customHeight="1" x14ac:dyDescent="0.3">
      <c r="A333" s="7"/>
      <c r="B333" s="7"/>
      <c r="C333" s="7"/>
      <c r="D333" s="7"/>
      <c r="E333" s="3" t="str">
        <f t="shared" si="5"/>
        <v/>
      </c>
    </row>
    <row r="334" spans="1:5" ht="14.25" customHeight="1" x14ac:dyDescent="0.3">
      <c r="A334" s="7"/>
      <c r="B334" s="7"/>
      <c r="C334" s="7"/>
      <c r="D334" s="7"/>
      <c r="E334" s="3" t="str">
        <f t="shared" si="5"/>
        <v/>
      </c>
    </row>
    <row r="335" spans="1:5" ht="14.25" customHeight="1" x14ac:dyDescent="0.3">
      <c r="A335" s="7"/>
      <c r="B335" s="7"/>
      <c r="C335" s="7"/>
      <c r="D335" s="7"/>
      <c r="E335" s="3" t="str">
        <f t="shared" si="5"/>
        <v/>
      </c>
    </row>
    <row r="336" spans="1:5" ht="14.25" customHeight="1" x14ac:dyDescent="0.3">
      <c r="A336" s="7"/>
      <c r="B336" s="7"/>
      <c r="C336" s="7"/>
      <c r="D336" s="7"/>
      <c r="E336" s="3" t="str">
        <f t="shared" si="5"/>
        <v/>
      </c>
    </row>
    <row r="337" spans="1:5" ht="14.25" customHeight="1" x14ac:dyDescent="0.3">
      <c r="A337" s="7"/>
      <c r="B337" s="7"/>
      <c r="C337" s="7"/>
      <c r="D337" s="7"/>
      <c r="E337" s="3" t="str">
        <f t="shared" si="5"/>
        <v/>
      </c>
    </row>
    <row r="338" spans="1:5" ht="14.25" customHeight="1" x14ac:dyDescent="0.3">
      <c r="A338" s="7"/>
      <c r="B338" s="7"/>
      <c r="C338" s="7"/>
      <c r="D338" s="7"/>
      <c r="E338" s="3" t="str">
        <f t="shared" si="5"/>
        <v/>
      </c>
    </row>
    <row r="339" spans="1:5" ht="14.25" customHeight="1" x14ac:dyDescent="0.3">
      <c r="A339" s="7"/>
      <c r="B339" s="7"/>
      <c r="C339" s="7"/>
      <c r="D339" s="7"/>
      <c r="E339" s="3" t="str">
        <f t="shared" si="5"/>
        <v/>
      </c>
    </row>
    <row r="340" spans="1:5" ht="14.25" customHeight="1" x14ac:dyDescent="0.3">
      <c r="A340" s="7"/>
      <c r="B340" s="7"/>
      <c r="C340" s="7"/>
      <c r="D340" s="7"/>
      <c r="E340" s="3" t="str">
        <f t="shared" si="5"/>
        <v/>
      </c>
    </row>
    <row r="341" spans="1:5" ht="14.25" customHeight="1" x14ac:dyDescent="0.3">
      <c r="A341" s="7"/>
      <c r="B341" s="7"/>
      <c r="C341" s="7"/>
      <c r="D341" s="7"/>
      <c r="E341" s="3" t="str">
        <f t="shared" si="5"/>
        <v/>
      </c>
    </row>
    <row r="342" spans="1:5" ht="14.25" customHeight="1" x14ac:dyDescent="0.3">
      <c r="A342" s="7"/>
      <c r="B342" s="7"/>
      <c r="C342" s="7"/>
      <c r="D342" s="7"/>
      <c r="E342" s="3" t="str">
        <f t="shared" si="5"/>
        <v/>
      </c>
    </row>
    <row r="343" spans="1:5" ht="14.25" customHeight="1" x14ac:dyDescent="0.3">
      <c r="A343" s="7"/>
      <c r="B343" s="7"/>
      <c r="C343" s="7"/>
      <c r="D343" s="7"/>
      <c r="E343" s="3" t="str">
        <f t="shared" si="5"/>
        <v/>
      </c>
    </row>
    <row r="344" spans="1:5" ht="14.25" customHeight="1" x14ac:dyDescent="0.3">
      <c r="A344" s="7"/>
      <c r="B344" s="7"/>
      <c r="C344" s="7"/>
      <c r="D344" s="7"/>
      <c r="E344" s="3" t="str">
        <f t="shared" si="5"/>
        <v/>
      </c>
    </row>
    <row r="345" spans="1:5" ht="14.25" customHeight="1" x14ac:dyDescent="0.3">
      <c r="A345" s="7"/>
      <c r="B345" s="7"/>
      <c r="C345" s="7"/>
      <c r="D345" s="7"/>
      <c r="E345" s="3" t="str">
        <f t="shared" si="5"/>
        <v/>
      </c>
    </row>
    <row r="346" spans="1:5" ht="14.25" customHeight="1" x14ac:dyDescent="0.3">
      <c r="A346" s="7"/>
      <c r="B346" s="7"/>
      <c r="C346" s="7"/>
      <c r="D346" s="7"/>
      <c r="E346" s="3" t="str">
        <f t="shared" si="5"/>
        <v/>
      </c>
    </row>
    <row r="347" spans="1:5" ht="14.25" customHeight="1" x14ac:dyDescent="0.3">
      <c r="A347" s="7"/>
      <c r="B347" s="7"/>
      <c r="C347" s="7"/>
      <c r="D347" s="7"/>
      <c r="E347" s="3" t="str">
        <f t="shared" si="5"/>
        <v/>
      </c>
    </row>
    <row r="348" spans="1:5" ht="14.25" customHeight="1" x14ac:dyDescent="0.3">
      <c r="A348" s="7"/>
      <c r="B348" s="7"/>
      <c r="C348" s="7"/>
      <c r="D348" s="7"/>
      <c r="E348" s="3" t="str">
        <f t="shared" si="5"/>
        <v/>
      </c>
    </row>
    <row r="349" spans="1:5" ht="14.25" customHeight="1" x14ac:dyDescent="0.3">
      <c r="A349" s="7"/>
      <c r="B349" s="7"/>
      <c r="C349" s="7"/>
      <c r="D349" s="7"/>
      <c r="E349" s="3" t="str">
        <f t="shared" si="5"/>
        <v/>
      </c>
    </row>
    <row r="350" spans="1:5" ht="14.25" customHeight="1" x14ac:dyDescent="0.3">
      <c r="A350" s="7"/>
      <c r="B350" s="7"/>
      <c r="C350" s="7"/>
      <c r="D350" s="7"/>
      <c r="E350" s="3" t="str">
        <f t="shared" si="5"/>
        <v/>
      </c>
    </row>
    <row r="351" spans="1:5" ht="14.25" customHeight="1" x14ac:dyDescent="0.3">
      <c r="A351" s="7"/>
      <c r="B351" s="7"/>
      <c r="C351" s="7"/>
      <c r="D351" s="7"/>
      <c r="E351" s="3" t="str">
        <f t="shared" si="5"/>
        <v/>
      </c>
    </row>
    <row r="352" spans="1:5" ht="14.25" customHeight="1" x14ac:dyDescent="0.3">
      <c r="A352" s="7"/>
      <c r="B352" s="7"/>
      <c r="C352" s="7"/>
      <c r="D352" s="7"/>
      <c r="E352" s="3" t="str">
        <f t="shared" si="5"/>
        <v/>
      </c>
    </row>
    <row r="353" spans="1:5" ht="14.25" customHeight="1" x14ac:dyDescent="0.3">
      <c r="A353" s="7"/>
      <c r="B353" s="7"/>
      <c r="C353" s="7"/>
      <c r="D353" s="7"/>
      <c r="E353" s="3" t="str">
        <f t="shared" si="5"/>
        <v/>
      </c>
    </row>
    <row r="354" spans="1:5" ht="14.25" customHeight="1" x14ac:dyDescent="0.3">
      <c r="A354" s="7"/>
      <c r="B354" s="7"/>
      <c r="C354" s="7"/>
      <c r="D354" s="7"/>
      <c r="E354" s="3" t="str">
        <f t="shared" si="5"/>
        <v/>
      </c>
    </row>
    <row r="355" spans="1:5" ht="14.25" customHeight="1" x14ac:dyDescent="0.3">
      <c r="A355" s="7"/>
      <c r="B355" s="7"/>
      <c r="C355" s="7"/>
      <c r="D355" s="7"/>
      <c r="E355" s="3" t="str">
        <f t="shared" si="5"/>
        <v/>
      </c>
    </row>
    <row r="356" spans="1:5" ht="14.25" customHeight="1" x14ac:dyDescent="0.3">
      <c r="A356" s="7"/>
      <c r="B356" s="7"/>
      <c r="C356" s="7"/>
      <c r="D356" s="7"/>
      <c r="E356" s="3" t="str">
        <f t="shared" si="5"/>
        <v/>
      </c>
    </row>
    <row r="357" spans="1:5" ht="14.25" customHeight="1" x14ac:dyDescent="0.3">
      <c r="A357" s="7"/>
      <c r="B357" s="7"/>
      <c r="C357" s="7"/>
      <c r="D357" s="7"/>
      <c r="E357" s="3" t="str">
        <f t="shared" si="5"/>
        <v/>
      </c>
    </row>
    <row r="358" spans="1:5" ht="14.25" customHeight="1" x14ac:dyDescent="0.3">
      <c r="A358" s="7"/>
      <c r="B358" s="7"/>
      <c r="C358" s="7"/>
      <c r="D358" s="7"/>
      <c r="E358" s="3" t="str">
        <f t="shared" si="5"/>
        <v/>
      </c>
    </row>
    <row r="359" spans="1:5" ht="14.25" customHeight="1" x14ac:dyDescent="0.3">
      <c r="A359" s="7"/>
      <c r="B359" s="7"/>
      <c r="C359" s="7"/>
      <c r="D359" s="7"/>
      <c r="E359" s="3" t="str">
        <f t="shared" si="5"/>
        <v/>
      </c>
    </row>
    <row r="360" spans="1:5" ht="14.25" customHeight="1" x14ac:dyDescent="0.3">
      <c r="A360" s="7"/>
      <c r="B360" s="7"/>
      <c r="C360" s="7"/>
      <c r="D360" s="7"/>
      <c r="E360" s="3" t="str">
        <f t="shared" si="5"/>
        <v/>
      </c>
    </row>
    <row r="361" spans="1:5" ht="14.25" customHeight="1" x14ac:dyDescent="0.3">
      <c r="A361" s="7"/>
      <c r="B361" s="7"/>
      <c r="C361" s="7"/>
      <c r="D361" s="7"/>
      <c r="E361" s="3" t="str">
        <f t="shared" si="5"/>
        <v/>
      </c>
    </row>
    <row r="362" spans="1:5" ht="14.25" customHeight="1" x14ac:dyDescent="0.3">
      <c r="A362" s="7"/>
      <c r="B362" s="7"/>
      <c r="C362" s="7"/>
      <c r="D362" s="7"/>
      <c r="E362" s="3" t="str">
        <f t="shared" si="5"/>
        <v/>
      </c>
    </row>
    <row r="363" spans="1:5" ht="14.25" customHeight="1" x14ac:dyDescent="0.3">
      <c r="A363" s="7"/>
      <c r="B363" s="7"/>
      <c r="C363" s="7"/>
      <c r="D363" s="7"/>
      <c r="E363" s="3" t="str">
        <f t="shared" si="5"/>
        <v/>
      </c>
    </row>
    <row r="364" spans="1:5" ht="14.25" customHeight="1" x14ac:dyDescent="0.3">
      <c r="A364" s="7"/>
      <c r="B364" s="7"/>
      <c r="C364" s="7"/>
      <c r="D364" s="7"/>
      <c r="E364" s="3" t="str">
        <f t="shared" si="5"/>
        <v/>
      </c>
    </row>
    <row r="365" spans="1:5" ht="14.25" customHeight="1" x14ac:dyDescent="0.3">
      <c r="A365" s="7"/>
      <c r="B365" s="7"/>
      <c r="C365" s="7"/>
      <c r="D365" s="7"/>
      <c r="E365" s="3" t="str">
        <f t="shared" si="5"/>
        <v/>
      </c>
    </row>
    <row r="366" spans="1:5" ht="14.25" customHeight="1" x14ac:dyDescent="0.3">
      <c r="A366" s="7"/>
      <c r="B366" s="7"/>
      <c r="C366" s="7"/>
      <c r="D366" s="7"/>
      <c r="E366" s="3" t="str">
        <f t="shared" si="5"/>
        <v/>
      </c>
    </row>
    <row r="367" spans="1:5" ht="14.25" customHeight="1" x14ac:dyDescent="0.3">
      <c r="A367" s="7"/>
      <c r="B367" s="7"/>
      <c r="C367" s="7"/>
      <c r="D367" s="7"/>
      <c r="E367" s="3" t="str">
        <f t="shared" si="5"/>
        <v/>
      </c>
    </row>
    <row r="368" spans="1:5" ht="14.25" customHeight="1" x14ac:dyDescent="0.3">
      <c r="A368" s="7"/>
      <c r="B368" s="7"/>
      <c r="C368" s="7"/>
      <c r="D368" s="7"/>
      <c r="E368" s="3" t="str">
        <f t="shared" si="5"/>
        <v/>
      </c>
    </row>
    <row r="369" spans="1:5" ht="14.25" customHeight="1" x14ac:dyDescent="0.3">
      <c r="A369" s="7"/>
      <c r="B369" s="7"/>
      <c r="C369" s="7"/>
      <c r="D369" s="7"/>
      <c r="E369" s="3" t="str">
        <f t="shared" si="5"/>
        <v/>
      </c>
    </row>
    <row r="370" spans="1:5" ht="14.25" customHeight="1" x14ac:dyDescent="0.3">
      <c r="A370" s="7"/>
      <c r="B370" s="7"/>
      <c r="C370" s="7"/>
      <c r="D370" s="7"/>
      <c r="E370" s="3" t="str">
        <f t="shared" si="5"/>
        <v/>
      </c>
    </row>
    <row r="371" spans="1:5" ht="14.25" customHeight="1" x14ac:dyDescent="0.3">
      <c r="A371" s="7"/>
      <c r="B371" s="7"/>
      <c r="C371" s="7"/>
      <c r="D371" s="7"/>
      <c r="E371" s="3" t="str">
        <f t="shared" si="5"/>
        <v/>
      </c>
    </row>
    <row r="372" spans="1:5" ht="14.25" customHeight="1" x14ac:dyDescent="0.3">
      <c r="A372" s="7"/>
      <c r="B372" s="7"/>
      <c r="C372" s="7"/>
      <c r="D372" s="7"/>
      <c r="E372" s="3" t="str">
        <f t="shared" si="5"/>
        <v/>
      </c>
    </row>
    <row r="373" spans="1:5" ht="14.25" customHeight="1" x14ac:dyDescent="0.3">
      <c r="A373" s="7"/>
      <c r="B373" s="7"/>
      <c r="C373" s="7"/>
      <c r="D373" s="7"/>
      <c r="E373" s="3" t="str">
        <f t="shared" si="5"/>
        <v/>
      </c>
    </row>
    <row r="374" spans="1:5" ht="14.25" customHeight="1" x14ac:dyDescent="0.3">
      <c r="A374" s="7"/>
      <c r="B374" s="7"/>
      <c r="C374" s="7"/>
      <c r="D374" s="7"/>
      <c r="E374" s="3" t="str">
        <f t="shared" si="5"/>
        <v/>
      </c>
    </row>
    <row r="375" spans="1:5" ht="14.25" customHeight="1" x14ac:dyDescent="0.3">
      <c r="A375" s="7"/>
      <c r="B375" s="7"/>
      <c r="C375" s="7"/>
      <c r="D375" s="7"/>
      <c r="E375" s="3" t="str">
        <f t="shared" si="5"/>
        <v/>
      </c>
    </row>
    <row r="376" spans="1:5" ht="14.25" customHeight="1" x14ac:dyDescent="0.3">
      <c r="A376" s="7"/>
      <c r="B376" s="7"/>
      <c r="C376" s="7"/>
      <c r="D376" s="7"/>
      <c r="E376" s="3" t="str">
        <f t="shared" si="5"/>
        <v/>
      </c>
    </row>
    <row r="377" spans="1:5" ht="14.25" customHeight="1" x14ac:dyDescent="0.3">
      <c r="A377" s="7"/>
      <c r="B377" s="7"/>
      <c r="C377" s="7"/>
      <c r="D377" s="7"/>
      <c r="E377" s="3" t="str">
        <f t="shared" si="5"/>
        <v/>
      </c>
    </row>
    <row r="378" spans="1:5" ht="14.25" customHeight="1" x14ac:dyDescent="0.3">
      <c r="A378" s="7"/>
      <c r="B378" s="7"/>
      <c r="C378" s="7"/>
      <c r="D378" s="7"/>
      <c r="E378" s="3" t="str">
        <f t="shared" si="5"/>
        <v/>
      </c>
    </row>
    <row r="379" spans="1:5" ht="14.25" customHeight="1" x14ac:dyDescent="0.3">
      <c r="A379" s="7"/>
      <c r="B379" s="7"/>
      <c r="C379" s="7"/>
      <c r="D379" s="7"/>
      <c r="E379" s="3" t="str">
        <f t="shared" si="5"/>
        <v/>
      </c>
    </row>
    <row r="380" spans="1:5" ht="14.25" customHeight="1" x14ac:dyDescent="0.3">
      <c r="A380" s="7"/>
      <c r="B380" s="7"/>
      <c r="C380" s="7"/>
      <c r="D380" s="7"/>
      <c r="E380" s="3" t="str">
        <f t="shared" si="5"/>
        <v/>
      </c>
    </row>
    <row r="381" spans="1:5" ht="14.25" customHeight="1" x14ac:dyDescent="0.3">
      <c r="A381" s="7"/>
      <c r="B381" s="7"/>
      <c r="C381" s="7"/>
      <c r="D381" s="7"/>
      <c r="E381" s="3" t="str">
        <f t="shared" si="5"/>
        <v/>
      </c>
    </row>
    <row r="382" spans="1:5" ht="14.25" customHeight="1" x14ac:dyDescent="0.3">
      <c r="A382" s="7"/>
      <c r="B382" s="7"/>
      <c r="C382" s="7"/>
      <c r="D382" s="7"/>
      <c r="E382" s="3" t="str">
        <f t="shared" si="5"/>
        <v/>
      </c>
    </row>
    <row r="383" spans="1:5" ht="14.25" customHeight="1" x14ac:dyDescent="0.3">
      <c r="A383" s="7"/>
      <c r="B383" s="7"/>
      <c r="C383" s="7"/>
      <c r="D383" s="7"/>
      <c r="E383" s="3" t="str">
        <f t="shared" si="5"/>
        <v/>
      </c>
    </row>
    <row r="384" spans="1:5" ht="14.25" customHeight="1" x14ac:dyDescent="0.3">
      <c r="A384" s="7"/>
      <c r="B384" s="7"/>
      <c r="C384" s="7"/>
      <c r="D384" s="7"/>
      <c r="E384" s="3" t="str">
        <f t="shared" si="5"/>
        <v/>
      </c>
    </row>
    <row r="385" spans="1:5" ht="14.25" customHeight="1" x14ac:dyDescent="0.3">
      <c r="A385" s="7"/>
      <c r="B385" s="7"/>
      <c r="C385" s="7"/>
      <c r="D385" s="7"/>
      <c r="E385" s="3" t="str">
        <f t="shared" si="5"/>
        <v/>
      </c>
    </row>
    <row r="386" spans="1:5" ht="14.25" customHeight="1" x14ac:dyDescent="0.3">
      <c r="A386" s="7"/>
      <c r="B386" s="7"/>
      <c r="C386" s="7"/>
      <c r="D386" s="7"/>
      <c r="E386" s="3" t="str">
        <f t="shared" ref="E386:E449" si="6">IF(COUNTA(A386:D386)=0,"",IF(COUNTIF($B$2:$B$500,B386)&gt;1,"DUPLICATE ABBREVIATION","OK"))</f>
        <v/>
      </c>
    </row>
    <row r="387" spans="1:5" ht="14.25" customHeight="1" x14ac:dyDescent="0.3">
      <c r="A387" s="7"/>
      <c r="B387" s="7"/>
      <c r="C387" s="7"/>
      <c r="D387" s="7"/>
      <c r="E387" s="3" t="str">
        <f t="shared" si="6"/>
        <v/>
      </c>
    </row>
    <row r="388" spans="1:5" ht="14.25" customHeight="1" x14ac:dyDescent="0.3">
      <c r="A388" s="7"/>
      <c r="B388" s="7"/>
      <c r="C388" s="7"/>
      <c r="D388" s="7"/>
      <c r="E388" s="3" t="str">
        <f t="shared" si="6"/>
        <v/>
      </c>
    </row>
    <row r="389" spans="1:5" ht="14.25" customHeight="1" x14ac:dyDescent="0.3">
      <c r="A389" s="7"/>
      <c r="B389" s="7"/>
      <c r="C389" s="7"/>
      <c r="D389" s="7"/>
      <c r="E389" s="3" t="str">
        <f t="shared" si="6"/>
        <v/>
      </c>
    </row>
    <row r="390" spans="1:5" ht="14.25" customHeight="1" x14ac:dyDescent="0.3">
      <c r="A390" s="7"/>
      <c r="B390" s="7"/>
      <c r="C390" s="7"/>
      <c r="D390" s="7"/>
      <c r="E390" s="3" t="str">
        <f t="shared" si="6"/>
        <v/>
      </c>
    </row>
    <row r="391" spans="1:5" ht="14.25" customHeight="1" x14ac:dyDescent="0.3">
      <c r="A391" s="7"/>
      <c r="B391" s="7"/>
      <c r="C391" s="7"/>
      <c r="D391" s="7"/>
      <c r="E391" s="3" t="str">
        <f t="shared" si="6"/>
        <v/>
      </c>
    </row>
    <row r="392" spans="1:5" ht="14.25" customHeight="1" x14ac:dyDescent="0.3">
      <c r="A392" s="7"/>
      <c r="B392" s="7"/>
      <c r="C392" s="7"/>
      <c r="D392" s="7"/>
      <c r="E392" s="3" t="str">
        <f t="shared" si="6"/>
        <v/>
      </c>
    </row>
    <row r="393" spans="1:5" ht="14.25" customHeight="1" x14ac:dyDescent="0.3">
      <c r="A393" s="7"/>
      <c r="B393" s="7"/>
      <c r="C393" s="7"/>
      <c r="D393" s="7"/>
      <c r="E393" s="3" t="str">
        <f t="shared" si="6"/>
        <v/>
      </c>
    </row>
    <row r="394" spans="1:5" ht="14.25" customHeight="1" x14ac:dyDescent="0.3">
      <c r="A394" s="7"/>
      <c r="B394" s="7"/>
      <c r="C394" s="7"/>
      <c r="D394" s="7"/>
      <c r="E394" s="3" t="str">
        <f t="shared" si="6"/>
        <v/>
      </c>
    </row>
    <row r="395" spans="1:5" ht="14.25" customHeight="1" x14ac:dyDescent="0.3">
      <c r="A395" s="7"/>
      <c r="B395" s="7"/>
      <c r="C395" s="7"/>
      <c r="D395" s="7"/>
      <c r="E395" s="3" t="str">
        <f t="shared" si="6"/>
        <v/>
      </c>
    </row>
    <row r="396" spans="1:5" ht="14.25" customHeight="1" x14ac:dyDescent="0.3">
      <c r="A396" s="7"/>
      <c r="B396" s="7"/>
      <c r="C396" s="7"/>
      <c r="D396" s="7"/>
      <c r="E396" s="3" t="str">
        <f t="shared" si="6"/>
        <v/>
      </c>
    </row>
    <row r="397" spans="1:5" ht="14.25" customHeight="1" x14ac:dyDescent="0.3">
      <c r="A397" s="7"/>
      <c r="B397" s="7"/>
      <c r="C397" s="7"/>
      <c r="D397" s="7"/>
      <c r="E397" s="3" t="str">
        <f t="shared" si="6"/>
        <v/>
      </c>
    </row>
    <row r="398" spans="1:5" ht="14.25" customHeight="1" x14ac:dyDescent="0.3">
      <c r="A398" s="7"/>
      <c r="B398" s="7"/>
      <c r="C398" s="7"/>
      <c r="D398" s="7"/>
      <c r="E398" s="3" t="str">
        <f t="shared" si="6"/>
        <v/>
      </c>
    </row>
    <row r="399" spans="1:5" ht="14.25" customHeight="1" x14ac:dyDescent="0.3">
      <c r="A399" s="7"/>
      <c r="B399" s="7"/>
      <c r="C399" s="7"/>
      <c r="D399" s="7"/>
      <c r="E399" s="3" t="str">
        <f t="shared" si="6"/>
        <v/>
      </c>
    </row>
    <row r="400" spans="1:5" ht="14.25" customHeight="1" x14ac:dyDescent="0.3">
      <c r="A400" s="7"/>
      <c r="B400" s="7"/>
      <c r="C400" s="7"/>
      <c r="D400" s="7"/>
      <c r="E400" s="3" t="str">
        <f t="shared" si="6"/>
        <v/>
      </c>
    </row>
    <row r="401" spans="1:5" ht="14.25" customHeight="1" x14ac:dyDescent="0.3">
      <c r="A401" s="7"/>
      <c r="B401" s="7"/>
      <c r="C401" s="7"/>
      <c r="D401" s="7"/>
      <c r="E401" s="3" t="str">
        <f t="shared" si="6"/>
        <v/>
      </c>
    </row>
    <row r="402" spans="1:5" ht="14.25" customHeight="1" x14ac:dyDescent="0.3">
      <c r="A402" s="7"/>
      <c r="B402" s="7"/>
      <c r="C402" s="7"/>
      <c r="D402" s="7"/>
      <c r="E402" s="3" t="str">
        <f t="shared" si="6"/>
        <v/>
      </c>
    </row>
    <row r="403" spans="1:5" ht="14.25" customHeight="1" x14ac:dyDescent="0.3">
      <c r="A403" s="7"/>
      <c r="B403" s="7"/>
      <c r="C403" s="7"/>
      <c r="D403" s="7"/>
      <c r="E403" s="3" t="str">
        <f t="shared" si="6"/>
        <v/>
      </c>
    </row>
    <row r="404" spans="1:5" ht="14.25" customHeight="1" x14ac:dyDescent="0.3">
      <c r="A404" s="7"/>
      <c r="B404" s="7"/>
      <c r="C404" s="7"/>
      <c r="D404" s="7"/>
      <c r="E404" s="3" t="str">
        <f t="shared" si="6"/>
        <v/>
      </c>
    </row>
    <row r="405" spans="1:5" ht="14.25" customHeight="1" x14ac:dyDescent="0.3">
      <c r="A405" s="7"/>
      <c r="B405" s="7"/>
      <c r="C405" s="7"/>
      <c r="D405" s="7"/>
      <c r="E405" s="3" t="str">
        <f t="shared" si="6"/>
        <v/>
      </c>
    </row>
    <row r="406" spans="1:5" ht="14.25" customHeight="1" x14ac:dyDescent="0.3">
      <c r="A406" s="7"/>
      <c r="B406" s="7"/>
      <c r="C406" s="7"/>
      <c r="D406" s="7"/>
      <c r="E406" s="3" t="str">
        <f t="shared" si="6"/>
        <v/>
      </c>
    </row>
    <row r="407" spans="1:5" ht="14.25" customHeight="1" x14ac:dyDescent="0.3">
      <c r="A407" s="7"/>
      <c r="B407" s="7"/>
      <c r="C407" s="7"/>
      <c r="D407" s="7"/>
      <c r="E407" s="3" t="str">
        <f t="shared" si="6"/>
        <v/>
      </c>
    </row>
    <row r="408" spans="1:5" ht="14.25" customHeight="1" x14ac:dyDescent="0.3">
      <c r="A408" s="7"/>
      <c r="B408" s="7"/>
      <c r="C408" s="7"/>
      <c r="D408" s="7"/>
      <c r="E408" s="3" t="str">
        <f t="shared" si="6"/>
        <v/>
      </c>
    </row>
    <row r="409" spans="1:5" ht="14.25" customHeight="1" x14ac:dyDescent="0.3">
      <c r="A409" s="7"/>
      <c r="B409" s="7"/>
      <c r="C409" s="7"/>
      <c r="D409" s="7"/>
      <c r="E409" s="3" t="str">
        <f t="shared" si="6"/>
        <v/>
      </c>
    </row>
    <row r="410" spans="1:5" ht="14.25" customHeight="1" x14ac:dyDescent="0.3">
      <c r="A410" s="7"/>
      <c r="B410" s="7"/>
      <c r="C410" s="7"/>
      <c r="D410" s="7"/>
      <c r="E410" s="3" t="str">
        <f t="shared" si="6"/>
        <v/>
      </c>
    </row>
    <row r="411" spans="1:5" ht="14.25" customHeight="1" x14ac:dyDescent="0.3">
      <c r="A411" s="7"/>
      <c r="B411" s="7"/>
      <c r="C411" s="7"/>
      <c r="D411" s="7"/>
      <c r="E411" s="3" t="str">
        <f t="shared" si="6"/>
        <v/>
      </c>
    </row>
    <row r="412" spans="1:5" ht="14.25" customHeight="1" x14ac:dyDescent="0.3">
      <c r="A412" s="7"/>
      <c r="B412" s="7"/>
      <c r="C412" s="7"/>
      <c r="D412" s="7"/>
      <c r="E412" s="3" t="str">
        <f t="shared" si="6"/>
        <v/>
      </c>
    </row>
    <row r="413" spans="1:5" ht="14.25" customHeight="1" x14ac:dyDescent="0.3">
      <c r="A413" s="7"/>
      <c r="B413" s="7"/>
      <c r="C413" s="7"/>
      <c r="D413" s="7"/>
      <c r="E413" s="3" t="str">
        <f t="shared" si="6"/>
        <v/>
      </c>
    </row>
    <row r="414" spans="1:5" ht="14.25" customHeight="1" x14ac:dyDescent="0.3">
      <c r="A414" s="7"/>
      <c r="B414" s="7"/>
      <c r="C414" s="7"/>
      <c r="D414" s="7"/>
      <c r="E414" s="3" t="str">
        <f t="shared" si="6"/>
        <v/>
      </c>
    </row>
    <row r="415" spans="1:5" ht="14.25" customHeight="1" x14ac:dyDescent="0.3">
      <c r="A415" s="7"/>
      <c r="B415" s="7"/>
      <c r="C415" s="7"/>
      <c r="D415" s="7"/>
      <c r="E415" s="3" t="str">
        <f t="shared" si="6"/>
        <v/>
      </c>
    </row>
    <row r="416" spans="1:5" ht="14.25" customHeight="1" x14ac:dyDescent="0.3">
      <c r="A416" s="7"/>
      <c r="B416" s="7"/>
      <c r="C416" s="7"/>
      <c r="D416" s="7"/>
      <c r="E416" s="3" t="str">
        <f t="shared" si="6"/>
        <v/>
      </c>
    </row>
    <row r="417" spans="1:5" ht="14.25" customHeight="1" x14ac:dyDescent="0.3">
      <c r="A417" s="7"/>
      <c r="B417" s="7"/>
      <c r="C417" s="7"/>
      <c r="D417" s="7"/>
      <c r="E417" s="3" t="str">
        <f t="shared" si="6"/>
        <v/>
      </c>
    </row>
    <row r="418" spans="1:5" ht="14.25" customHeight="1" x14ac:dyDescent="0.3">
      <c r="A418" s="7"/>
      <c r="B418" s="7"/>
      <c r="C418" s="7"/>
      <c r="D418" s="7"/>
      <c r="E418" s="3" t="str">
        <f t="shared" si="6"/>
        <v/>
      </c>
    </row>
    <row r="419" spans="1:5" ht="14.25" customHeight="1" x14ac:dyDescent="0.3">
      <c r="A419" s="7"/>
      <c r="B419" s="7"/>
      <c r="C419" s="7"/>
      <c r="D419" s="7"/>
      <c r="E419" s="3" t="str">
        <f t="shared" si="6"/>
        <v/>
      </c>
    </row>
    <row r="420" spans="1:5" ht="14.25" customHeight="1" x14ac:dyDescent="0.3">
      <c r="A420" s="7"/>
      <c r="B420" s="7"/>
      <c r="C420" s="7"/>
      <c r="D420" s="7"/>
      <c r="E420" s="3" t="str">
        <f t="shared" si="6"/>
        <v/>
      </c>
    </row>
    <row r="421" spans="1:5" ht="14.25" customHeight="1" x14ac:dyDescent="0.3">
      <c r="A421" s="7"/>
      <c r="B421" s="7"/>
      <c r="C421" s="7"/>
      <c r="D421" s="7"/>
      <c r="E421" s="3" t="str">
        <f t="shared" si="6"/>
        <v/>
      </c>
    </row>
    <row r="422" spans="1:5" ht="14.25" customHeight="1" x14ac:dyDescent="0.3">
      <c r="A422" s="7"/>
      <c r="B422" s="7"/>
      <c r="C422" s="7"/>
      <c r="D422" s="7"/>
      <c r="E422" s="3" t="str">
        <f t="shared" si="6"/>
        <v/>
      </c>
    </row>
    <row r="423" spans="1:5" ht="14.25" customHeight="1" x14ac:dyDescent="0.3">
      <c r="A423" s="7"/>
      <c r="B423" s="7"/>
      <c r="C423" s="7"/>
      <c r="D423" s="7"/>
      <c r="E423" s="3" t="str">
        <f t="shared" si="6"/>
        <v/>
      </c>
    </row>
    <row r="424" spans="1:5" ht="14.25" customHeight="1" x14ac:dyDescent="0.3">
      <c r="A424" s="7"/>
      <c r="B424" s="7"/>
      <c r="C424" s="7"/>
      <c r="D424" s="7"/>
      <c r="E424" s="3" t="str">
        <f t="shared" si="6"/>
        <v/>
      </c>
    </row>
    <row r="425" spans="1:5" ht="14.25" customHeight="1" x14ac:dyDescent="0.3">
      <c r="A425" s="7"/>
      <c r="B425" s="7"/>
      <c r="C425" s="7"/>
      <c r="D425" s="7"/>
      <c r="E425" s="3" t="str">
        <f t="shared" si="6"/>
        <v/>
      </c>
    </row>
    <row r="426" spans="1:5" ht="14.25" customHeight="1" x14ac:dyDescent="0.3">
      <c r="A426" s="7"/>
      <c r="B426" s="7"/>
      <c r="C426" s="7"/>
      <c r="D426" s="7"/>
      <c r="E426" s="3" t="str">
        <f t="shared" si="6"/>
        <v/>
      </c>
    </row>
    <row r="427" spans="1:5" ht="14.25" customHeight="1" x14ac:dyDescent="0.3">
      <c r="A427" s="7"/>
      <c r="B427" s="7"/>
      <c r="C427" s="7"/>
      <c r="D427" s="7"/>
      <c r="E427" s="3" t="str">
        <f t="shared" si="6"/>
        <v/>
      </c>
    </row>
    <row r="428" spans="1:5" ht="14.25" customHeight="1" x14ac:dyDescent="0.3">
      <c r="A428" s="7"/>
      <c r="B428" s="7"/>
      <c r="C428" s="7"/>
      <c r="D428" s="7"/>
      <c r="E428" s="3" t="str">
        <f t="shared" si="6"/>
        <v/>
      </c>
    </row>
    <row r="429" spans="1:5" ht="14.25" customHeight="1" x14ac:dyDescent="0.3">
      <c r="A429" s="7"/>
      <c r="B429" s="7"/>
      <c r="C429" s="7"/>
      <c r="D429" s="7"/>
      <c r="E429" s="3" t="str">
        <f t="shared" si="6"/>
        <v/>
      </c>
    </row>
    <row r="430" spans="1:5" ht="14.25" customHeight="1" x14ac:dyDescent="0.3">
      <c r="A430" s="7"/>
      <c r="B430" s="7"/>
      <c r="C430" s="7"/>
      <c r="D430" s="7"/>
      <c r="E430" s="3" t="str">
        <f t="shared" si="6"/>
        <v/>
      </c>
    </row>
    <row r="431" spans="1:5" ht="14.25" customHeight="1" x14ac:dyDescent="0.3">
      <c r="A431" s="7"/>
      <c r="B431" s="7"/>
      <c r="C431" s="7"/>
      <c r="D431" s="7"/>
      <c r="E431" s="3" t="str">
        <f t="shared" si="6"/>
        <v/>
      </c>
    </row>
    <row r="432" spans="1:5" ht="14.25" customHeight="1" x14ac:dyDescent="0.3">
      <c r="A432" s="7"/>
      <c r="B432" s="7"/>
      <c r="C432" s="7"/>
      <c r="D432" s="7"/>
      <c r="E432" s="3" t="str">
        <f t="shared" si="6"/>
        <v/>
      </c>
    </row>
    <row r="433" spans="1:5" ht="14.25" customHeight="1" x14ac:dyDescent="0.3">
      <c r="A433" s="7"/>
      <c r="B433" s="7"/>
      <c r="C433" s="7"/>
      <c r="D433" s="7"/>
      <c r="E433" s="3" t="str">
        <f t="shared" si="6"/>
        <v/>
      </c>
    </row>
    <row r="434" spans="1:5" ht="14.25" customHeight="1" x14ac:dyDescent="0.3">
      <c r="A434" s="7"/>
      <c r="B434" s="7"/>
      <c r="C434" s="7"/>
      <c r="D434" s="7"/>
      <c r="E434" s="3" t="str">
        <f t="shared" si="6"/>
        <v/>
      </c>
    </row>
    <row r="435" spans="1:5" ht="14.25" customHeight="1" x14ac:dyDescent="0.3">
      <c r="A435" s="7"/>
      <c r="B435" s="7"/>
      <c r="C435" s="7"/>
      <c r="D435" s="7"/>
      <c r="E435" s="3" t="str">
        <f t="shared" si="6"/>
        <v/>
      </c>
    </row>
    <row r="436" spans="1:5" ht="14.25" customHeight="1" x14ac:dyDescent="0.3">
      <c r="A436" s="7"/>
      <c r="B436" s="7"/>
      <c r="C436" s="7"/>
      <c r="D436" s="7"/>
      <c r="E436" s="3" t="str">
        <f t="shared" si="6"/>
        <v/>
      </c>
    </row>
    <row r="437" spans="1:5" ht="14.25" customHeight="1" x14ac:dyDescent="0.3">
      <c r="A437" s="7"/>
      <c r="B437" s="7"/>
      <c r="C437" s="7"/>
      <c r="D437" s="7"/>
      <c r="E437" s="3" t="str">
        <f t="shared" si="6"/>
        <v/>
      </c>
    </row>
    <row r="438" spans="1:5" ht="14.25" customHeight="1" x14ac:dyDescent="0.3">
      <c r="A438" s="7"/>
      <c r="B438" s="7"/>
      <c r="C438" s="7"/>
      <c r="D438" s="7"/>
      <c r="E438" s="3" t="str">
        <f t="shared" si="6"/>
        <v/>
      </c>
    </row>
    <row r="439" spans="1:5" ht="14.25" customHeight="1" x14ac:dyDescent="0.3">
      <c r="A439" s="7"/>
      <c r="B439" s="7"/>
      <c r="C439" s="7"/>
      <c r="D439" s="7"/>
      <c r="E439" s="3" t="str">
        <f t="shared" si="6"/>
        <v/>
      </c>
    </row>
    <row r="440" spans="1:5" ht="14.25" customHeight="1" x14ac:dyDescent="0.3">
      <c r="A440" s="7"/>
      <c r="B440" s="7"/>
      <c r="C440" s="7"/>
      <c r="D440" s="7"/>
      <c r="E440" s="3" t="str">
        <f t="shared" si="6"/>
        <v/>
      </c>
    </row>
    <row r="441" spans="1:5" ht="14.25" customHeight="1" x14ac:dyDescent="0.3">
      <c r="A441" s="7"/>
      <c r="B441" s="7"/>
      <c r="C441" s="7"/>
      <c r="D441" s="7"/>
      <c r="E441" s="3" t="str">
        <f t="shared" si="6"/>
        <v/>
      </c>
    </row>
    <row r="442" spans="1:5" ht="14.25" customHeight="1" x14ac:dyDescent="0.3">
      <c r="A442" s="7"/>
      <c r="B442" s="7"/>
      <c r="C442" s="7"/>
      <c r="D442" s="7"/>
      <c r="E442" s="3" t="str">
        <f t="shared" si="6"/>
        <v/>
      </c>
    </row>
    <row r="443" spans="1:5" ht="14.25" customHeight="1" x14ac:dyDescent="0.3">
      <c r="A443" s="7"/>
      <c r="B443" s="7"/>
      <c r="C443" s="7"/>
      <c r="D443" s="7"/>
      <c r="E443" s="3" t="str">
        <f t="shared" si="6"/>
        <v/>
      </c>
    </row>
    <row r="444" spans="1:5" ht="14.25" customHeight="1" x14ac:dyDescent="0.3">
      <c r="A444" s="7"/>
      <c r="B444" s="7"/>
      <c r="C444" s="7"/>
      <c r="D444" s="7"/>
      <c r="E444" s="3" t="str">
        <f t="shared" si="6"/>
        <v/>
      </c>
    </row>
    <row r="445" spans="1:5" ht="14.25" customHeight="1" x14ac:dyDescent="0.3">
      <c r="A445" s="7"/>
      <c r="B445" s="7"/>
      <c r="C445" s="7"/>
      <c r="D445" s="7"/>
      <c r="E445" s="3" t="str">
        <f t="shared" si="6"/>
        <v/>
      </c>
    </row>
    <row r="446" spans="1:5" ht="14.25" customHeight="1" x14ac:dyDescent="0.3">
      <c r="A446" s="7"/>
      <c r="B446" s="7"/>
      <c r="C446" s="7"/>
      <c r="D446" s="7"/>
      <c r="E446" s="3" t="str">
        <f t="shared" si="6"/>
        <v/>
      </c>
    </row>
    <row r="447" spans="1:5" ht="14.25" customHeight="1" x14ac:dyDescent="0.3">
      <c r="A447" s="7"/>
      <c r="B447" s="7"/>
      <c r="C447" s="7"/>
      <c r="D447" s="7"/>
      <c r="E447" s="3" t="str">
        <f t="shared" si="6"/>
        <v/>
      </c>
    </row>
    <row r="448" spans="1:5" ht="14.25" customHeight="1" x14ac:dyDescent="0.3">
      <c r="A448" s="7"/>
      <c r="B448" s="7"/>
      <c r="C448" s="7"/>
      <c r="D448" s="7"/>
      <c r="E448" s="3" t="str">
        <f t="shared" si="6"/>
        <v/>
      </c>
    </row>
    <row r="449" spans="1:5" ht="14.25" customHeight="1" x14ac:dyDescent="0.3">
      <c r="A449" s="7"/>
      <c r="B449" s="7"/>
      <c r="C449" s="7"/>
      <c r="D449" s="7"/>
      <c r="E449" s="3" t="str">
        <f t="shared" si="6"/>
        <v/>
      </c>
    </row>
    <row r="450" spans="1:5" ht="14.25" customHeight="1" x14ac:dyDescent="0.3">
      <c r="A450" s="7"/>
      <c r="B450" s="7"/>
      <c r="C450" s="7"/>
      <c r="D450" s="7"/>
      <c r="E450" s="3" t="str">
        <f t="shared" ref="E450:E500" si="7">IF(COUNTA(A450:D450)=0,"",IF(COUNTIF($B$2:$B$500,B450)&gt;1,"DUPLICATE ABBREVIATION","OK"))</f>
        <v/>
      </c>
    </row>
    <row r="451" spans="1:5" ht="14.25" customHeight="1" x14ac:dyDescent="0.3">
      <c r="A451" s="7"/>
      <c r="B451" s="7"/>
      <c r="C451" s="7"/>
      <c r="D451" s="7"/>
      <c r="E451" s="3" t="str">
        <f t="shared" si="7"/>
        <v/>
      </c>
    </row>
    <row r="452" spans="1:5" ht="14.25" customHeight="1" x14ac:dyDescent="0.3">
      <c r="A452" s="7"/>
      <c r="B452" s="7"/>
      <c r="C452" s="7"/>
      <c r="D452" s="7"/>
      <c r="E452" s="3" t="str">
        <f t="shared" si="7"/>
        <v/>
      </c>
    </row>
    <row r="453" spans="1:5" ht="14.25" customHeight="1" x14ac:dyDescent="0.3">
      <c r="A453" s="7"/>
      <c r="B453" s="7"/>
      <c r="C453" s="7"/>
      <c r="D453" s="7"/>
      <c r="E453" s="3" t="str">
        <f t="shared" si="7"/>
        <v/>
      </c>
    </row>
    <row r="454" spans="1:5" ht="14.25" customHeight="1" x14ac:dyDescent="0.3">
      <c r="A454" s="7"/>
      <c r="B454" s="7"/>
      <c r="C454" s="7"/>
      <c r="D454" s="7"/>
      <c r="E454" s="3" t="str">
        <f t="shared" si="7"/>
        <v/>
      </c>
    </row>
    <row r="455" spans="1:5" ht="14.25" customHeight="1" x14ac:dyDescent="0.3">
      <c r="A455" s="7"/>
      <c r="B455" s="7"/>
      <c r="C455" s="7"/>
      <c r="D455" s="7"/>
      <c r="E455" s="3" t="str">
        <f t="shared" si="7"/>
        <v/>
      </c>
    </row>
    <row r="456" spans="1:5" ht="14.25" customHeight="1" x14ac:dyDescent="0.3">
      <c r="A456" s="7"/>
      <c r="B456" s="7"/>
      <c r="C456" s="7"/>
      <c r="D456" s="7"/>
      <c r="E456" s="3" t="str">
        <f t="shared" si="7"/>
        <v/>
      </c>
    </row>
    <row r="457" spans="1:5" ht="14.25" customHeight="1" x14ac:dyDescent="0.3">
      <c r="A457" s="7"/>
      <c r="B457" s="7"/>
      <c r="C457" s="7"/>
      <c r="D457" s="7"/>
      <c r="E457" s="3" t="str">
        <f t="shared" si="7"/>
        <v/>
      </c>
    </row>
    <row r="458" spans="1:5" ht="14.25" customHeight="1" x14ac:dyDescent="0.3">
      <c r="A458" s="7"/>
      <c r="B458" s="7"/>
      <c r="C458" s="7"/>
      <c r="D458" s="7"/>
      <c r="E458" s="3" t="str">
        <f t="shared" si="7"/>
        <v/>
      </c>
    </row>
    <row r="459" spans="1:5" ht="14.25" customHeight="1" x14ac:dyDescent="0.3">
      <c r="A459" s="7"/>
      <c r="B459" s="7"/>
      <c r="C459" s="7"/>
      <c r="D459" s="7"/>
      <c r="E459" s="3" t="str">
        <f t="shared" si="7"/>
        <v/>
      </c>
    </row>
    <row r="460" spans="1:5" ht="14.25" customHeight="1" x14ac:dyDescent="0.3">
      <c r="A460" s="7"/>
      <c r="B460" s="7"/>
      <c r="C460" s="7"/>
      <c r="D460" s="7"/>
      <c r="E460" s="3" t="str">
        <f t="shared" si="7"/>
        <v/>
      </c>
    </row>
    <row r="461" spans="1:5" ht="14.25" customHeight="1" x14ac:dyDescent="0.3">
      <c r="A461" s="7"/>
      <c r="B461" s="7"/>
      <c r="C461" s="7"/>
      <c r="D461" s="7"/>
      <c r="E461" s="3" t="str">
        <f t="shared" si="7"/>
        <v/>
      </c>
    </row>
    <row r="462" spans="1:5" ht="14.25" customHeight="1" x14ac:dyDescent="0.3">
      <c r="A462" s="7"/>
      <c r="B462" s="7"/>
      <c r="C462" s="7"/>
      <c r="D462" s="7"/>
      <c r="E462" s="3" t="str">
        <f t="shared" si="7"/>
        <v/>
      </c>
    </row>
    <row r="463" spans="1:5" ht="14.25" customHeight="1" x14ac:dyDescent="0.3">
      <c r="A463" s="7"/>
      <c r="B463" s="7"/>
      <c r="C463" s="7"/>
      <c r="D463" s="7"/>
      <c r="E463" s="3" t="str">
        <f t="shared" si="7"/>
        <v/>
      </c>
    </row>
    <row r="464" spans="1:5" ht="14.25" customHeight="1" x14ac:dyDescent="0.3">
      <c r="A464" s="7"/>
      <c r="B464" s="7"/>
      <c r="C464" s="7"/>
      <c r="D464" s="7"/>
      <c r="E464" s="3" t="str">
        <f t="shared" si="7"/>
        <v/>
      </c>
    </row>
    <row r="465" spans="1:5" ht="14.25" customHeight="1" x14ac:dyDescent="0.3">
      <c r="A465" s="7"/>
      <c r="B465" s="7"/>
      <c r="C465" s="7"/>
      <c r="D465" s="7"/>
      <c r="E465" s="3" t="str">
        <f t="shared" si="7"/>
        <v/>
      </c>
    </row>
    <row r="466" spans="1:5" ht="14.25" customHeight="1" x14ac:dyDescent="0.3">
      <c r="A466" s="7"/>
      <c r="B466" s="7"/>
      <c r="C466" s="7"/>
      <c r="D466" s="7"/>
      <c r="E466" s="3" t="str">
        <f t="shared" si="7"/>
        <v/>
      </c>
    </row>
    <row r="467" spans="1:5" ht="14.25" customHeight="1" x14ac:dyDescent="0.3">
      <c r="A467" s="7"/>
      <c r="B467" s="7"/>
      <c r="C467" s="7"/>
      <c r="D467" s="7"/>
      <c r="E467" s="3" t="str">
        <f t="shared" si="7"/>
        <v/>
      </c>
    </row>
    <row r="468" spans="1:5" ht="14.25" customHeight="1" x14ac:dyDescent="0.3">
      <c r="A468" s="7"/>
      <c r="B468" s="7"/>
      <c r="C468" s="7"/>
      <c r="D468" s="7"/>
      <c r="E468" s="3" t="str">
        <f t="shared" si="7"/>
        <v/>
      </c>
    </row>
    <row r="469" spans="1:5" ht="14.25" customHeight="1" x14ac:dyDescent="0.3">
      <c r="A469" s="7"/>
      <c r="B469" s="7"/>
      <c r="C469" s="7"/>
      <c r="D469" s="7"/>
      <c r="E469" s="3" t="str">
        <f t="shared" si="7"/>
        <v/>
      </c>
    </row>
    <row r="470" spans="1:5" ht="14.25" customHeight="1" x14ac:dyDescent="0.3">
      <c r="A470" s="7"/>
      <c r="B470" s="7"/>
      <c r="C470" s="7"/>
      <c r="D470" s="7"/>
      <c r="E470" s="3" t="str">
        <f t="shared" si="7"/>
        <v/>
      </c>
    </row>
    <row r="471" spans="1:5" ht="14.25" customHeight="1" x14ac:dyDescent="0.3">
      <c r="A471" s="7"/>
      <c r="B471" s="7"/>
      <c r="C471" s="7"/>
      <c r="D471" s="7"/>
      <c r="E471" s="3" t="str">
        <f t="shared" si="7"/>
        <v/>
      </c>
    </row>
    <row r="472" spans="1:5" ht="14.25" customHeight="1" x14ac:dyDescent="0.3">
      <c r="A472" s="7"/>
      <c r="B472" s="7"/>
      <c r="C472" s="7"/>
      <c r="D472" s="7"/>
      <c r="E472" s="3" t="str">
        <f t="shared" si="7"/>
        <v/>
      </c>
    </row>
    <row r="473" spans="1:5" ht="14.25" customHeight="1" x14ac:dyDescent="0.3">
      <c r="A473" s="7"/>
      <c r="B473" s="7"/>
      <c r="C473" s="7"/>
      <c r="D473" s="7"/>
      <c r="E473" s="3" t="str">
        <f t="shared" si="7"/>
        <v/>
      </c>
    </row>
    <row r="474" spans="1:5" ht="14.25" customHeight="1" x14ac:dyDescent="0.3">
      <c r="A474" s="7"/>
      <c r="B474" s="7"/>
      <c r="C474" s="7"/>
      <c r="D474" s="7"/>
      <c r="E474" s="3" t="str">
        <f t="shared" si="7"/>
        <v/>
      </c>
    </row>
    <row r="475" spans="1:5" ht="14.25" customHeight="1" x14ac:dyDescent="0.3">
      <c r="A475" s="7"/>
      <c r="B475" s="7"/>
      <c r="C475" s="7"/>
      <c r="D475" s="7"/>
      <c r="E475" s="3" t="str">
        <f t="shared" si="7"/>
        <v/>
      </c>
    </row>
    <row r="476" spans="1:5" ht="14.25" customHeight="1" x14ac:dyDescent="0.3">
      <c r="A476" s="7"/>
      <c r="B476" s="7"/>
      <c r="C476" s="7"/>
      <c r="D476" s="7"/>
      <c r="E476" s="3" t="str">
        <f t="shared" si="7"/>
        <v/>
      </c>
    </row>
    <row r="477" spans="1:5" ht="14.25" customHeight="1" x14ac:dyDescent="0.3">
      <c r="A477" s="7"/>
      <c r="B477" s="7"/>
      <c r="C477" s="7"/>
      <c r="D477" s="7"/>
      <c r="E477" s="3" t="str">
        <f t="shared" si="7"/>
        <v/>
      </c>
    </row>
    <row r="478" spans="1:5" ht="14.25" customHeight="1" x14ac:dyDescent="0.3">
      <c r="A478" s="7"/>
      <c r="B478" s="7"/>
      <c r="C478" s="7"/>
      <c r="D478" s="7"/>
      <c r="E478" s="3" t="str">
        <f t="shared" si="7"/>
        <v/>
      </c>
    </row>
    <row r="479" spans="1:5" ht="14.25" customHeight="1" x14ac:dyDescent="0.3">
      <c r="A479" s="7"/>
      <c r="B479" s="7"/>
      <c r="C479" s="7"/>
      <c r="D479" s="7"/>
      <c r="E479" s="3" t="str">
        <f t="shared" si="7"/>
        <v/>
      </c>
    </row>
    <row r="480" spans="1:5" ht="14.25" customHeight="1" x14ac:dyDescent="0.3">
      <c r="A480" s="7"/>
      <c r="B480" s="7"/>
      <c r="C480" s="7"/>
      <c r="D480" s="7"/>
      <c r="E480" s="3" t="str">
        <f t="shared" si="7"/>
        <v/>
      </c>
    </row>
    <row r="481" spans="1:5" ht="14.25" customHeight="1" x14ac:dyDescent="0.3">
      <c r="A481" s="7"/>
      <c r="B481" s="7"/>
      <c r="C481" s="7"/>
      <c r="D481" s="7"/>
      <c r="E481" s="3" t="str">
        <f t="shared" si="7"/>
        <v/>
      </c>
    </row>
    <row r="482" spans="1:5" ht="14.25" customHeight="1" x14ac:dyDescent="0.3">
      <c r="A482" s="7"/>
      <c r="B482" s="7"/>
      <c r="C482" s="7"/>
      <c r="D482" s="7"/>
      <c r="E482" s="3" t="str">
        <f t="shared" si="7"/>
        <v/>
      </c>
    </row>
    <row r="483" spans="1:5" ht="14.25" customHeight="1" x14ac:dyDescent="0.3">
      <c r="A483" s="7"/>
      <c r="B483" s="7"/>
      <c r="C483" s="7"/>
      <c r="D483" s="7"/>
      <c r="E483" s="3" t="str">
        <f t="shared" si="7"/>
        <v/>
      </c>
    </row>
    <row r="484" spans="1:5" ht="14.25" customHeight="1" x14ac:dyDescent="0.3">
      <c r="A484" s="7"/>
      <c r="B484" s="7"/>
      <c r="C484" s="7"/>
      <c r="D484" s="7"/>
      <c r="E484" s="3" t="str">
        <f t="shared" si="7"/>
        <v/>
      </c>
    </row>
    <row r="485" spans="1:5" ht="14.25" customHeight="1" x14ac:dyDescent="0.3">
      <c r="A485" s="7"/>
      <c r="B485" s="7"/>
      <c r="C485" s="7"/>
      <c r="D485" s="7"/>
      <c r="E485" s="3" t="str">
        <f t="shared" si="7"/>
        <v/>
      </c>
    </row>
    <row r="486" spans="1:5" ht="14.25" customHeight="1" x14ac:dyDescent="0.3">
      <c r="A486" s="7"/>
      <c r="B486" s="7"/>
      <c r="C486" s="7"/>
      <c r="D486" s="7"/>
      <c r="E486" s="3" t="str">
        <f t="shared" si="7"/>
        <v/>
      </c>
    </row>
    <row r="487" spans="1:5" ht="14.25" customHeight="1" x14ac:dyDescent="0.3">
      <c r="A487" s="7"/>
      <c r="B487" s="7"/>
      <c r="C487" s="7"/>
      <c r="D487" s="7"/>
      <c r="E487" s="3" t="str">
        <f t="shared" si="7"/>
        <v/>
      </c>
    </row>
    <row r="488" spans="1:5" ht="14.25" customHeight="1" x14ac:dyDescent="0.3">
      <c r="A488" s="7"/>
      <c r="B488" s="7"/>
      <c r="C488" s="7"/>
      <c r="D488" s="7"/>
      <c r="E488" s="3" t="str">
        <f t="shared" si="7"/>
        <v/>
      </c>
    </row>
    <row r="489" spans="1:5" ht="14.25" customHeight="1" x14ac:dyDescent="0.3">
      <c r="A489" s="7"/>
      <c r="B489" s="7"/>
      <c r="C489" s="7"/>
      <c r="D489" s="7"/>
      <c r="E489" s="3" t="str">
        <f t="shared" si="7"/>
        <v/>
      </c>
    </row>
    <row r="490" spans="1:5" ht="14.25" customHeight="1" x14ac:dyDescent="0.3">
      <c r="A490" s="7"/>
      <c r="B490" s="7"/>
      <c r="C490" s="7"/>
      <c r="D490" s="7"/>
      <c r="E490" s="3" t="str">
        <f t="shared" si="7"/>
        <v/>
      </c>
    </row>
    <row r="491" spans="1:5" ht="14.25" customHeight="1" x14ac:dyDescent="0.3">
      <c r="A491" s="7"/>
      <c r="B491" s="7"/>
      <c r="C491" s="7"/>
      <c r="D491" s="7"/>
      <c r="E491" s="3" t="str">
        <f t="shared" si="7"/>
        <v/>
      </c>
    </row>
    <row r="492" spans="1:5" ht="14.25" customHeight="1" x14ac:dyDescent="0.3">
      <c r="A492" s="7"/>
      <c r="B492" s="7"/>
      <c r="C492" s="7"/>
      <c r="D492" s="7"/>
      <c r="E492" s="3" t="str">
        <f t="shared" si="7"/>
        <v/>
      </c>
    </row>
    <row r="493" spans="1:5" ht="14.25" customHeight="1" x14ac:dyDescent="0.3">
      <c r="A493" s="7"/>
      <c r="B493" s="7"/>
      <c r="C493" s="7"/>
      <c r="D493" s="7"/>
      <c r="E493" s="3" t="str">
        <f t="shared" si="7"/>
        <v/>
      </c>
    </row>
    <row r="494" spans="1:5" ht="14.25" customHeight="1" x14ac:dyDescent="0.3">
      <c r="A494" s="7"/>
      <c r="B494" s="7"/>
      <c r="C494" s="7"/>
      <c r="D494" s="7"/>
      <c r="E494" s="3" t="str">
        <f t="shared" si="7"/>
        <v/>
      </c>
    </row>
    <row r="495" spans="1:5" ht="14.25" customHeight="1" x14ac:dyDescent="0.3">
      <c r="A495" s="7"/>
      <c r="B495" s="7"/>
      <c r="C495" s="7"/>
      <c r="D495" s="7"/>
      <c r="E495" s="3" t="str">
        <f t="shared" si="7"/>
        <v/>
      </c>
    </row>
    <row r="496" spans="1:5" ht="14.25" customHeight="1" x14ac:dyDescent="0.3">
      <c r="A496" s="7"/>
      <c r="B496" s="7"/>
      <c r="C496" s="7"/>
      <c r="D496" s="7"/>
      <c r="E496" s="3" t="str">
        <f t="shared" si="7"/>
        <v/>
      </c>
    </row>
    <row r="497" spans="1:5" ht="14.25" customHeight="1" x14ac:dyDescent="0.3">
      <c r="A497" s="7"/>
      <c r="B497" s="7"/>
      <c r="C497" s="7"/>
      <c r="D497" s="7"/>
      <c r="E497" s="3" t="str">
        <f t="shared" si="7"/>
        <v/>
      </c>
    </row>
    <row r="498" spans="1:5" ht="14.25" customHeight="1" x14ac:dyDescent="0.3">
      <c r="A498" s="7"/>
      <c r="B498" s="7"/>
      <c r="C498" s="7"/>
      <c r="D498" s="7"/>
      <c r="E498" s="3" t="str">
        <f t="shared" si="7"/>
        <v/>
      </c>
    </row>
    <row r="499" spans="1:5" ht="14.25" customHeight="1" x14ac:dyDescent="0.3">
      <c r="A499" s="7"/>
      <c r="B499" s="7"/>
      <c r="C499" s="7"/>
      <c r="D499" s="7"/>
      <c r="E499" s="3" t="str">
        <f t="shared" si="7"/>
        <v/>
      </c>
    </row>
    <row r="500" spans="1:5" ht="14.25" customHeight="1" x14ac:dyDescent="0.3">
      <c r="A500" s="7"/>
      <c r="B500" s="7"/>
      <c r="C500" s="7"/>
      <c r="D500" s="7"/>
      <c r="E500" s="3" t="str">
        <f t="shared" si="7"/>
        <v/>
      </c>
    </row>
    <row r="501" spans="1:5" ht="14.25" customHeight="1" x14ac:dyDescent="0.3">
      <c r="A501" s="15"/>
      <c r="B501" s="15"/>
      <c r="C501" s="15"/>
      <c r="D501" s="15"/>
      <c r="E501" s="14"/>
    </row>
    <row r="502" spans="1:5" ht="14.25" customHeight="1" x14ac:dyDescent="0.3">
      <c r="A502" s="15"/>
      <c r="B502" s="15"/>
      <c r="C502" s="15"/>
      <c r="D502" s="15"/>
      <c r="E502" s="14"/>
    </row>
    <row r="503" spans="1:5" ht="14.25" customHeight="1" x14ac:dyDescent="0.3">
      <c r="A503" s="15"/>
      <c r="B503" s="15"/>
      <c r="C503" s="15"/>
      <c r="D503" s="15"/>
      <c r="E503" s="14"/>
    </row>
    <row r="504" spans="1:5" ht="14.25" customHeight="1" x14ac:dyDescent="0.3">
      <c r="A504" s="15"/>
      <c r="B504" s="15"/>
      <c r="C504" s="15"/>
      <c r="D504" s="15"/>
      <c r="E504" s="14"/>
    </row>
    <row r="505" spans="1:5" ht="14.25" customHeight="1" x14ac:dyDescent="0.3">
      <c r="A505" s="15"/>
      <c r="B505" s="15"/>
      <c r="C505" s="15"/>
      <c r="D505" s="15"/>
      <c r="E505" s="14"/>
    </row>
    <row r="506" spans="1:5" ht="14.25" customHeight="1" x14ac:dyDescent="0.3">
      <c r="A506" s="15"/>
      <c r="B506" s="15"/>
      <c r="C506" s="15"/>
      <c r="D506" s="15"/>
      <c r="E506" s="14"/>
    </row>
    <row r="507" spans="1:5" ht="14.25" customHeight="1" x14ac:dyDescent="0.3">
      <c r="A507" s="15"/>
      <c r="B507" s="15"/>
      <c r="C507" s="15"/>
      <c r="D507" s="15"/>
      <c r="E507" s="14"/>
    </row>
    <row r="508" spans="1:5" ht="14.25" customHeight="1" x14ac:dyDescent="0.3">
      <c r="A508" s="15"/>
      <c r="B508" s="15"/>
      <c r="C508" s="15"/>
      <c r="D508" s="15"/>
      <c r="E508" s="14"/>
    </row>
    <row r="509" spans="1:5" ht="14.25" customHeight="1" x14ac:dyDescent="0.3">
      <c r="A509" s="15"/>
      <c r="B509" s="15"/>
      <c r="C509" s="15"/>
      <c r="D509" s="15"/>
      <c r="E509" s="14"/>
    </row>
    <row r="510" spans="1:5" ht="14.25" customHeight="1" x14ac:dyDescent="0.3">
      <c r="A510" s="15"/>
      <c r="B510" s="15"/>
      <c r="C510" s="15"/>
      <c r="D510" s="15"/>
      <c r="E510" s="14"/>
    </row>
    <row r="511" spans="1:5" ht="14.25" customHeight="1" x14ac:dyDescent="0.3">
      <c r="A511" s="15"/>
      <c r="B511" s="15"/>
      <c r="C511" s="15"/>
      <c r="D511" s="15"/>
      <c r="E511" s="14"/>
    </row>
    <row r="512" spans="1:5" ht="14.25" customHeight="1" x14ac:dyDescent="0.3">
      <c r="A512" s="15"/>
      <c r="B512" s="15"/>
      <c r="C512" s="15"/>
      <c r="D512" s="15"/>
      <c r="E512" s="14"/>
    </row>
    <row r="513" spans="1:5" ht="14.25" customHeight="1" x14ac:dyDescent="0.3">
      <c r="A513" s="15"/>
      <c r="B513" s="15"/>
      <c r="C513" s="15"/>
      <c r="D513" s="15"/>
      <c r="E513" s="14"/>
    </row>
    <row r="514" spans="1:5" ht="14.25" customHeight="1" x14ac:dyDescent="0.3">
      <c r="A514" s="15"/>
      <c r="B514" s="15"/>
      <c r="C514" s="15"/>
      <c r="D514" s="15"/>
      <c r="E514" s="14"/>
    </row>
    <row r="515" spans="1:5" ht="14.25" customHeight="1" x14ac:dyDescent="0.3">
      <c r="A515" s="15"/>
      <c r="B515" s="15"/>
      <c r="C515" s="15"/>
      <c r="D515" s="15"/>
      <c r="E515" s="14"/>
    </row>
    <row r="516" spans="1:5" ht="14.25" customHeight="1" x14ac:dyDescent="0.3">
      <c r="A516" s="15"/>
      <c r="B516" s="15"/>
      <c r="C516" s="15"/>
      <c r="D516" s="15"/>
      <c r="E516" s="14"/>
    </row>
    <row r="517" spans="1:5" ht="14.25" customHeight="1" x14ac:dyDescent="0.3">
      <c r="A517" s="15"/>
      <c r="B517" s="15"/>
      <c r="C517" s="15"/>
      <c r="D517" s="15"/>
      <c r="E517" s="14"/>
    </row>
    <row r="518" spans="1:5" ht="14.25" customHeight="1" x14ac:dyDescent="0.3">
      <c r="A518" s="15"/>
      <c r="B518" s="15"/>
      <c r="C518" s="15"/>
      <c r="D518" s="15"/>
      <c r="E518" s="14"/>
    </row>
    <row r="519" spans="1:5" ht="14.25" customHeight="1" x14ac:dyDescent="0.3">
      <c r="A519" s="15"/>
      <c r="B519" s="15"/>
      <c r="C519" s="15"/>
      <c r="D519" s="15"/>
      <c r="E519" s="14"/>
    </row>
    <row r="520" spans="1:5" ht="14.25" customHeight="1" x14ac:dyDescent="0.3">
      <c r="A520" s="15"/>
      <c r="B520" s="15"/>
      <c r="C520" s="15"/>
      <c r="D520" s="15"/>
      <c r="E520" s="14"/>
    </row>
    <row r="521" spans="1:5" ht="14.25" customHeight="1" x14ac:dyDescent="0.3">
      <c r="A521" s="15"/>
      <c r="B521" s="15"/>
      <c r="C521" s="15"/>
      <c r="D521" s="15"/>
      <c r="E521" s="14"/>
    </row>
    <row r="522" spans="1:5" ht="14.25" customHeight="1" x14ac:dyDescent="0.3">
      <c r="A522" s="15"/>
      <c r="B522" s="15"/>
      <c r="C522" s="15"/>
      <c r="D522" s="15"/>
      <c r="E522" s="14"/>
    </row>
    <row r="523" spans="1:5" ht="14.25" customHeight="1" x14ac:dyDescent="0.3">
      <c r="A523" s="15"/>
      <c r="B523" s="15"/>
      <c r="C523" s="15"/>
      <c r="D523" s="15"/>
      <c r="E523" s="14"/>
    </row>
    <row r="524" spans="1:5" ht="14.25" customHeight="1" x14ac:dyDescent="0.3">
      <c r="A524" s="15"/>
      <c r="B524" s="15"/>
      <c r="C524" s="15"/>
      <c r="D524" s="15"/>
      <c r="E524" s="14"/>
    </row>
    <row r="525" spans="1:5" ht="14.25" customHeight="1" x14ac:dyDescent="0.3">
      <c r="A525" s="15"/>
      <c r="B525" s="15"/>
      <c r="C525" s="15"/>
      <c r="D525" s="15"/>
      <c r="E525" s="14"/>
    </row>
    <row r="526" spans="1:5" ht="14.25" customHeight="1" x14ac:dyDescent="0.3">
      <c r="A526" s="15"/>
      <c r="B526" s="15"/>
      <c r="C526" s="15"/>
      <c r="D526" s="15"/>
      <c r="E526" s="14"/>
    </row>
    <row r="527" spans="1:5" ht="14.25" customHeight="1" x14ac:dyDescent="0.3">
      <c r="A527" s="15"/>
      <c r="B527" s="15"/>
      <c r="C527" s="15"/>
      <c r="D527" s="15"/>
      <c r="E527" s="14"/>
    </row>
    <row r="528" spans="1:5" ht="14.25" customHeight="1" x14ac:dyDescent="0.3">
      <c r="A528" s="15"/>
      <c r="B528" s="15"/>
      <c r="C528" s="15"/>
      <c r="D528" s="15"/>
      <c r="E528" s="14"/>
    </row>
    <row r="529" spans="1:5" ht="14.25" customHeight="1" x14ac:dyDescent="0.3">
      <c r="A529" s="15"/>
      <c r="B529" s="15"/>
      <c r="C529" s="15"/>
      <c r="D529" s="15"/>
      <c r="E529" s="14"/>
    </row>
    <row r="530" spans="1:5" ht="14.25" customHeight="1" x14ac:dyDescent="0.3">
      <c r="A530" s="15"/>
      <c r="B530" s="15"/>
      <c r="C530" s="15"/>
      <c r="D530" s="15"/>
      <c r="E530" s="14"/>
    </row>
    <row r="531" spans="1:5" ht="14.25" customHeight="1" x14ac:dyDescent="0.3">
      <c r="A531" s="15"/>
      <c r="B531" s="15"/>
      <c r="C531" s="15"/>
      <c r="D531" s="15"/>
      <c r="E531" s="14"/>
    </row>
    <row r="532" spans="1:5" ht="14.25" customHeight="1" x14ac:dyDescent="0.3">
      <c r="A532" s="15"/>
      <c r="B532" s="15"/>
      <c r="C532" s="15"/>
      <c r="D532" s="15"/>
      <c r="E532" s="14"/>
    </row>
    <row r="533" spans="1:5" ht="14.25" customHeight="1" x14ac:dyDescent="0.3">
      <c r="A533" s="15"/>
      <c r="B533" s="15"/>
      <c r="C533" s="15"/>
      <c r="D533" s="15"/>
      <c r="E533" s="14"/>
    </row>
    <row r="534" spans="1:5" ht="14.25" customHeight="1" x14ac:dyDescent="0.3">
      <c r="A534" s="15"/>
      <c r="B534" s="15"/>
      <c r="C534" s="15"/>
      <c r="D534" s="15"/>
      <c r="E534" s="14"/>
    </row>
    <row r="535" spans="1:5" ht="14.25" customHeight="1" x14ac:dyDescent="0.3">
      <c r="A535" s="15"/>
      <c r="B535" s="15"/>
      <c r="C535" s="15"/>
      <c r="D535" s="15"/>
      <c r="E535" s="14"/>
    </row>
    <row r="536" spans="1:5" ht="14.25" customHeight="1" x14ac:dyDescent="0.3">
      <c r="A536" s="15"/>
      <c r="B536" s="15"/>
      <c r="C536" s="15"/>
      <c r="D536" s="15"/>
      <c r="E536" s="14"/>
    </row>
    <row r="537" spans="1:5" ht="14.25" customHeight="1" x14ac:dyDescent="0.3">
      <c r="A537" s="15"/>
      <c r="B537" s="15"/>
      <c r="C537" s="15"/>
      <c r="D537" s="15"/>
      <c r="E537" s="14"/>
    </row>
    <row r="538" spans="1:5" ht="14.25" customHeight="1" x14ac:dyDescent="0.3">
      <c r="A538" s="15"/>
      <c r="B538" s="15"/>
      <c r="C538" s="15"/>
      <c r="D538" s="15"/>
      <c r="E538" s="14"/>
    </row>
    <row r="539" spans="1:5" ht="14.25" customHeight="1" x14ac:dyDescent="0.3">
      <c r="A539" s="15"/>
      <c r="B539" s="15"/>
      <c r="C539" s="15"/>
      <c r="D539" s="15"/>
      <c r="E539" s="14"/>
    </row>
    <row r="540" spans="1:5" ht="14.25" customHeight="1" x14ac:dyDescent="0.3">
      <c r="A540" s="15"/>
      <c r="B540" s="15"/>
      <c r="C540" s="15"/>
      <c r="D540" s="15"/>
      <c r="E540" s="14"/>
    </row>
    <row r="541" spans="1:5" ht="14.25" customHeight="1" x14ac:dyDescent="0.3">
      <c r="A541" s="15"/>
      <c r="B541" s="15"/>
      <c r="C541" s="15"/>
      <c r="D541" s="15"/>
      <c r="E541" s="14"/>
    </row>
    <row r="542" spans="1:5" ht="14.25" customHeight="1" x14ac:dyDescent="0.3">
      <c r="A542" s="15"/>
      <c r="B542" s="15"/>
      <c r="C542" s="15"/>
      <c r="D542" s="15"/>
      <c r="E542" s="14"/>
    </row>
    <row r="543" spans="1:5" ht="14.25" customHeight="1" x14ac:dyDescent="0.3">
      <c r="A543" s="15"/>
      <c r="B543" s="15"/>
      <c r="C543" s="15"/>
      <c r="D543" s="15"/>
      <c r="E543" s="14"/>
    </row>
    <row r="544" spans="1:5" ht="14.25" customHeight="1" x14ac:dyDescent="0.3">
      <c r="A544" s="15"/>
      <c r="B544" s="15"/>
      <c r="C544" s="15"/>
      <c r="D544" s="15"/>
      <c r="E544" s="14"/>
    </row>
    <row r="545" spans="1:5" ht="14.25" customHeight="1" x14ac:dyDescent="0.3">
      <c r="A545" s="15"/>
      <c r="B545" s="15"/>
      <c r="C545" s="15"/>
      <c r="D545" s="15"/>
      <c r="E545" s="14"/>
    </row>
    <row r="546" spans="1:5" ht="14.25" customHeight="1" x14ac:dyDescent="0.3">
      <c r="A546" s="15"/>
      <c r="B546" s="15"/>
      <c r="C546" s="15"/>
      <c r="D546" s="15"/>
      <c r="E546" s="14"/>
    </row>
    <row r="547" spans="1:5" ht="14.25" customHeight="1" x14ac:dyDescent="0.3">
      <c r="A547" s="15"/>
      <c r="B547" s="15"/>
      <c r="C547" s="15"/>
      <c r="D547" s="15"/>
      <c r="E547" s="14"/>
    </row>
    <row r="548" spans="1:5" ht="14.25" customHeight="1" x14ac:dyDescent="0.3">
      <c r="A548" s="15"/>
      <c r="B548" s="15"/>
      <c r="C548" s="15"/>
      <c r="D548" s="15"/>
      <c r="E548" s="14"/>
    </row>
    <row r="549" spans="1:5" ht="14.25" customHeight="1" x14ac:dyDescent="0.3">
      <c r="A549" s="15"/>
      <c r="B549" s="15"/>
      <c r="C549" s="15"/>
      <c r="D549" s="15"/>
      <c r="E549" s="14"/>
    </row>
    <row r="550" spans="1:5" ht="14.25" customHeight="1" x14ac:dyDescent="0.3">
      <c r="A550" s="15"/>
      <c r="B550" s="15"/>
      <c r="C550" s="15"/>
      <c r="D550" s="15"/>
      <c r="E550" s="14"/>
    </row>
    <row r="551" spans="1:5" ht="14.25" customHeight="1" x14ac:dyDescent="0.3">
      <c r="A551" s="15"/>
      <c r="B551" s="15"/>
      <c r="C551" s="15"/>
      <c r="D551" s="15"/>
      <c r="E551" s="14"/>
    </row>
    <row r="552" spans="1:5" ht="14.25" customHeight="1" x14ac:dyDescent="0.3">
      <c r="A552" s="15"/>
      <c r="B552" s="15"/>
      <c r="C552" s="15"/>
      <c r="D552" s="15"/>
      <c r="E552" s="14"/>
    </row>
    <row r="553" spans="1:5" ht="14.25" customHeight="1" x14ac:dyDescent="0.3">
      <c r="A553" s="15"/>
      <c r="B553" s="15"/>
      <c r="C553" s="15"/>
      <c r="D553" s="15"/>
      <c r="E553" s="14"/>
    </row>
    <row r="554" spans="1:5" ht="14.25" customHeight="1" x14ac:dyDescent="0.3">
      <c r="A554" s="15"/>
      <c r="B554" s="15"/>
      <c r="C554" s="15"/>
      <c r="D554" s="15"/>
      <c r="E554" s="14"/>
    </row>
    <row r="555" spans="1:5" ht="14.25" customHeight="1" x14ac:dyDescent="0.3">
      <c r="A555" s="15"/>
      <c r="B555" s="15"/>
      <c r="C555" s="15"/>
      <c r="D555" s="15"/>
      <c r="E555" s="14"/>
    </row>
    <row r="556" spans="1:5" ht="14.25" customHeight="1" x14ac:dyDescent="0.3">
      <c r="A556" s="15"/>
      <c r="B556" s="15"/>
      <c r="C556" s="15"/>
      <c r="D556" s="15"/>
      <c r="E556" s="14"/>
    </row>
    <row r="557" spans="1:5" ht="14.25" customHeight="1" x14ac:dyDescent="0.3">
      <c r="A557" s="15"/>
      <c r="B557" s="15"/>
      <c r="C557" s="15"/>
      <c r="D557" s="15"/>
      <c r="E557" s="14"/>
    </row>
    <row r="558" spans="1:5" ht="14.25" customHeight="1" x14ac:dyDescent="0.3">
      <c r="A558" s="15"/>
      <c r="B558" s="15"/>
      <c r="C558" s="15"/>
      <c r="D558" s="15"/>
      <c r="E558" s="14"/>
    </row>
    <row r="559" spans="1:5" ht="14.25" customHeight="1" x14ac:dyDescent="0.3">
      <c r="A559" s="15"/>
      <c r="B559" s="15"/>
      <c r="C559" s="15"/>
      <c r="D559" s="15"/>
      <c r="E559" s="14"/>
    </row>
    <row r="560" spans="1:5" ht="14.25" customHeight="1" x14ac:dyDescent="0.3">
      <c r="A560" s="15"/>
      <c r="B560" s="15"/>
      <c r="C560" s="15"/>
      <c r="D560" s="15"/>
      <c r="E560" s="14"/>
    </row>
    <row r="561" spans="1:5" ht="14.25" customHeight="1" x14ac:dyDescent="0.3">
      <c r="A561" s="15"/>
      <c r="B561" s="15"/>
      <c r="C561" s="15"/>
      <c r="D561" s="15"/>
      <c r="E561" s="14"/>
    </row>
    <row r="562" spans="1:5" ht="14.25" customHeight="1" x14ac:dyDescent="0.3">
      <c r="A562" s="15"/>
      <c r="B562" s="15"/>
      <c r="C562" s="15"/>
      <c r="D562" s="15"/>
      <c r="E562" s="14"/>
    </row>
    <row r="563" spans="1:5" ht="14.25" customHeight="1" x14ac:dyDescent="0.3">
      <c r="A563" s="15"/>
      <c r="B563" s="15"/>
      <c r="C563" s="15"/>
      <c r="D563" s="15"/>
      <c r="E563" s="14"/>
    </row>
    <row r="564" spans="1:5" ht="14.25" customHeight="1" x14ac:dyDescent="0.3">
      <c r="A564" s="15"/>
      <c r="B564" s="15"/>
      <c r="C564" s="15"/>
      <c r="D564" s="15"/>
      <c r="E564" s="14"/>
    </row>
    <row r="565" spans="1:5" ht="14.25" customHeight="1" x14ac:dyDescent="0.3">
      <c r="A565" s="15"/>
      <c r="B565" s="15"/>
      <c r="C565" s="15"/>
      <c r="D565" s="15"/>
      <c r="E565" s="14"/>
    </row>
    <row r="566" spans="1:5" ht="14.25" customHeight="1" x14ac:dyDescent="0.3">
      <c r="A566" s="15"/>
      <c r="B566" s="15"/>
      <c r="C566" s="15"/>
      <c r="D566" s="15"/>
      <c r="E566" s="14"/>
    </row>
    <row r="567" spans="1:5" ht="14.25" customHeight="1" x14ac:dyDescent="0.3">
      <c r="A567" s="15"/>
      <c r="B567" s="15"/>
      <c r="C567" s="15"/>
      <c r="D567" s="15"/>
      <c r="E567" s="14"/>
    </row>
    <row r="568" spans="1:5" ht="14.25" customHeight="1" x14ac:dyDescent="0.3">
      <c r="A568" s="15"/>
      <c r="B568" s="15"/>
      <c r="C568" s="15"/>
      <c r="D568" s="15"/>
      <c r="E568" s="14"/>
    </row>
    <row r="569" spans="1:5" ht="14.25" customHeight="1" x14ac:dyDescent="0.3">
      <c r="A569" s="15"/>
      <c r="B569" s="15"/>
      <c r="C569" s="15"/>
      <c r="D569" s="15"/>
      <c r="E569" s="14"/>
    </row>
    <row r="570" spans="1:5" ht="14.25" customHeight="1" x14ac:dyDescent="0.3">
      <c r="A570" s="15"/>
      <c r="B570" s="15"/>
      <c r="C570" s="15"/>
      <c r="D570" s="15"/>
      <c r="E570" s="14"/>
    </row>
    <row r="571" spans="1:5" ht="14.25" customHeight="1" x14ac:dyDescent="0.3">
      <c r="A571" s="15"/>
      <c r="B571" s="15"/>
      <c r="C571" s="15"/>
      <c r="D571" s="15"/>
      <c r="E571" s="14"/>
    </row>
    <row r="572" spans="1:5" ht="14.25" customHeight="1" x14ac:dyDescent="0.3">
      <c r="A572" s="15"/>
      <c r="B572" s="15"/>
      <c r="C572" s="15"/>
      <c r="D572" s="15"/>
      <c r="E572" s="14"/>
    </row>
    <row r="573" spans="1:5" ht="14.25" customHeight="1" x14ac:dyDescent="0.3">
      <c r="A573" s="15"/>
      <c r="B573" s="15"/>
      <c r="C573" s="15"/>
      <c r="D573" s="15"/>
      <c r="E573" s="14"/>
    </row>
    <row r="574" spans="1:5" ht="14.25" customHeight="1" x14ac:dyDescent="0.3">
      <c r="A574" s="15"/>
      <c r="B574" s="15"/>
      <c r="C574" s="15"/>
      <c r="D574" s="15"/>
      <c r="E574" s="14"/>
    </row>
    <row r="575" spans="1:5" ht="14.25" customHeight="1" x14ac:dyDescent="0.3">
      <c r="A575" s="15"/>
      <c r="B575" s="15"/>
      <c r="C575" s="15"/>
      <c r="D575" s="15"/>
      <c r="E575" s="14"/>
    </row>
    <row r="576" spans="1:5" ht="14.25" customHeight="1" x14ac:dyDescent="0.3">
      <c r="A576" s="15"/>
      <c r="B576" s="15"/>
      <c r="C576" s="15"/>
      <c r="D576" s="15"/>
      <c r="E576" s="14"/>
    </row>
    <row r="577" spans="1:5" ht="14.25" customHeight="1" x14ac:dyDescent="0.3">
      <c r="A577" s="15"/>
      <c r="B577" s="15"/>
      <c r="C577" s="15"/>
      <c r="D577" s="15"/>
      <c r="E577" s="14"/>
    </row>
    <row r="578" spans="1:5" ht="14.25" customHeight="1" x14ac:dyDescent="0.3">
      <c r="A578" s="15"/>
      <c r="B578" s="15"/>
      <c r="C578" s="15"/>
      <c r="D578" s="15"/>
      <c r="E578" s="14"/>
    </row>
    <row r="579" spans="1:5" ht="14.25" customHeight="1" x14ac:dyDescent="0.3">
      <c r="A579" s="15"/>
      <c r="B579" s="15"/>
      <c r="C579" s="15"/>
      <c r="D579" s="15"/>
      <c r="E579" s="14"/>
    </row>
    <row r="580" spans="1:5" ht="14.25" customHeight="1" x14ac:dyDescent="0.3">
      <c r="A580" s="15"/>
      <c r="B580" s="15"/>
      <c r="C580" s="15"/>
      <c r="D580" s="15"/>
      <c r="E580" s="14"/>
    </row>
    <row r="581" spans="1:5" ht="14.25" customHeight="1" x14ac:dyDescent="0.3">
      <c r="A581" s="15"/>
      <c r="B581" s="15"/>
      <c r="C581" s="15"/>
      <c r="D581" s="15"/>
      <c r="E581" s="14"/>
    </row>
    <row r="582" spans="1:5" ht="14.25" customHeight="1" x14ac:dyDescent="0.3">
      <c r="A582" s="15"/>
      <c r="B582" s="15"/>
      <c r="C582" s="15"/>
      <c r="D582" s="15"/>
      <c r="E582" s="14"/>
    </row>
    <row r="583" spans="1:5" ht="14.25" customHeight="1" x14ac:dyDescent="0.3">
      <c r="A583" s="15"/>
      <c r="B583" s="15"/>
      <c r="C583" s="15"/>
      <c r="D583" s="15"/>
      <c r="E583" s="14"/>
    </row>
    <row r="584" spans="1:5" ht="14.25" customHeight="1" x14ac:dyDescent="0.3">
      <c r="A584" s="15"/>
      <c r="B584" s="15"/>
      <c r="C584" s="15"/>
      <c r="D584" s="15"/>
      <c r="E584" s="14"/>
    </row>
    <row r="585" spans="1:5" ht="14.25" customHeight="1" x14ac:dyDescent="0.3">
      <c r="A585" s="15"/>
      <c r="B585" s="15"/>
      <c r="C585" s="15"/>
      <c r="D585" s="15"/>
      <c r="E585" s="14"/>
    </row>
    <row r="586" spans="1:5" ht="14.25" customHeight="1" x14ac:dyDescent="0.3">
      <c r="A586" s="15"/>
      <c r="B586" s="15"/>
      <c r="C586" s="15"/>
      <c r="D586" s="15"/>
      <c r="E586" s="14"/>
    </row>
    <row r="587" spans="1:5" ht="14.25" customHeight="1" x14ac:dyDescent="0.3">
      <c r="A587" s="15"/>
      <c r="B587" s="15"/>
      <c r="C587" s="15"/>
      <c r="D587" s="15"/>
      <c r="E587" s="14"/>
    </row>
    <row r="588" spans="1:5" ht="14.25" customHeight="1" x14ac:dyDescent="0.3">
      <c r="A588" s="15"/>
      <c r="B588" s="15"/>
      <c r="C588" s="15"/>
      <c r="D588" s="15"/>
      <c r="E588" s="14"/>
    </row>
    <row r="589" spans="1:5" ht="14.25" customHeight="1" x14ac:dyDescent="0.3">
      <c r="A589" s="15"/>
      <c r="B589" s="15"/>
      <c r="C589" s="15"/>
      <c r="D589" s="15"/>
      <c r="E589" s="14"/>
    </row>
    <row r="590" spans="1:5" ht="14.25" customHeight="1" x14ac:dyDescent="0.3">
      <c r="A590" s="15"/>
      <c r="B590" s="15"/>
      <c r="C590" s="15"/>
      <c r="D590" s="15"/>
      <c r="E590" s="14"/>
    </row>
    <row r="591" spans="1:5" ht="14.25" customHeight="1" x14ac:dyDescent="0.3">
      <c r="A591" s="15"/>
      <c r="B591" s="15"/>
      <c r="C591" s="15"/>
      <c r="D591" s="15"/>
      <c r="E591" s="14"/>
    </row>
    <row r="592" spans="1:5" ht="14.25" customHeight="1" x14ac:dyDescent="0.3">
      <c r="A592" s="15"/>
      <c r="B592" s="15"/>
      <c r="C592" s="15"/>
      <c r="D592" s="15"/>
      <c r="E592" s="14"/>
    </row>
    <row r="593" spans="1:5" ht="14.25" customHeight="1" x14ac:dyDescent="0.3">
      <c r="A593" s="15"/>
      <c r="B593" s="15"/>
      <c r="C593" s="15"/>
      <c r="D593" s="15"/>
      <c r="E593" s="14"/>
    </row>
    <row r="594" spans="1:5" ht="14.25" customHeight="1" x14ac:dyDescent="0.3">
      <c r="A594" s="15"/>
      <c r="B594" s="15"/>
      <c r="C594" s="15"/>
      <c r="D594" s="15"/>
      <c r="E594" s="14"/>
    </row>
    <row r="595" spans="1:5" ht="14.25" customHeight="1" x14ac:dyDescent="0.3">
      <c r="A595" s="15"/>
      <c r="B595" s="15"/>
      <c r="C595" s="15"/>
      <c r="D595" s="15"/>
      <c r="E595" s="14"/>
    </row>
    <row r="596" spans="1:5" ht="14.25" customHeight="1" x14ac:dyDescent="0.3">
      <c r="A596" s="15"/>
      <c r="B596" s="15"/>
      <c r="C596" s="15"/>
      <c r="D596" s="15"/>
      <c r="E596" s="14"/>
    </row>
    <row r="597" spans="1:5" ht="14.25" customHeight="1" x14ac:dyDescent="0.3">
      <c r="A597" s="15"/>
      <c r="B597" s="15"/>
      <c r="C597" s="15"/>
      <c r="D597" s="15"/>
      <c r="E597" s="14"/>
    </row>
    <row r="598" spans="1:5" ht="14.25" customHeight="1" x14ac:dyDescent="0.3">
      <c r="A598" s="15"/>
      <c r="B598" s="15"/>
      <c r="C598" s="15"/>
      <c r="D598" s="15"/>
      <c r="E598" s="14"/>
    </row>
    <row r="599" spans="1:5" ht="14.25" customHeight="1" x14ac:dyDescent="0.3">
      <c r="A599" s="15"/>
      <c r="B599" s="15"/>
      <c r="C599" s="15"/>
      <c r="D599" s="15"/>
      <c r="E599" s="14"/>
    </row>
    <row r="600" spans="1:5" ht="14.25" customHeight="1" x14ac:dyDescent="0.3">
      <c r="A600" s="15"/>
      <c r="B600" s="15"/>
      <c r="C600" s="15"/>
      <c r="D600" s="15"/>
      <c r="E600" s="14"/>
    </row>
    <row r="601" spans="1:5" ht="14.25" customHeight="1" x14ac:dyDescent="0.3">
      <c r="A601" s="15"/>
      <c r="B601" s="15"/>
      <c r="C601" s="15"/>
      <c r="D601" s="15"/>
      <c r="E601" s="14"/>
    </row>
    <row r="602" spans="1:5" ht="14.25" customHeight="1" x14ac:dyDescent="0.3">
      <c r="A602" s="15"/>
      <c r="B602" s="15"/>
      <c r="C602" s="15"/>
      <c r="D602" s="15"/>
      <c r="E602" s="14"/>
    </row>
    <row r="603" spans="1:5" ht="14.25" customHeight="1" x14ac:dyDescent="0.3">
      <c r="A603" s="15"/>
      <c r="B603" s="15"/>
      <c r="C603" s="15"/>
      <c r="D603" s="15"/>
      <c r="E603" s="14"/>
    </row>
    <row r="604" spans="1:5" ht="14.25" customHeight="1" x14ac:dyDescent="0.3">
      <c r="A604" s="15"/>
      <c r="B604" s="15"/>
      <c r="C604" s="15"/>
      <c r="D604" s="15"/>
      <c r="E604" s="14"/>
    </row>
    <row r="605" spans="1:5" ht="14.25" customHeight="1" x14ac:dyDescent="0.3">
      <c r="A605" s="15"/>
      <c r="B605" s="15"/>
      <c r="C605" s="15"/>
      <c r="D605" s="15"/>
      <c r="E605" s="14"/>
    </row>
    <row r="606" spans="1:5" ht="14.25" customHeight="1" x14ac:dyDescent="0.3">
      <c r="A606" s="15"/>
      <c r="B606" s="15"/>
      <c r="C606" s="15"/>
      <c r="D606" s="15"/>
      <c r="E606" s="14"/>
    </row>
    <row r="607" spans="1:5" ht="14.25" customHeight="1" x14ac:dyDescent="0.3">
      <c r="A607" s="15"/>
      <c r="B607" s="15"/>
      <c r="C607" s="15"/>
      <c r="D607" s="15"/>
      <c r="E607" s="14"/>
    </row>
    <row r="608" spans="1:5" ht="14.25" customHeight="1" x14ac:dyDescent="0.3">
      <c r="A608" s="15"/>
      <c r="B608" s="15"/>
      <c r="C608" s="15"/>
      <c r="D608" s="15"/>
      <c r="E608" s="14"/>
    </row>
    <row r="609" spans="1:5" ht="14.25" customHeight="1" x14ac:dyDescent="0.3">
      <c r="A609" s="15"/>
      <c r="B609" s="15"/>
      <c r="C609" s="15"/>
      <c r="D609" s="15"/>
      <c r="E609" s="14"/>
    </row>
    <row r="610" spans="1:5" ht="14.25" customHeight="1" x14ac:dyDescent="0.3">
      <c r="A610" s="15"/>
      <c r="B610" s="15"/>
      <c r="C610" s="15"/>
      <c r="D610" s="15"/>
      <c r="E610" s="14"/>
    </row>
    <row r="611" spans="1:5" ht="14.25" customHeight="1" x14ac:dyDescent="0.3">
      <c r="A611" s="15"/>
      <c r="B611" s="15"/>
      <c r="C611" s="15"/>
      <c r="D611" s="15"/>
      <c r="E611" s="14"/>
    </row>
    <row r="612" spans="1:5" ht="14.25" customHeight="1" x14ac:dyDescent="0.3">
      <c r="A612" s="15"/>
      <c r="B612" s="15"/>
      <c r="C612" s="15"/>
      <c r="D612" s="15"/>
      <c r="E612" s="14"/>
    </row>
    <row r="613" spans="1:5" ht="14.25" customHeight="1" x14ac:dyDescent="0.3">
      <c r="A613" s="15"/>
      <c r="B613" s="15"/>
      <c r="C613" s="15"/>
      <c r="D613" s="15"/>
      <c r="E613" s="14"/>
    </row>
    <row r="614" spans="1:5" ht="14.25" customHeight="1" x14ac:dyDescent="0.3">
      <c r="A614" s="15"/>
      <c r="B614" s="15"/>
      <c r="C614" s="15"/>
      <c r="D614" s="15"/>
      <c r="E614" s="14"/>
    </row>
    <row r="615" spans="1:5" ht="14.25" customHeight="1" x14ac:dyDescent="0.3">
      <c r="A615" s="15"/>
      <c r="B615" s="15"/>
      <c r="C615" s="15"/>
      <c r="D615" s="15"/>
      <c r="E615" s="14"/>
    </row>
    <row r="616" spans="1:5" ht="14.25" customHeight="1" x14ac:dyDescent="0.3">
      <c r="A616" s="15"/>
      <c r="B616" s="15"/>
      <c r="C616" s="15"/>
      <c r="D616" s="15"/>
      <c r="E616" s="14"/>
    </row>
    <row r="617" spans="1:5" ht="14.25" customHeight="1" x14ac:dyDescent="0.3">
      <c r="A617" s="15"/>
      <c r="B617" s="15"/>
      <c r="C617" s="15"/>
      <c r="D617" s="15"/>
      <c r="E617" s="14"/>
    </row>
    <row r="618" spans="1:5" ht="14.25" customHeight="1" x14ac:dyDescent="0.3">
      <c r="A618" s="15"/>
      <c r="B618" s="15"/>
      <c r="C618" s="15"/>
      <c r="D618" s="15"/>
      <c r="E618" s="14"/>
    </row>
    <row r="619" spans="1:5" ht="14.25" customHeight="1" x14ac:dyDescent="0.3">
      <c r="A619" s="15"/>
      <c r="B619" s="15"/>
      <c r="C619" s="15"/>
      <c r="D619" s="15"/>
      <c r="E619" s="14"/>
    </row>
    <row r="620" spans="1:5" ht="14.25" customHeight="1" x14ac:dyDescent="0.3">
      <c r="A620" s="15"/>
      <c r="B620" s="15"/>
      <c r="C620" s="15"/>
      <c r="D620" s="15"/>
      <c r="E620" s="14"/>
    </row>
    <row r="621" spans="1:5" ht="14.25" customHeight="1" x14ac:dyDescent="0.3">
      <c r="A621" s="15"/>
      <c r="B621" s="15"/>
      <c r="C621" s="15"/>
      <c r="D621" s="15"/>
      <c r="E621" s="14"/>
    </row>
    <row r="622" spans="1:5" ht="14.25" customHeight="1" x14ac:dyDescent="0.3">
      <c r="A622" s="15"/>
      <c r="B622" s="15"/>
      <c r="C622" s="15"/>
      <c r="D622" s="15"/>
      <c r="E622" s="14"/>
    </row>
    <row r="623" spans="1:5" ht="14.25" customHeight="1" x14ac:dyDescent="0.3">
      <c r="A623" s="15"/>
      <c r="B623" s="15"/>
      <c r="C623" s="15"/>
      <c r="D623" s="15"/>
      <c r="E623" s="14"/>
    </row>
    <row r="624" spans="1:5" ht="14.25" customHeight="1" x14ac:dyDescent="0.3">
      <c r="A624" s="15"/>
      <c r="B624" s="15"/>
      <c r="C624" s="15"/>
      <c r="D624" s="15"/>
      <c r="E624" s="14"/>
    </row>
    <row r="625" spans="1:5" ht="14.25" customHeight="1" x14ac:dyDescent="0.3">
      <c r="A625" s="15"/>
      <c r="B625" s="15"/>
      <c r="C625" s="15"/>
      <c r="D625" s="15"/>
      <c r="E625" s="14"/>
    </row>
    <row r="626" spans="1:5" ht="14.25" customHeight="1" x14ac:dyDescent="0.3">
      <c r="A626" s="15"/>
      <c r="B626" s="15"/>
      <c r="C626" s="15"/>
      <c r="D626" s="15"/>
      <c r="E626" s="14"/>
    </row>
    <row r="627" spans="1:5" ht="14.25" customHeight="1" x14ac:dyDescent="0.3">
      <c r="A627" s="15"/>
      <c r="B627" s="15"/>
      <c r="C627" s="15"/>
      <c r="D627" s="15"/>
      <c r="E627" s="14"/>
    </row>
    <row r="628" spans="1:5" ht="14.25" customHeight="1" x14ac:dyDescent="0.3">
      <c r="A628" s="15"/>
      <c r="B628" s="15"/>
      <c r="C628" s="15"/>
      <c r="D628" s="15"/>
      <c r="E628" s="14"/>
    </row>
    <row r="629" spans="1:5" ht="14.25" customHeight="1" x14ac:dyDescent="0.3">
      <c r="A629" s="15"/>
      <c r="B629" s="15"/>
      <c r="C629" s="15"/>
      <c r="D629" s="15"/>
      <c r="E629" s="14"/>
    </row>
    <row r="630" spans="1:5" ht="14.25" customHeight="1" x14ac:dyDescent="0.3">
      <c r="A630" s="15"/>
      <c r="B630" s="15"/>
      <c r="C630" s="15"/>
      <c r="D630" s="15"/>
      <c r="E630" s="14"/>
    </row>
    <row r="631" spans="1:5" ht="14.25" customHeight="1" x14ac:dyDescent="0.3">
      <c r="A631" s="15"/>
      <c r="B631" s="15"/>
      <c r="C631" s="15"/>
      <c r="D631" s="15"/>
      <c r="E631" s="14"/>
    </row>
    <row r="632" spans="1:5" ht="14.25" customHeight="1" x14ac:dyDescent="0.3">
      <c r="A632" s="15"/>
      <c r="B632" s="15"/>
      <c r="C632" s="15"/>
      <c r="D632" s="15"/>
      <c r="E632" s="14"/>
    </row>
    <row r="633" spans="1:5" ht="14.25" customHeight="1" x14ac:dyDescent="0.3">
      <c r="A633" s="15"/>
      <c r="B633" s="15"/>
      <c r="C633" s="15"/>
      <c r="D633" s="15"/>
      <c r="E633" s="14"/>
    </row>
    <row r="634" spans="1:5" ht="14.25" customHeight="1" x14ac:dyDescent="0.3">
      <c r="A634" s="15"/>
      <c r="B634" s="15"/>
      <c r="C634" s="15"/>
      <c r="D634" s="15"/>
      <c r="E634" s="14"/>
    </row>
    <row r="635" spans="1:5" ht="14.25" customHeight="1" x14ac:dyDescent="0.3">
      <c r="A635" s="15"/>
      <c r="B635" s="15"/>
      <c r="C635" s="15"/>
      <c r="D635" s="15"/>
      <c r="E635" s="14"/>
    </row>
    <row r="636" spans="1:5" ht="14.25" customHeight="1" x14ac:dyDescent="0.3">
      <c r="A636" s="15"/>
      <c r="B636" s="15"/>
      <c r="C636" s="15"/>
      <c r="D636" s="15"/>
      <c r="E636" s="14"/>
    </row>
    <row r="637" spans="1:5" ht="14.25" customHeight="1" x14ac:dyDescent="0.3">
      <c r="A637" s="15"/>
      <c r="B637" s="15"/>
      <c r="C637" s="15"/>
      <c r="D637" s="15"/>
      <c r="E637" s="14"/>
    </row>
    <row r="638" spans="1:5" ht="14.25" customHeight="1" x14ac:dyDescent="0.3">
      <c r="A638" s="15"/>
      <c r="B638" s="15"/>
      <c r="C638" s="15"/>
      <c r="D638" s="15"/>
      <c r="E638" s="14"/>
    </row>
    <row r="639" spans="1:5" ht="14.25" customHeight="1" x14ac:dyDescent="0.3">
      <c r="A639" s="15"/>
      <c r="B639" s="15"/>
      <c r="C639" s="15"/>
      <c r="D639" s="15"/>
      <c r="E639" s="14"/>
    </row>
    <row r="640" spans="1:5" ht="14.25" customHeight="1" x14ac:dyDescent="0.3">
      <c r="A640" s="15"/>
      <c r="B640" s="15"/>
      <c r="C640" s="15"/>
      <c r="D640" s="15"/>
      <c r="E640" s="14"/>
    </row>
    <row r="641" spans="1:5" ht="14.25" customHeight="1" x14ac:dyDescent="0.3">
      <c r="A641" s="15"/>
      <c r="B641" s="15"/>
      <c r="C641" s="15"/>
      <c r="D641" s="15"/>
      <c r="E641" s="14"/>
    </row>
    <row r="642" spans="1:5" ht="14.25" customHeight="1" x14ac:dyDescent="0.3">
      <c r="A642" s="15"/>
      <c r="B642" s="15"/>
      <c r="C642" s="15"/>
      <c r="D642" s="15"/>
      <c r="E642" s="14"/>
    </row>
    <row r="643" spans="1:5" ht="14.25" customHeight="1" x14ac:dyDescent="0.3">
      <c r="A643" s="15"/>
      <c r="B643" s="15"/>
      <c r="C643" s="15"/>
      <c r="D643" s="15"/>
      <c r="E643" s="14"/>
    </row>
    <row r="644" spans="1:5" ht="14.25" customHeight="1" x14ac:dyDescent="0.3">
      <c r="A644" s="15"/>
      <c r="B644" s="15"/>
      <c r="C644" s="15"/>
      <c r="D644" s="15"/>
      <c r="E644" s="14"/>
    </row>
    <row r="645" spans="1:5" ht="14.25" customHeight="1" x14ac:dyDescent="0.3">
      <c r="A645" s="15"/>
      <c r="B645" s="15"/>
      <c r="C645" s="15"/>
      <c r="D645" s="15"/>
      <c r="E645" s="14"/>
    </row>
    <row r="646" spans="1:5" ht="14.25" customHeight="1" x14ac:dyDescent="0.3">
      <c r="A646" s="15"/>
      <c r="B646" s="15"/>
      <c r="C646" s="15"/>
      <c r="D646" s="15"/>
      <c r="E646" s="14"/>
    </row>
    <row r="647" spans="1:5" ht="14.25" customHeight="1" x14ac:dyDescent="0.3">
      <c r="A647" s="15"/>
      <c r="B647" s="15"/>
      <c r="C647" s="15"/>
      <c r="D647" s="15"/>
      <c r="E647" s="14"/>
    </row>
    <row r="648" spans="1:5" ht="14.25" customHeight="1" x14ac:dyDescent="0.3">
      <c r="A648" s="15"/>
      <c r="B648" s="15"/>
      <c r="C648" s="15"/>
      <c r="D648" s="15"/>
      <c r="E648" s="14"/>
    </row>
    <row r="649" spans="1:5" ht="14.25" customHeight="1" x14ac:dyDescent="0.3">
      <c r="A649" s="15"/>
      <c r="B649" s="15"/>
      <c r="C649" s="15"/>
      <c r="D649" s="15"/>
      <c r="E649" s="14"/>
    </row>
    <row r="650" spans="1:5" ht="14.25" customHeight="1" x14ac:dyDescent="0.3">
      <c r="A650" s="15"/>
      <c r="B650" s="15"/>
      <c r="C650" s="15"/>
      <c r="D650" s="15"/>
      <c r="E650" s="14"/>
    </row>
    <row r="651" spans="1:5" ht="14.25" customHeight="1" x14ac:dyDescent="0.3">
      <c r="A651" s="15"/>
      <c r="B651" s="15"/>
      <c r="C651" s="15"/>
      <c r="D651" s="15"/>
      <c r="E651" s="14"/>
    </row>
    <row r="652" spans="1:5" ht="14.25" customHeight="1" x14ac:dyDescent="0.3">
      <c r="A652" s="15"/>
      <c r="B652" s="15"/>
      <c r="C652" s="15"/>
      <c r="D652" s="15"/>
      <c r="E652" s="14"/>
    </row>
    <row r="653" spans="1:5" ht="14.25" customHeight="1" x14ac:dyDescent="0.3">
      <c r="A653" s="15"/>
      <c r="B653" s="15"/>
      <c r="C653" s="15"/>
      <c r="D653" s="15"/>
      <c r="E653" s="14"/>
    </row>
    <row r="654" spans="1:5" ht="14.25" customHeight="1" x14ac:dyDescent="0.3">
      <c r="A654" s="15"/>
      <c r="B654" s="15"/>
      <c r="C654" s="15"/>
      <c r="D654" s="15"/>
      <c r="E654" s="14"/>
    </row>
    <row r="655" spans="1:5" ht="14.25" customHeight="1" x14ac:dyDescent="0.3">
      <c r="A655" s="15"/>
      <c r="B655" s="15"/>
      <c r="C655" s="15"/>
      <c r="D655" s="15"/>
      <c r="E655" s="14"/>
    </row>
    <row r="656" spans="1:5" ht="14.25" customHeight="1" x14ac:dyDescent="0.3">
      <c r="A656" s="15"/>
      <c r="B656" s="15"/>
      <c r="C656" s="15"/>
      <c r="D656" s="15"/>
      <c r="E656" s="14"/>
    </row>
    <row r="657" spans="1:5" ht="14.25" customHeight="1" x14ac:dyDescent="0.3">
      <c r="A657" s="15"/>
      <c r="B657" s="15"/>
      <c r="C657" s="15"/>
      <c r="D657" s="15"/>
      <c r="E657" s="14"/>
    </row>
    <row r="658" spans="1:5" ht="14.25" customHeight="1" x14ac:dyDescent="0.3">
      <c r="A658" s="15"/>
      <c r="B658" s="15"/>
      <c r="C658" s="15"/>
      <c r="D658" s="15"/>
      <c r="E658" s="14"/>
    </row>
    <row r="659" spans="1:5" ht="14.25" customHeight="1" x14ac:dyDescent="0.3">
      <c r="A659" s="15"/>
      <c r="B659" s="15"/>
      <c r="C659" s="15"/>
      <c r="D659" s="15"/>
      <c r="E659" s="14"/>
    </row>
    <row r="660" spans="1:5" ht="14.25" customHeight="1" x14ac:dyDescent="0.3">
      <c r="A660" s="15"/>
      <c r="B660" s="15"/>
      <c r="C660" s="15"/>
      <c r="D660" s="15"/>
      <c r="E660" s="14"/>
    </row>
    <row r="661" spans="1:5" ht="14.25" customHeight="1" x14ac:dyDescent="0.3">
      <c r="A661" s="15"/>
      <c r="B661" s="15"/>
      <c r="C661" s="15"/>
      <c r="D661" s="15"/>
      <c r="E661" s="14"/>
    </row>
    <row r="662" spans="1:5" ht="14.25" customHeight="1" x14ac:dyDescent="0.3">
      <c r="A662" s="15"/>
      <c r="B662" s="15"/>
      <c r="C662" s="15"/>
      <c r="D662" s="15"/>
      <c r="E662" s="14"/>
    </row>
    <row r="663" spans="1:5" ht="14.25" customHeight="1" x14ac:dyDescent="0.3">
      <c r="A663" s="15"/>
      <c r="B663" s="15"/>
      <c r="C663" s="15"/>
      <c r="D663" s="15"/>
      <c r="E663" s="14"/>
    </row>
    <row r="664" spans="1:5" ht="14.25" customHeight="1" x14ac:dyDescent="0.3">
      <c r="A664" s="15"/>
      <c r="B664" s="15"/>
      <c r="C664" s="15"/>
      <c r="D664" s="15"/>
      <c r="E664" s="14"/>
    </row>
    <row r="665" spans="1:5" ht="14.25" customHeight="1" x14ac:dyDescent="0.3">
      <c r="A665" s="15"/>
      <c r="B665" s="15"/>
      <c r="C665" s="15"/>
      <c r="D665" s="15"/>
      <c r="E665" s="14"/>
    </row>
    <row r="666" spans="1:5" ht="14.25" customHeight="1" x14ac:dyDescent="0.3">
      <c r="A666" s="15"/>
      <c r="B666" s="15"/>
      <c r="C666" s="15"/>
      <c r="D666" s="15"/>
      <c r="E666" s="14"/>
    </row>
    <row r="667" spans="1:5" ht="14.25" customHeight="1" x14ac:dyDescent="0.3">
      <c r="A667" s="15"/>
      <c r="B667" s="15"/>
      <c r="C667" s="15"/>
      <c r="D667" s="15"/>
      <c r="E667" s="14"/>
    </row>
    <row r="668" spans="1:5" ht="14.25" customHeight="1" x14ac:dyDescent="0.3">
      <c r="A668" s="15"/>
      <c r="B668" s="15"/>
      <c r="C668" s="15"/>
      <c r="D668" s="15"/>
      <c r="E668" s="14"/>
    </row>
    <row r="669" spans="1:5" ht="14.25" customHeight="1" x14ac:dyDescent="0.3">
      <c r="A669" s="15"/>
      <c r="B669" s="15"/>
      <c r="C669" s="15"/>
      <c r="D669" s="15"/>
      <c r="E669" s="14"/>
    </row>
    <row r="670" spans="1:5" ht="14.25" customHeight="1" x14ac:dyDescent="0.3">
      <c r="A670" s="15"/>
      <c r="B670" s="15"/>
      <c r="C670" s="15"/>
      <c r="D670" s="15"/>
      <c r="E670" s="14"/>
    </row>
    <row r="671" spans="1:5" ht="14.25" customHeight="1" x14ac:dyDescent="0.3">
      <c r="A671" s="15"/>
      <c r="B671" s="15"/>
      <c r="C671" s="15"/>
      <c r="D671" s="15"/>
      <c r="E671" s="14"/>
    </row>
    <row r="672" spans="1:5" ht="14.25" customHeight="1" x14ac:dyDescent="0.3">
      <c r="A672" s="15"/>
      <c r="B672" s="15"/>
      <c r="C672" s="15"/>
      <c r="D672" s="15"/>
      <c r="E672" s="14"/>
    </row>
    <row r="673" spans="1:5" ht="14.25" customHeight="1" x14ac:dyDescent="0.3">
      <c r="A673" s="15"/>
      <c r="B673" s="15"/>
      <c r="C673" s="15"/>
      <c r="D673" s="15"/>
      <c r="E673" s="14"/>
    </row>
    <row r="674" spans="1:5" ht="14.25" customHeight="1" x14ac:dyDescent="0.3">
      <c r="A674" s="15"/>
      <c r="B674" s="15"/>
      <c r="C674" s="15"/>
      <c r="D674" s="15"/>
      <c r="E674" s="14"/>
    </row>
    <row r="675" spans="1:5" ht="14.25" customHeight="1" x14ac:dyDescent="0.3">
      <c r="A675" s="15"/>
      <c r="B675" s="15"/>
      <c r="C675" s="15"/>
      <c r="D675" s="15"/>
      <c r="E675" s="14"/>
    </row>
    <row r="676" spans="1:5" ht="14.25" customHeight="1" x14ac:dyDescent="0.3">
      <c r="A676" s="15"/>
      <c r="B676" s="15"/>
      <c r="C676" s="15"/>
      <c r="D676" s="15"/>
      <c r="E676" s="14"/>
    </row>
    <row r="677" spans="1:5" ht="14.25" customHeight="1" x14ac:dyDescent="0.3">
      <c r="A677" s="15"/>
      <c r="B677" s="15"/>
      <c r="C677" s="15"/>
      <c r="D677" s="15"/>
      <c r="E677" s="14"/>
    </row>
    <row r="678" spans="1:5" ht="14.25" customHeight="1" x14ac:dyDescent="0.3">
      <c r="A678" s="15"/>
      <c r="B678" s="15"/>
      <c r="C678" s="15"/>
      <c r="D678" s="15"/>
      <c r="E678" s="14"/>
    </row>
    <row r="679" spans="1:5" ht="14.25" customHeight="1" x14ac:dyDescent="0.3">
      <c r="A679" s="15"/>
      <c r="B679" s="15"/>
      <c r="C679" s="15"/>
      <c r="D679" s="15"/>
      <c r="E679" s="14"/>
    </row>
    <row r="680" spans="1:5" ht="14.25" customHeight="1" x14ac:dyDescent="0.3">
      <c r="A680" s="15"/>
      <c r="B680" s="15"/>
      <c r="C680" s="15"/>
      <c r="D680" s="15"/>
      <c r="E680" s="14"/>
    </row>
    <row r="681" spans="1:5" ht="14.25" customHeight="1" x14ac:dyDescent="0.3">
      <c r="A681" s="15"/>
      <c r="B681" s="15"/>
      <c r="C681" s="15"/>
      <c r="D681" s="15"/>
      <c r="E681" s="14"/>
    </row>
    <row r="682" spans="1:5" ht="14.25" customHeight="1" x14ac:dyDescent="0.3">
      <c r="A682" s="15"/>
      <c r="B682" s="15"/>
      <c r="C682" s="15"/>
      <c r="D682" s="15"/>
      <c r="E682" s="14"/>
    </row>
    <row r="683" spans="1:5" ht="14.25" customHeight="1" x14ac:dyDescent="0.3">
      <c r="A683" s="15"/>
      <c r="B683" s="15"/>
      <c r="C683" s="15"/>
      <c r="D683" s="15"/>
      <c r="E683" s="14"/>
    </row>
    <row r="684" spans="1:5" ht="14.25" customHeight="1" x14ac:dyDescent="0.3">
      <c r="A684" s="15"/>
      <c r="B684" s="15"/>
      <c r="C684" s="15"/>
      <c r="D684" s="15"/>
      <c r="E684" s="14"/>
    </row>
    <row r="685" spans="1:5" ht="14.25" customHeight="1" x14ac:dyDescent="0.3">
      <c r="A685" s="15"/>
      <c r="B685" s="15"/>
      <c r="C685" s="15"/>
      <c r="D685" s="15"/>
      <c r="E685" s="14"/>
    </row>
    <row r="686" spans="1:5" ht="14.25" customHeight="1" x14ac:dyDescent="0.3">
      <c r="A686" s="15"/>
      <c r="B686" s="15"/>
      <c r="C686" s="15"/>
      <c r="D686" s="15"/>
      <c r="E686" s="14"/>
    </row>
    <row r="687" spans="1:5" ht="14.25" customHeight="1" x14ac:dyDescent="0.3">
      <c r="A687" s="15"/>
      <c r="B687" s="15"/>
      <c r="C687" s="15"/>
      <c r="D687" s="15"/>
      <c r="E687" s="14"/>
    </row>
    <row r="688" spans="1:5" ht="14.25" customHeight="1" x14ac:dyDescent="0.3">
      <c r="A688" s="15"/>
      <c r="B688" s="15"/>
      <c r="C688" s="15"/>
      <c r="D688" s="15"/>
      <c r="E688" s="14"/>
    </row>
    <row r="689" spans="1:5" ht="14.25" customHeight="1" x14ac:dyDescent="0.3">
      <c r="A689" s="15"/>
      <c r="B689" s="15"/>
      <c r="C689" s="15"/>
      <c r="D689" s="15"/>
      <c r="E689" s="14"/>
    </row>
    <row r="690" spans="1:5" ht="14.25" customHeight="1" x14ac:dyDescent="0.3">
      <c r="A690" s="15"/>
      <c r="B690" s="15"/>
      <c r="C690" s="15"/>
      <c r="D690" s="15"/>
      <c r="E690" s="14"/>
    </row>
    <row r="691" spans="1:5" ht="14.25" customHeight="1" x14ac:dyDescent="0.3">
      <c r="A691" s="15"/>
      <c r="B691" s="15"/>
      <c r="C691" s="15"/>
      <c r="D691" s="15"/>
      <c r="E691" s="14"/>
    </row>
    <row r="692" spans="1:5" ht="14.25" customHeight="1" x14ac:dyDescent="0.3">
      <c r="A692" s="15"/>
      <c r="B692" s="15"/>
      <c r="C692" s="15"/>
      <c r="D692" s="15"/>
      <c r="E692" s="14"/>
    </row>
    <row r="693" spans="1:5" ht="14.25" customHeight="1" x14ac:dyDescent="0.3">
      <c r="A693" s="15"/>
      <c r="B693" s="15"/>
      <c r="C693" s="15"/>
      <c r="D693" s="15"/>
      <c r="E693" s="14"/>
    </row>
    <row r="694" spans="1:5" ht="14.25" customHeight="1" x14ac:dyDescent="0.3">
      <c r="A694" s="15"/>
      <c r="B694" s="15"/>
      <c r="C694" s="15"/>
      <c r="D694" s="15"/>
      <c r="E694" s="14"/>
    </row>
    <row r="695" spans="1:5" ht="14.25" customHeight="1" x14ac:dyDescent="0.3">
      <c r="A695" s="15"/>
      <c r="B695" s="15"/>
      <c r="C695" s="15"/>
      <c r="D695" s="15"/>
      <c r="E695" s="14"/>
    </row>
    <row r="696" spans="1:5" ht="14.25" customHeight="1" x14ac:dyDescent="0.3">
      <c r="A696" s="15"/>
      <c r="B696" s="15"/>
      <c r="C696" s="15"/>
      <c r="D696" s="15"/>
      <c r="E696" s="14"/>
    </row>
    <row r="697" spans="1:5" ht="14.25" customHeight="1" x14ac:dyDescent="0.3">
      <c r="A697" s="15"/>
      <c r="B697" s="15"/>
      <c r="C697" s="15"/>
      <c r="D697" s="15"/>
      <c r="E697" s="14"/>
    </row>
    <row r="698" spans="1:5" ht="14.25" customHeight="1" x14ac:dyDescent="0.3">
      <c r="A698" s="15"/>
      <c r="B698" s="15"/>
      <c r="C698" s="15"/>
      <c r="D698" s="15"/>
      <c r="E698" s="14"/>
    </row>
    <row r="699" spans="1:5" ht="14.25" customHeight="1" x14ac:dyDescent="0.3">
      <c r="A699" s="15"/>
      <c r="B699" s="15"/>
      <c r="C699" s="15"/>
      <c r="D699" s="15"/>
      <c r="E699" s="14"/>
    </row>
    <row r="700" spans="1:5" ht="14.25" customHeight="1" x14ac:dyDescent="0.3">
      <c r="A700" s="15"/>
      <c r="B700" s="15"/>
      <c r="C700" s="15"/>
      <c r="D700" s="15"/>
      <c r="E700" s="14"/>
    </row>
    <row r="701" spans="1:5" ht="14.25" customHeight="1" x14ac:dyDescent="0.3">
      <c r="A701" s="15"/>
      <c r="B701" s="15"/>
      <c r="C701" s="15"/>
      <c r="D701" s="15"/>
      <c r="E701" s="14"/>
    </row>
    <row r="702" spans="1:5" ht="14.25" customHeight="1" x14ac:dyDescent="0.3">
      <c r="A702" s="15"/>
      <c r="B702" s="15"/>
      <c r="C702" s="15"/>
      <c r="D702" s="15"/>
      <c r="E702" s="14"/>
    </row>
    <row r="703" spans="1:5" ht="14.25" customHeight="1" x14ac:dyDescent="0.3">
      <c r="A703" s="15"/>
      <c r="B703" s="15"/>
      <c r="C703" s="15"/>
      <c r="D703" s="15"/>
      <c r="E703" s="14"/>
    </row>
    <row r="704" spans="1:5" ht="14.25" customHeight="1" x14ac:dyDescent="0.3">
      <c r="A704" s="15"/>
      <c r="B704" s="15"/>
      <c r="C704" s="15"/>
      <c r="D704" s="15"/>
      <c r="E704" s="14"/>
    </row>
    <row r="705" spans="1:5" ht="14.25" customHeight="1" x14ac:dyDescent="0.3">
      <c r="A705" s="15"/>
      <c r="B705" s="15"/>
      <c r="C705" s="15"/>
      <c r="D705" s="15"/>
      <c r="E705" s="14"/>
    </row>
    <row r="706" spans="1:5" ht="14.25" customHeight="1" x14ac:dyDescent="0.3">
      <c r="A706" s="15"/>
      <c r="B706" s="15"/>
      <c r="C706" s="15"/>
      <c r="D706" s="15"/>
      <c r="E706" s="14"/>
    </row>
    <row r="707" spans="1:5" ht="14.25" customHeight="1" x14ac:dyDescent="0.3">
      <c r="A707" s="15"/>
      <c r="B707" s="15"/>
      <c r="C707" s="15"/>
      <c r="D707" s="15"/>
      <c r="E707" s="14"/>
    </row>
    <row r="708" spans="1:5" ht="14.25" customHeight="1" x14ac:dyDescent="0.3">
      <c r="A708" s="15"/>
      <c r="B708" s="15"/>
      <c r="C708" s="15"/>
      <c r="D708" s="15"/>
      <c r="E708" s="14"/>
    </row>
    <row r="709" spans="1:5" ht="14.25" customHeight="1" x14ac:dyDescent="0.3">
      <c r="A709" s="15"/>
      <c r="B709" s="15"/>
      <c r="C709" s="15"/>
      <c r="D709" s="15"/>
      <c r="E709" s="14"/>
    </row>
    <row r="710" spans="1:5" ht="14.25" customHeight="1" x14ac:dyDescent="0.3">
      <c r="A710" s="15"/>
      <c r="B710" s="15"/>
      <c r="C710" s="15"/>
      <c r="D710" s="15"/>
      <c r="E710" s="14"/>
    </row>
    <row r="711" spans="1:5" ht="14.25" customHeight="1" x14ac:dyDescent="0.3">
      <c r="A711" s="15"/>
      <c r="B711" s="15"/>
      <c r="C711" s="15"/>
      <c r="D711" s="15"/>
      <c r="E711" s="14"/>
    </row>
    <row r="712" spans="1:5" ht="14.25" customHeight="1" x14ac:dyDescent="0.3">
      <c r="A712" s="15"/>
      <c r="B712" s="15"/>
      <c r="C712" s="15"/>
      <c r="D712" s="15"/>
      <c r="E712" s="14"/>
    </row>
    <row r="713" spans="1:5" ht="14.25" customHeight="1" x14ac:dyDescent="0.3">
      <c r="A713" s="15"/>
      <c r="B713" s="15"/>
      <c r="C713" s="15"/>
      <c r="D713" s="15"/>
      <c r="E713" s="14"/>
    </row>
    <row r="714" spans="1:5" ht="14.25" customHeight="1" x14ac:dyDescent="0.3">
      <c r="A714" s="15"/>
      <c r="B714" s="15"/>
      <c r="C714" s="15"/>
      <c r="D714" s="15"/>
      <c r="E714" s="14"/>
    </row>
    <row r="715" spans="1:5" ht="14.25" customHeight="1" x14ac:dyDescent="0.3">
      <c r="A715" s="15"/>
      <c r="B715" s="15"/>
      <c r="C715" s="15"/>
      <c r="D715" s="15"/>
      <c r="E715" s="14"/>
    </row>
    <row r="716" spans="1:5" ht="14.25" customHeight="1" x14ac:dyDescent="0.3">
      <c r="A716" s="15"/>
      <c r="B716" s="15"/>
      <c r="C716" s="15"/>
      <c r="D716" s="15"/>
      <c r="E716" s="14"/>
    </row>
    <row r="717" spans="1:5" ht="14.25" customHeight="1" x14ac:dyDescent="0.3">
      <c r="A717" s="15"/>
      <c r="B717" s="15"/>
      <c r="C717" s="15"/>
      <c r="D717" s="15"/>
      <c r="E717" s="14"/>
    </row>
    <row r="718" spans="1:5" ht="14.25" customHeight="1" x14ac:dyDescent="0.3">
      <c r="A718" s="15"/>
      <c r="B718" s="15"/>
      <c r="C718" s="15"/>
      <c r="D718" s="15"/>
      <c r="E718" s="14"/>
    </row>
    <row r="719" spans="1:5" ht="14.25" customHeight="1" x14ac:dyDescent="0.3">
      <c r="A719" s="15"/>
      <c r="B719" s="15"/>
      <c r="C719" s="15"/>
      <c r="D719" s="15"/>
      <c r="E719" s="14"/>
    </row>
    <row r="720" spans="1:5" ht="14.25" customHeight="1" x14ac:dyDescent="0.3">
      <c r="A720" s="15"/>
      <c r="B720" s="15"/>
      <c r="C720" s="15"/>
      <c r="D720" s="15"/>
      <c r="E720" s="14"/>
    </row>
    <row r="721" spans="1:5" ht="14.25" customHeight="1" x14ac:dyDescent="0.3">
      <c r="A721" s="15"/>
      <c r="B721" s="15"/>
      <c r="C721" s="15"/>
      <c r="D721" s="15"/>
      <c r="E721" s="14"/>
    </row>
    <row r="722" spans="1:5" ht="14.25" customHeight="1" x14ac:dyDescent="0.3">
      <c r="A722" s="15"/>
      <c r="B722" s="15"/>
      <c r="C722" s="15"/>
      <c r="D722" s="15"/>
      <c r="E722" s="14"/>
    </row>
    <row r="723" spans="1:5" ht="14.25" customHeight="1" x14ac:dyDescent="0.3">
      <c r="A723" s="15"/>
      <c r="B723" s="15"/>
      <c r="C723" s="15"/>
      <c r="D723" s="15"/>
      <c r="E723" s="14"/>
    </row>
    <row r="724" spans="1:5" ht="14.25" customHeight="1" x14ac:dyDescent="0.3">
      <c r="A724" s="15"/>
      <c r="B724" s="15"/>
      <c r="C724" s="15"/>
      <c r="D724" s="15"/>
      <c r="E724" s="14"/>
    </row>
    <row r="725" spans="1:5" ht="14.25" customHeight="1" x14ac:dyDescent="0.3">
      <c r="A725" s="15"/>
      <c r="B725" s="15"/>
      <c r="C725" s="15"/>
      <c r="D725" s="15"/>
      <c r="E725" s="14"/>
    </row>
    <row r="726" spans="1:5" ht="14.25" customHeight="1" x14ac:dyDescent="0.3">
      <c r="A726" s="15"/>
      <c r="B726" s="15"/>
      <c r="C726" s="15"/>
      <c r="D726" s="15"/>
      <c r="E726" s="14"/>
    </row>
    <row r="727" spans="1:5" ht="14.25" customHeight="1" x14ac:dyDescent="0.3">
      <c r="A727" s="15"/>
      <c r="B727" s="15"/>
      <c r="C727" s="15"/>
      <c r="D727" s="15"/>
      <c r="E727" s="14"/>
    </row>
    <row r="728" spans="1:5" ht="14.25" customHeight="1" x14ac:dyDescent="0.3">
      <c r="A728" s="15"/>
      <c r="B728" s="15"/>
      <c r="C728" s="15"/>
      <c r="D728" s="15"/>
      <c r="E728" s="14"/>
    </row>
    <row r="729" spans="1:5" ht="14.25" customHeight="1" x14ac:dyDescent="0.3">
      <c r="A729" s="15"/>
      <c r="B729" s="15"/>
      <c r="C729" s="15"/>
      <c r="D729" s="15"/>
      <c r="E729" s="14"/>
    </row>
    <row r="730" spans="1:5" ht="14.25" customHeight="1" x14ac:dyDescent="0.3">
      <c r="A730" s="15"/>
      <c r="B730" s="15"/>
      <c r="C730" s="15"/>
      <c r="D730" s="15"/>
      <c r="E730" s="14"/>
    </row>
    <row r="731" spans="1:5" ht="14.25" customHeight="1" x14ac:dyDescent="0.3">
      <c r="A731" s="15"/>
      <c r="B731" s="15"/>
      <c r="C731" s="15"/>
      <c r="D731" s="15"/>
      <c r="E731" s="14"/>
    </row>
    <row r="732" spans="1:5" ht="14.25" customHeight="1" x14ac:dyDescent="0.3">
      <c r="A732" s="15"/>
      <c r="B732" s="15"/>
      <c r="C732" s="15"/>
      <c r="D732" s="15"/>
      <c r="E732" s="14"/>
    </row>
    <row r="733" spans="1:5" ht="14.25" customHeight="1" x14ac:dyDescent="0.3">
      <c r="A733" s="15"/>
      <c r="B733" s="15"/>
      <c r="C733" s="15"/>
      <c r="D733" s="15"/>
      <c r="E733" s="14"/>
    </row>
    <row r="734" spans="1:5" ht="14.25" customHeight="1" x14ac:dyDescent="0.3">
      <c r="A734" s="15"/>
      <c r="B734" s="15"/>
      <c r="C734" s="15"/>
      <c r="D734" s="15"/>
      <c r="E734" s="14"/>
    </row>
    <row r="735" spans="1:5" ht="14.25" customHeight="1" x14ac:dyDescent="0.3">
      <c r="A735" s="15"/>
      <c r="B735" s="15"/>
      <c r="C735" s="15"/>
      <c r="D735" s="15"/>
      <c r="E735" s="14"/>
    </row>
    <row r="736" spans="1:5" ht="14.25" customHeight="1" x14ac:dyDescent="0.3">
      <c r="A736" s="15"/>
      <c r="B736" s="15"/>
      <c r="C736" s="15"/>
      <c r="D736" s="15"/>
      <c r="E736" s="14"/>
    </row>
    <row r="737" spans="1:5" ht="14.25" customHeight="1" x14ac:dyDescent="0.3">
      <c r="A737" s="15"/>
      <c r="B737" s="15"/>
      <c r="C737" s="15"/>
      <c r="D737" s="15"/>
      <c r="E737" s="14"/>
    </row>
    <row r="738" spans="1:5" ht="14.25" customHeight="1" x14ac:dyDescent="0.3">
      <c r="A738" s="15"/>
      <c r="B738" s="15"/>
      <c r="C738" s="15"/>
      <c r="D738" s="15"/>
      <c r="E738" s="14"/>
    </row>
    <row r="739" spans="1:5" ht="14.25" customHeight="1" x14ac:dyDescent="0.3">
      <c r="A739" s="15"/>
      <c r="B739" s="15"/>
      <c r="C739" s="15"/>
      <c r="D739" s="15"/>
      <c r="E739" s="14"/>
    </row>
    <row r="740" spans="1:5" ht="14.25" customHeight="1" x14ac:dyDescent="0.3">
      <c r="A740" s="15"/>
      <c r="B740" s="15"/>
      <c r="C740" s="15"/>
      <c r="D740" s="15"/>
      <c r="E740" s="14"/>
    </row>
    <row r="741" spans="1:5" ht="14.25" customHeight="1" x14ac:dyDescent="0.3">
      <c r="A741" s="15"/>
      <c r="B741" s="15"/>
      <c r="C741" s="15"/>
      <c r="D741" s="15"/>
      <c r="E741" s="14"/>
    </row>
    <row r="742" spans="1:5" ht="14.25" customHeight="1" x14ac:dyDescent="0.3">
      <c r="A742" s="15"/>
      <c r="B742" s="15"/>
      <c r="C742" s="15"/>
      <c r="D742" s="15"/>
      <c r="E742" s="14"/>
    </row>
    <row r="743" spans="1:5" ht="14.25" customHeight="1" x14ac:dyDescent="0.3">
      <c r="A743" s="15"/>
      <c r="B743" s="15"/>
      <c r="C743" s="15"/>
      <c r="D743" s="15"/>
      <c r="E743" s="14"/>
    </row>
    <row r="744" spans="1:5" ht="14.25" customHeight="1" x14ac:dyDescent="0.3">
      <c r="A744" s="15"/>
      <c r="B744" s="15"/>
      <c r="C744" s="15"/>
      <c r="D744" s="15"/>
      <c r="E744" s="14"/>
    </row>
    <row r="745" spans="1:5" ht="14.25" customHeight="1" x14ac:dyDescent="0.3">
      <c r="A745" s="15"/>
      <c r="B745" s="15"/>
      <c r="C745" s="15"/>
      <c r="D745" s="15"/>
      <c r="E745" s="14"/>
    </row>
    <row r="746" spans="1:5" ht="14.25" customHeight="1" x14ac:dyDescent="0.3">
      <c r="A746" s="15"/>
      <c r="B746" s="15"/>
      <c r="C746" s="15"/>
      <c r="D746" s="15"/>
      <c r="E746" s="14"/>
    </row>
    <row r="747" spans="1:5" ht="14.25" customHeight="1" x14ac:dyDescent="0.3">
      <c r="A747" s="15"/>
      <c r="B747" s="15"/>
      <c r="C747" s="15"/>
      <c r="D747" s="15"/>
      <c r="E747" s="14"/>
    </row>
    <row r="748" spans="1:5" ht="14.25" customHeight="1" x14ac:dyDescent="0.3">
      <c r="A748" s="15"/>
      <c r="B748" s="15"/>
      <c r="C748" s="15"/>
      <c r="D748" s="15"/>
      <c r="E748" s="14"/>
    </row>
    <row r="749" spans="1:5" ht="14.25" customHeight="1" x14ac:dyDescent="0.3">
      <c r="A749" s="15"/>
      <c r="B749" s="15"/>
      <c r="C749" s="15"/>
      <c r="D749" s="15"/>
      <c r="E749" s="14"/>
    </row>
    <row r="750" spans="1:5" ht="14.25" customHeight="1" x14ac:dyDescent="0.3">
      <c r="A750" s="15"/>
      <c r="B750" s="15"/>
      <c r="C750" s="15"/>
      <c r="D750" s="15"/>
      <c r="E750" s="14"/>
    </row>
    <row r="751" spans="1:5" ht="14.25" customHeight="1" x14ac:dyDescent="0.3">
      <c r="A751" s="15"/>
      <c r="B751" s="15"/>
      <c r="C751" s="15"/>
      <c r="D751" s="15"/>
      <c r="E751" s="14"/>
    </row>
    <row r="752" spans="1:5" ht="14.25" customHeight="1" x14ac:dyDescent="0.3">
      <c r="A752" s="15"/>
      <c r="B752" s="15"/>
      <c r="C752" s="15"/>
      <c r="D752" s="15"/>
      <c r="E752" s="14"/>
    </row>
    <row r="753" spans="1:5" ht="14.25" customHeight="1" x14ac:dyDescent="0.3">
      <c r="A753" s="15"/>
      <c r="B753" s="15"/>
      <c r="C753" s="15"/>
      <c r="D753" s="15"/>
      <c r="E753" s="14"/>
    </row>
    <row r="754" spans="1:5" ht="14.25" customHeight="1" x14ac:dyDescent="0.3">
      <c r="A754" s="15"/>
      <c r="B754" s="15"/>
      <c r="C754" s="15"/>
      <c r="D754" s="15"/>
      <c r="E754" s="14"/>
    </row>
    <row r="755" spans="1:5" ht="14.25" customHeight="1" x14ac:dyDescent="0.3">
      <c r="A755" s="15"/>
      <c r="B755" s="15"/>
      <c r="C755" s="15"/>
      <c r="D755" s="15"/>
      <c r="E755" s="14"/>
    </row>
    <row r="756" spans="1:5" ht="14.25" customHeight="1" x14ac:dyDescent="0.3">
      <c r="A756" s="15"/>
      <c r="B756" s="15"/>
      <c r="C756" s="15"/>
      <c r="D756" s="15"/>
      <c r="E756" s="14"/>
    </row>
    <row r="757" spans="1:5" ht="14.25" customHeight="1" x14ac:dyDescent="0.3">
      <c r="A757" s="15"/>
      <c r="B757" s="15"/>
      <c r="C757" s="15"/>
      <c r="D757" s="15"/>
      <c r="E757" s="14"/>
    </row>
    <row r="758" spans="1:5" ht="14.25" customHeight="1" x14ac:dyDescent="0.3">
      <c r="A758" s="15"/>
      <c r="B758" s="15"/>
      <c r="C758" s="15"/>
      <c r="D758" s="15"/>
      <c r="E758" s="14"/>
    </row>
    <row r="759" spans="1:5" ht="14.25" customHeight="1" x14ac:dyDescent="0.3">
      <c r="A759" s="15"/>
      <c r="B759" s="15"/>
      <c r="C759" s="15"/>
      <c r="D759" s="15"/>
      <c r="E759" s="14"/>
    </row>
    <row r="760" spans="1:5" ht="14.25" customHeight="1" x14ac:dyDescent="0.3">
      <c r="A760" s="15"/>
      <c r="B760" s="15"/>
      <c r="C760" s="15"/>
      <c r="D760" s="15"/>
      <c r="E760" s="14"/>
    </row>
    <row r="761" spans="1:5" ht="14.25" customHeight="1" x14ac:dyDescent="0.3">
      <c r="A761" s="15"/>
      <c r="B761" s="15"/>
      <c r="C761" s="15"/>
      <c r="D761" s="15"/>
      <c r="E761" s="14"/>
    </row>
    <row r="762" spans="1:5" ht="14.25" customHeight="1" x14ac:dyDescent="0.3">
      <c r="A762" s="15"/>
      <c r="B762" s="15"/>
      <c r="C762" s="15"/>
      <c r="D762" s="15"/>
      <c r="E762" s="14"/>
    </row>
    <row r="763" spans="1:5" ht="14.25" customHeight="1" x14ac:dyDescent="0.3">
      <c r="A763" s="15"/>
      <c r="B763" s="15"/>
      <c r="C763" s="15"/>
      <c r="D763" s="15"/>
      <c r="E763" s="14"/>
    </row>
    <row r="764" spans="1:5" ht="14.25" customHeight="1" x14ac:dyDescent="0.3">
      <c r="A764" s="15"/>
      <c r="B764" s="15"/>
      <c r="C764" s="15"/>
      <c r="D764" s="15"/>
      <c r="E764" s="14"/>
    </row>
    <row r="765" spans="1:5" ht="14.25" customHeight="1" x14ac:dyDescent="0.3">
      <c r="A765" s="15"/>
      <c r="B765" s="15"/>
      <c r="C765" s="15"/>
      <c r="D765" s="15"/>
      <c r="E765" s="14"/>
    </row>
    <row r="766" spans="1:5" ht="14.25" customHeight="1" x14ac:dyDescent="0.3">
      <c r="A766" s="15"/>
      <c r="B766" s="15"/>
      <c r="C766" s="15"/>
      <c r="D766" s="15"/>
      <c r="E766" s="14"/>
    </row>
    <row r="767" spans="1:5" ht="14.25" customHeight="1" x14ac:dyDescent="0.3">
      <c r="A767" s="15"/>
      <c r="B767" s="15"/>
      <c r="C767" s="15"/>
      <c r="D767" s="15"/>
      <c r="E767" s="14"/>
    </row>
    <row r="768" spans="1:5" ht="14.25" customHeight="1" x14ac:dyDescent="0.3">
      <c r="A768" s="15"/>
      <c r="B768" s="15"/>
      <c r="C768" s="15"/>
      <c r="D768" s="15"/>
      <c r="E768" s="14"/>
    </row>
    <row r="769" spans="1:5" ht="14.25" customHeight="1" x14ac:dyDescent="0.3">
      <c r="A769" s="15"/>
      <c r="B769" s="15"/>
      <c r="C769" s="15"/>
      <c r="D769" s="15"/>
      <c r="E769" s="14"/>
    </row>
    <row r="770" spans="1:5" ht="14.25" customHeight="1" x14ac:dyDescent="0.3">
      <c r="A770" s="15"/>
      <c r="B770" s="15"/>
      <c r="C770" s="15"/>
      <c r="D770" s="15"/>
      <c r="E770" s="14"/>
    </row>
    <row r="771" spans="1:5" ht="14.25" customHeight="1" x14ac:dyDescent="0.3">
      <c r="A771" s="15"/>
      <c r="B771" s="15"/>
      <c r="C771" s="15"/>
      <c r="D771" s="15"/>
      <c r="E771" s="14"/>
    </row>
    <row r="772" spans="1:5" ht="14.25" customHeight="1" x14ac:dyDescent="0.3">
      <c r="A772" s="15"/>
      <c r="B772" s="15"/>
      <c r="C772" s="15"/>
      <c r="D772" s="15"/>
      <c r="E772" s="14"/>
    </row>
    <row r="773" spans="1:5" ht="14.25" customHeight="1" x14ac:dyDescent="0.3">
      <c r="A773" s="15"/>
      <c r="B773" s="15"/>
      <c r="C773" s="15"/>
      <c r="D773" s="15"/>
      <c r="E773" s="14"/>
    </row>
    <row r="774" spans="1:5" ht="14.25" customHeight="1" x14ac:dyDescent="0.3">
      <c r="A774" s="15"/>
      <c r="B774" s="15"/>
      <c r="C774" s="15"/>
      <c r="D774" s="15"/>
      <c r="E774" s="14"/>
    </row>
    <row r="775" spans="1:5" ht="14.25" customHeight="1" x14ac:dyDescent="0.3">
      <c r="A775" s="15"/>
      <c r="B775" s="15"/>
      <c r="C775" s="15"/>
      <c r="D775" s="15"/>
      <c r="E775" s="14"/>
    </row>
    <row r="776" spans="1:5" ht="14.25" customHeight="1" x14ac:dyDescent="0.3">
      <c r="A776" s="15"/>
      <c r="B776" s="15"/>
      <c r="C776" s="15"/>
      <c r="D776" s="15"/>
      <c r="E776" s="14"/>
    </row>
    <row r="777" spans="1:5" ht="14.25" customHeight="1" x14ac:dyDescent="0.3">
      <c r="A777" s="15"/>
      <c r="B777" s="15"/>
      <c r="C777" s="15"/>
      <c r="D777" s="15"/>
      <c r="E777" s="14"/>
    </row>
    <row r="778" spans="1:5" ht="14.25" customHeight="1" x14ac:dyDescent="0.3">
      <c r="A778" s="15"/>
      <c r="B778" s="15"/>
      <c r="C778" s="15"/>
      <c r="D778" s="15"/>
      <c r="E778" s="14"/>
    </row>
    <row r="779" spans="1:5" ht="14.25" customHeight="1" x14ac:dyDescent="0.3">
      <c r="A779" s="15"/>
      <c r="B779" s="15"/>
      <c r="C779" s="15"/>
      <c r="D779" s="15"/>
      <c r="E779" s="14"/>
    </row>
    <row r="780" spans="1:5" ht="14.25" customHeight="1" x14ac:dyDescent="0.3">
      <c r="A780" s="15"/>
      <c r="B780" s="15"/>
      <c r="C780" s="15"/>
      <c r="D780" s="15"/>
      <c r="E780" s="14"/>
    </row>
    <row r="781" spans="1:5" ht="14.25" customHeight="1" x14ac:dyDescent="0.3">
      <c r="A781" s="15"/>
      <c r="B781" s="15"/>
      <c r="C781" s="15"/>
      <c r="D781" s="15"/>
      <c r="E781" s="14"/>
    </row>
    <row r="782" spans="1:5" ht="14.25" customHeight="1" x14ac:dyDescent="0.3">
      <c r="A782" s="15"/>
      <c r="B782" s="15"/>
      <c r="C782" s="15"/>
      <c r="D782" s="15"/>
      <c r="E782" s="14"/>
    </row>
    <row r="783" spans="1:5" ht="14.25" customHeight="1" x14ac:dyDescent="0.3">
      <c r="A783" s="15"/>
      <c r="B783" s="15"/>
      <c r="C783" s="15"/>
      <c r="D783" s="15"/>
      <c r="E783" s="14"/>
    </row>
    <row r="784" spans="1:5" ht="14.25" customHeight="1" x14ac:dyDescent="0.3">
      <c r="A784" s="15"/>
      <c r="B784" s="15"/>
      <c r="C784" s="15"/>
      <c r="D784" s="15"/>
      <c r="E784" s="14"/>
    </row>
    <row r="785" spans="1:5" ht="14.25" customHeight="1" x14ac:dyDescent="0.3">
      <c r="A785" s="15"/>
      <c r="B785" s="15"/>
      <c r="C785" s="15"/>
      <c r="D785" s="15"/>
      <c r="E785" s="14"/>
    </row>
    <row r="786" spans="1:5" ht="14.25" customHeight="1" x14ac:dyDescent="0.3">
      <c r="A786" s="15"/>
      <c r="B786" s="15"/>
      <c r="C786" s="15"/>
      <c r="D786" s="15"/>
      <c r="E786" s="14"/>
    </row>
    <row r="787" spans="1:5" ht="14.25" customHeight="1" x14ac:dyDescent="0.3">
      <c r="A787" s="15"/>
      <c r="B787" s="15"/>
      <c r="C787" s="15"/>
      <c r="D787" s="15"/>
      <c r="E787" s="14"/>
    </row>
    <row r="788" spans="1:5" ht="14.25" customHeight="1" x14ac:dyDescent="0.3">
      <c r="A788" s="15"/>
      <c r="B788" s="15"/>
      <c r="C788" s="15"/>
      <c r="D788" s="15"/>
      <c r="E788" s="14"/>
    </row>
    <row r="789" spans="1:5" ht="14.25" customHeight="1" x14ac:dyDescent="0.3">
      <c r="A789" s="15"/>
      <c r="B789" s="15"/>
      <c r="C789" s="15"/>
      <c r="D789" s="15"/>
      <c r="E789" s="14"/>
    </row>
    <row r="790" spans="1:5" ht="14.25" customHeight="1" x14ac:dyDescent="0.3">
      <c r="A790" s="15"/>
      <c r="B790" s="15"/>
      <c r="C790" s="15"/>
      <c r="D790" s="15"/>
      <c r="E790" s="14"/>
    </row>
    <row r="791" spans="1:5" ht="14.25" customHeight="1" x14ac:dyDescent="0.3">
      <c r="A791" s="15"/>
      <c r="B791" s="15"/>
      <c r="C791" s="15"/>
      <c r="D791" s="15"/>
      <c r="E791" s="14"/>
    </row>
    <row r="792" spans="1:5" ht="14.25" customHeight="1" x14ac:dyDescent="0.3">
      <c r="A792" s="15"/>
      <c r="B792" s="15"/>
      <c r="C792" s="15"/>
      <c r="D792" s="15"/>
      <c r="E792" s="14"/>
    </row>
    <row r="793" spans="1:5" ht="14.25" customHeight="1" x14ac:dyDescent="0.3">
      <c r="A793" s="15"/>
      <c r="B793" s="15"/>
      <c r="C793" s="15"/>
      <c r="D793" s="15"/>
      <c r="E793" s="14"/>
    </row>
    <row r="794" spans="1:5" ht="14.25" customHeight="1" x14ac:dyDescent="0.3">
      <c r="A794" s="15"/>
      <c r="B794" s="15"/>
      <c r="C794" s="15"/>
      <c r="D794" s="15"/>
      <c r="E794" s="14"/>
    </row>
    <row r="795" spans="1:5" ht="14.25" customHeight="1" x14ac:dyDescent="0.3">
      <c r="A795" s="15"/>
      <c r="B795" s="15"/>
      <c r="C795" s="15"/>
      <c r="D795" s="15"/>
      <c r="E795" s="14"/>
    </row>
    <row r="796" spans="1:5" ht="14.25" customHeight="1" x14ac:dyDescent="0.3">
      <c r="A796" s="15"/>
      <c r="B796" s="15"/>
      <c r="C796" s="15"/>
      <c r="D796" s="15"/>
      <c r="E796" s="14"/>
    </row>
    <row r="797" spans="1:5" ht="14.25" customHeight="1" x14ac:dyDescent="0.3">
      <c r="A797" s="15"/>
      <c r="B797" s="15"/>
      <c r="C797" s="15"/>
      <c r="D797" s="15"/>
      <c r="E797" s="14"/>
    </row>
    <row r="798" spans="1:5" ht="14.25" customHeight="1" x14ac:dyDescent="0.3">
      <c r="A798" s="15"/>
      <c r="B798" s="15"/>
      <c r="C798" s="15"/>
      <c r="D798" s="15"/>
      <c r="E798" s="14"/>
    </row>
    <row r="799" spans="1:5" ht="14.25" customHeight="1" x14ac:dyDescent="0.3">
      <c r="A799" s="15"/>
      <c r="B799" s="15"/>
      <c r="C799" s="15"/>
      <c r="D799" s="15"/>
      <c r="E799" s="14"/>
    </row>
    <row r="800" spans="1:5" ht="14.25" customHeight="1" x14ac:dyDescent="0.3">
      <c r="A800" s="15"/>
      <c r="B800" s="15"/>
      <c r="C800" s="15"/>
      <c r="D800" s="15"/>
      <c r="E800" s="14"/>
    </row>
    <row r="801" spans="1:5" ht="14.25" customHeight="1" x14ac:dyDescent="0.3">
      <c r="A801" s="15"/>
      <c r="B801" s="15"/>
      <c r="C801" s="15"/>
      <c r="D801" s="15"/>
      <c r="E801" s="14"/>
    </row>
    <row r="802" spans="1:5" ht="14.25" customHeight="1" x14ac:dyDescent="0.3">
      <c r="A802" s="15"/>
      <c r="B802" s="15"/>
      <c r="C802" s="15"/>
      <c r="D802" s="15"/>
      <c r="E802" s="14"/>
    </row>
    <row r="803" spans="1:5" ht="14.25" customHeight="1" x14ac:dyDescent="0.3">
      <c r="A803" s="15"/>
      <c r="B803" s="15"/>
      <c r="C803" s="15"/>
      <c r="D803" s="15"/>
      <c r="E803" s="14"/>
    </row>
    <row r="804" spans="1:5" ht="14.25" customHeight="1" x14ac:dyDescent="0.3">
      <c r="A804" s="15"/>
      <c r="B804" s="15"/>
      <c r="C804" s="15"/>
      <c r="D804" s="15"/>
      <c r="E804" s="14"/>
    </row>
    <row r="805" spans="1:5" ht="14.25" customHeight="1" x14ac:dyDescent="0.3">
      <c r="A805" s="15"/>
      <c r="B805" s="15"/>
      <c r="C805" s="15"/>
      <c r="D805" s="15"/>
      <c r="E805" s="14"/>
    </row>
    <row r="806" spans="1:5" ht="14.25" customHeight="1" x14ac:dyDescent="0.3">
      <c r="A806" s="15"/>
      <c r="B806" s="15"/>
      <c r="C806" s="15"/>
      <c r="D806" s="15"/>
      <c r="E806" s="14"/>
    </row>
    <row r="807" spans="1:5" ht="14.25" customHeight="1" x14ac:dyDescent="0.3">
      <c r="A807" s="15"/>
      <c r="B807" s="15"/>
      <c r="C807" s="15"/>
      <c r="D807" s="15"/>
      <c r="E807" s="14"/>
    </row>
    <row r="808" spans="1:5" ht="14.25" customHeight="1" x14ac:dyDescent="0.3">
      <c r="A808" s="15"/>
      <c r="B808" s="15"/>
      <c r="C808" s="15"/>
      <c r="D808" s="15"/>
      <c r="E808" s="14"/>
    </row>
    <row r="809" spans="1:5" ht="14.25" customHeight="1" x14ac:dyDescent="0.3">
      <c r="A809" s="15"/>
      <c r="B809" s="15"/>
      <c r="C809" s="15"/>
      <c r="D809" s="15"/>
      <c r="E809" s="14"/>
    </row>
    <row r="810" spans="1:5" ht="14.25" customHeight="1" x14ac:dyDescent="0.3">
      <c r="A810" s="15"/>
      <c r="B810" s="15"/>
      <c r="C810" s="15"/>
      <c r="D810" s="15"/>
      <c r="E810" s="14"/>
    </row>
    <row r="811" spans="1:5" ht="14.25" customHeight="1" x14ac:dyDescent="0.3">
      <c r="A811" s="15"/>
      <c r="B811" s="15"/>
      <c r="C811" s="15"/>
      <c r="D811" s="15"/>
      <c r="E811" s="14"/>
    </row>
    <row r="812" spans="1:5" ht="14.25" customHeight="1" x14ac:dyDescent="0.3">
      <c r="A812" s="15"/>
      <c r="B812" s="15"/>
      <c r="C812" s="15"/>
      <c r="D812" s="15"/>
      <c r="E812" s="14"/>
    </row>
    <row r="813" spans="1:5" ht="14.25" customHeight="1" x14ac:dyDescent="0.3">
      <c r="A813" s="15"/>
      <c r="B813" s="15"/>
      <c r="C813" s="15"/>
      <c r="D813" s="15"/>
      <c r="E813" s="14"/>
    </row>
    <row r="814" spans="1:5" ht="14.25" customHeight="1" x14ac:dyDescent="0.3">
      <c r="A814" s="15"/>
      <c r="B814" s="15"/>
      <c r="C814" s="15"/>
      <c r="D814" s="15"/>
      <c r="E814" s="14"/>
    </row>
    <row r="815" spans="1:5" ht="14.25" customHeight="1" x14ac:dyDescent="0.3">
      <c r="A815" s="15"/>
      <c r="B815" s="15"/>
      <c r="C815" s="15"/>
      <c r="D815" s="15"/>
      <c r="E815" s="14"/>
    </row>
    <row r="816" spans="1:5" ht="14.25" customHeight="1" x14ac:dyDescent="0.3">
      <c r="A816" s="15"/>
      <c r="B816" s="15"/>
      <c r="C816" s="15"/>
      <c r="D816" s="15"/>
      <c r="E816" s="14"/>
    </row>
    <row r="817" spans="1:5" ht="14.25" customHeight="1" x14ac:dyDescent="0.3">
      <c r="A817" s="15"/>
      <c r="B817" s="15"/>
      <c r="C817" s="15"/>
      <c r="D817" s="15"/>
      <c r="E817" s="14"/>
    </row>
    <row r="818" spans="1:5" ht="14.25" customHeight="1" x14ac:dyDescent="0.3">
      <c r="A818" s="15"/>
      <c r="B818" s="15"/>
      <c r="C818" s="15"/>
      <c r="D818" s="15"/>
      <c r="E818" s="14"/>
    </row>
    <row r="819" spans="1:5" ht="14.25" customHeight="1" x14ac:dyDescent="0.3">
      <c r="A819" s="15"/>
      <c r="B819" s="15"/>
      <c r="C819" s="15"/>
      <c r="D819" s="15"/>
      <c r="E819" s="14"/>
    </row>
    <row r="820" spans="1:5" ht="14.25" customHeight="1" x14ac:dyDescent="0.3">
      <c r="A820" s="15"/>
      <c r="B820" s="15"/>
      <c r="C820" s="15"/>
      <c r="D820" s="15"/>
      <c r="E820" s="14"/>
    </row>
    <row r="821" spans="1:5" ht="14.25" customHeight="1" x14ac:dyDescent="0.3">
      <c r="A821" s="15"/>
      <c r="B821" s="15"/>
      <c r="C821" s="15"/>
      <c r="D821" s="15"/>
      <c r="E821" s="14"/>
    </row>
    <row r="822" spans="1:5" ht="14.25" customHeight="1" x14ac:dyDescent="0.3">
      <c r="A822" s="15"/>
      <c r="B822" s="15"/>
      <c r="C822" s="15"/>
      <c r="D822" s="15"/>
      <c r="E822" s="14"/>
    </row>
    <row r="823" spans="1:5" ht="14.25" customHeight="1" x14ac:dyDescent="0.3">
      <c r="A823" s="15"/>
      <c r="B823" s="15"/>
      <c r="C823" s="15"/>
      <c r="D823" s="15"/>
      <c r="E823" s="14"/>
    </row>
    <row r="824" spans="1:5" ht="14.25" customHeight="1" x14ac:dyDescent="0.3">
      <c r="A824" s="15"/>
      <c r="B824" s="15"/>
      <c r="C824" s="15"/>
      <c r="D824" s="15"/>
      <c r="E824" s="14"/>
    </row>
    <row r="825" spans="1:5" ht="14.25" customHeight="1" x14ac:dyDescent="0.3">
      <c r="A825" s="15"/>
      <c r="B825" s="15"/>
      <c r="C825" s="15"/>
      <c r="D825" s="15"/>
      <c r="E825" s="14"/>
    </row>
    <row r="826" spans="1:5" ht="14.25" customHeight="1" x14ac:dyDescent="0.3">
      <c r="A826" s="15"/>
      <c r="B826" s="15"/>
      <c r="C826" s="15"/>
      <c r="D826" s="15"/>
      <c r="E826" s="14"/>
    </row>
    <row r="827" spans="1:5" ht="14.25" customHeight="1" x14ac:dyDescent="0.3">
      <c r="A827" s="15"/>
      <c r="B827" s="15"/>
      <c r="C827" s="15"/>
      <c r="D827" s="15"/>
      <c r="E827" s="14"/>
    </row>
    <row r="828" spans="1:5" ht="14.25" customHeight="1" x14ac:dyDescent="0.3">
      <c r="A828" s="15"/>
      <c r="B828" s="15"/>
      <c r="C828" s="15"/>
      <c r="D828" s="15"/>
      <c r="E828" s="14"/>
    </row>
    <row r="829" spans="1:5" ht="14.25" customHeight="1" x14ac:dyDescent="0.3">
      <c r="A829" s="15"/>
      <c r="B829" s="15"/>
      <c r="C829" s="15"/>
      <c r="D829" s="15"/>
      <c r="E829" s="14"/>
    </row>
    <row r="830" spans="1:5" ht="14.25" customHeight="1" x14ac:dyDescent="0.3">
      <c r="A830" s="15"/>
      <c r="B830" s="15"/>
      <c r="C830" s="15"/>
      <c r="D830" s="15"/>
      <c r="E830" s="14"/>
    </row>
    <row r="831" spans="1:5" ht="14.25" customHeight="1" x14ac:dyDescent="0.3">
      <c r="A831" s="15"/>
      <c r="B831" s="15"/>
      <c r="C831" s="15"/>
      <c r="D831" s="15"/>
      <c r="E831" s="14"/>
    </row>
    <row r="832" spans="1:5" ht="14.25" customHeight="1" x14ac:dyDescent="0.3">
      <c r="A832" s="15"/>
      <c r="B832" s="15"/>
      <c r="C832" s="15"/>
      <c r="D832" s="15"/>
      <c r="E832" s="14"/>
    </row>
    <row r="833" spans="1:5" ht="14.25" customHeight="1" x14ac:dyDescent="0.3">
      <c r="A833" s="15"/>
      <c r="B833" s="15"/>
      <c r="C833" s="15"/>
      <c r="D833" s="15"/>
      <c r="E833" s="14"/>
    </row>
    <row r="834" spans="1:5" ht="14.25" customHeight="1" x14ac:dyDescent="0.3">
      <c r="A834" s="15"/>
      <c r="B834" s="15"/>
      <c r="C834" s="15"/>
      <c r="D834" s="15"/>
      <c r="E834" s="14"/>
    </row>
    <row r="835" spans="1:5" ht="14.25" customHeight="1" x14ac:dyDescent="0.3">
      <c r="A835" s="15"/>
      <c r="B835" s="15"/>
      <c r="C835" s="15"/>
      <c r="D835" s="15"/>
      <c r="E835" s="14"/>
    </row>
    <row r="836" spans="1:5" ht="14.25" customHeight="1" x14ac:dyDescent="0.3">
      <c r="A836" s="15"/>
      <c r="B836" s="15"/>
      <c r="C836" s="15"/>
      <c r="D836" s="15"/>
      <c r="E836" s="14"/>
    </row>
    <row r="837" spans="1:5" ht="14.25" customHeight="1" x14ac:dyDescent="0.3">
      <c r="A837" s="15"/>
      <c r="B837" s="15"/>
      <c r="C837" s="15"/>
      <c r="D837" s="15"/>
      <c r="E837" s="14"/>
    </row>
    <row r="838" spans="1:5" ht="14.25" customHeight="1" x14ac:dyDescent="0.3">
      <c r="A838" s="15"/>
      <c r="B838" s="15"/>
      <c r="C838" s="15"/>
      <c r="D838" s="15"/>
      <c r="E838" s="14"/>
    </row>
    <row r="839" spans="1:5" ht="14.25" customHeight="1" x14ac:dyDescent="0.3">
      <c r="A839" s="15"/>
      <c r="B839" s="15"/>
      <c r="C839" s="15"/>
      <c r="D839" s="15"/>
      <c r="E839" s="14"/>
    </row>
    <row r="840" spans="1:5" ht="14.25" customHeight="1" x14ac:dyDescent="0.3">
      <c r="A840" s="15"/>
      <c r="B840" s="15"/>
      <c r="C840" s="15"/>
      <c r="D840" s="15"/>
      <c r="E840" s="14"/>
    </row>
    <row r="841" spans="1:5" ht="14.25" customHeight="1" x14ac:dyDescent="0.3">
      <c r="A841" s="15"/>
      <c r="B841" s="15"/>
      <c r="C841" s="15"/>
      <c r="D841" s="15"/>
      <c r="E841" s="14"/>
    </row>
    <row r="842" spans="1:5" ht="14.25" customHeight="1" x14ac:dyDescent="0.3">
      <c r="A842" s="15"/>
      <c r="B842" s="15"/>
      <c r="C842" s="15"/>
      <c r="D842" s="15"/>
      <c r="E842" s="14"/>
    </row>
    <row r="843" spans="1:5" ht="14.25" customHeight="1" x14ac:dyDescent="0.3">
      <c r="A843" s="15"/>
      <c r="B843" s="15"/>
      <c r="C843" s="15"/>
      <c r="D843" s="15"/>
      <c r="E843" s="14"/>
    </row>
    <row r="844" spans="1:5" ht="14.25" customHeight="1" x14ac:dyDescent="0.3">
      <c r="A844" s="15"/>
      <c r="B844" s="15"/>
      <c r="C844" s="15"/>
      <c r="D844" s="15"/>
      <c r="E844" s="14"/>
    </row>
    <row r="845" spans="1:5" ht="14.25" customHeight="1" x14ac:dyDescent="0.3">
      <c r="A845" s="15"/>
      <c r="B845" s="15"/>
      <c r="C845" s="15"/>
      <c r="D845" s="15"/>
      <c r="E845" s="14"/>
    </row>
    <row r="846" spans="1:5" ht="14.25" customHeight="1" x14ac:dyDescent="0.3">
      <c r="A846" s="15"/>
      <c r="B846" s="15"/>
      <c r="C846" s="15"/>
      <c r="D846" s="15"/>
      <c r="E846" s="14"/>
    </row>
    <row r="847" spans="1:5" ht="14.25" customHeight="1" x14ac:dyDescent="0.3">
      <c r="A847" s="15"/>
      <c r="B847" s="15"/>
      <c r="C847" s="15"/>
      <c r="D847" s="15"/>
      <c r="E847" s="14"/>
    </row>
    <row r="848" spans="1:5" ht="14.25" customHeight="1" x14ac:dyDescent="0.3">
      <c r="A848" s="15"/>
      <c r="B848" s="15"/>
      <c r="C848" s="15"/>
      <c r="D848" s="15"/>
      <c r="E848" s="14"/>
    </row>
    <row r="849" spans="1:5" ht="14.25" customHeight="1" x14ac:dyDescent="0.3">
      <c r="A849" s="15"/>
      <c r="B849" s="15"/>
      <c r="C849" s="15"/>
      <c r="D849" s="15"/>
      <c r="E849" s="14"/>
    </row>
    <row r="850" spans="1:5" ht="14.25" customHeight="1" x14ac:dyDescent="0.3">
      <c r="A850" s="15"/>
      <c r="B850" s="15"/>
      <c r="C850" s="15"/>
      <c r="D850" s="15"/>
      <c r="E850" s="14"/>
    </row>
    <row r="851" spans="1:5" ht="14.25" customHeight="1" x14ac:dyDescent="0.3">
      <c r="A851" s="15"/>
      <c r="B851" s="15"/>
      <c r="C851" s="15"/>
      <c r="D851" s="15"/>
      <c r="E851" s="14"/>
    </row>
    <row r="852" spans="1:5" ht="14.25" customHeight="1" x14ac:dyDescent="0.3">
      <c r="A852" s="15"/>
      <c r="B852" s="15"/>
      <c r="C852" s="15"/>
      <c r="D852" s="15"/>
      <c r="E852" s="14"/>
    </row>
    <row r="853" spans="1:5" ht="14.25" customHeight="1" x14ac:dyDescent="0.3">
      <c r="A853" s="15"/>
      <c r="B853" s="15"/>
      <c r="C853" s="15"/>
      <c r="D853" s="15"/>
      <c r="E853" s="14"/>
    </row>
    <row r="854" spans="1:5" ht="14.25" customHeight="1" x14ac:dyDescent="0.3">
      <c r="A854" s="15"/>
      <c r="B854" s="15"/>
      <c r="C854" s="15"/>
      <c r="D854" s="15"/>
      <c r="E854" s="14"/>
    </row>
    <row r="855" spans="1:5" ht="14.25" customHeight="1" x14ac:dyDescent="0.3">
      <c r="A855" s="15"/>
      <c r="B855" s="15"/>
      <c r="C855" s="15"/>
      <c r="D855" s="15"/>
      <c r="E855" s="14"/>
    </row>
    <row r="856" spans="1:5" ht="14.25" customHeight="1" x14ac:dyDescent="0.3">
      <c r="A856" s="15"/>
      <c r="B856" s="15"/>
      <c r="C856" s="15"/>
      <c r="D856" s="15"/>
      <c r="E856" s="14"/>
    </row>
    <row r="857" spans="1:5" ht="14.25" customHeight="1" x14ac:dyDescent="0.3">
      <c r="A857" s="15"/>
      <c r="B857" s="15"/>
      <c r="C857" s="15"/>
      <c r="D857" s="15"/>
      <c r="E857" s="14"/>
    </row>
    <row r="858" spans="1:5" ht="14.25" customHeight="1" x14ac:dyDescent="0.3">
      <c r="A858" s="15"/>
      <c r="B858" s="15"/>
      <c r="C858" s="15"/>
      <c r="D858" s="15"/>
      <c r="E858" s="14"/>
    </row>
    <row r="859" spans="1:5" ht="14.25" customHeight="1" x14ac:dyDescent="0.3">
      <c r="A859" s="15"/>
      <c r="B859" s="15"/>
      <c r="C859" s="15"/>
      <c r="D859" s="15"/>
      <c r="E859" s="14"/>
    </row>
    <row r="860" spans="1:5" ht="14.25" customHeight="1" x14ac:dyDescent="0.3">
      <c r="A860" s="15"/>
      <c r="B860" s="15"/>
      <c r="C860" s="15"/>
      <c r="D860" s="15"/>
      <c r="E860" s="14"/>
    </row>
    <row r="861" spans="1:5" ht="14.25" customHeight="1" x14ac:dyDescent="0.3">
      <c r="A861" s="15"/>
      <c r="B861" s="15"/>
      <c r="C861" s="15"/>
      <c r="D861" s="15"/>
      <c r="E861" s="14"/>
    </row>
    <row r="862" spans="1:5" ht="14.25" customHeight="1" x14ac:dyDescent="0.3">
      <c r="A862" s="15"/>
      <c r="B862" s="15"/>
      <c r="C862" s="15"/>
      <c r="D862" s="15"/>
      <c r="E862" s="14"/>
    </row>
    <row r="863" spans="1:5" ht="14.25" customHeight="1" x14ac:dyDescent="0.3">
      <c r="A863" s="15"/>
      <c r="B863" s="15"/>
      <c r="C863" s="15"/>
      <c r="D863" s="15"/>
      <c r="E863" s="14"/>
    </row>
    <row r="864" spans="1:5" ht="14.25" customHeight="1" x14ac:dyDescent="0.3">
      <c r="A864" s="15"/>
      <c r="B864" s="15"/>
      <c r="C864" s="15"/>
      <c r="D864" s="15"/>
      <c r="E864" s="14"/>
    </row>
    <row r="865" spans="1:5" ht="14.25" customHeight="1" x14ac:dyDescent="0.3">
      <c r="A865" s="15"/>
      <c r="B865" s="15"/>
      <c r="C865" s="15"/>
      <c r="D865" s="15"/>
      <c r="E865" s="14"/>
    </row>
    <row r="866" spans="1:5" ht="14.25" customHeight="1" x14ac:dyDescent="0.3">
      <c r="A866" s="15"/>
      <c r="B866" s="15"/>
      <c r="C866" s="15"/>
      <c r="D866" s="15"/>
      <c r="E866" s="14"/>
    </row>
    <row r="867" spans="1:5" ht="14.25" customHeight="1" x14ac:dyDescent="0.3">
      <c r="A867" s="15"/>
      <c r="B867" s="15"/>
      <c r="C867" s="15"/>
      <c r="D867" s="15"/>
      <c r="E867" s="14"/>
    </row>
    <row r="868" spans="1:5" ht="14.25" customHeight="1" x14ac:dyDescent="0.3">
      <c r="A868" s="15"/>
      <c r="B868" s="15"/>
      <c r="C868" s="15"/>
      <c r="D868" s="15"/>
      <c r="E868" s="14"/>
    </row>
    <row r="869" spans="1:5" ht="14.25" customHeight="1" x14ac:dyDescent="0.3">
      <c r="A869" s="15"/>
      <c r="B869" s="15"/>
      <c r="C869" s="15"/>
      <c r="D869" s="15"/>
      <c r="E869" s="14"/>
    </row>
    <row r="870" spans="1:5" ht="14.25" customHeight="1" x14ac:dyDescent="0.3">
      <c r="A870" s="15"/>
      <c r="B870" s="15"/>
      <c r="C870" s="15"/>
      <c r="D870" s="15"/>
      <c r="E870" s="14"/>
    </row>
    <row r="871" spans="1:5" ht="14.25" customHeight="1" x14ac:dyDescent="0.3">
      <c r="A871" s="15"/>
      <c r="B871" s="15"/>
      <c r="C871" s="15"/>
      <c r="D871" s="15"/>
      <c r="E871" s="14"/>
    </row>
    <row r="872" spans="1:5" ht="14.25" customHeight="1" x14ac:dyDescent="0.3">
      <c r="A872" s="15"/>
      <c r="B872" s="15"/>
      <c r="C872" s="15"/>
      <c r="D872" s="15"/>
      <c r="E872" s="14"/>
    </row>
    <row r="873" spans="1:5" ht="14.25" customHeight="1" x14ac:dyDescent="0.3">
      <c r="A873" s="15"/>
      <c r="B873" s="15"/>
      <c r="C873" s="15"/>
      <c r="D873" s="15"/>
      <c r="E873" s="14"/>
    </row>
    <row r="874" spans="1:5" ht="14.25" customHeight="1" x14ac:dyDescent="0.3">
      <c r="A874" s="15"/>
      <c r="B874" s="15"/>
      <c r="C874" s="15"/>
      <c r="D874" s="15"/>
      <c r="E874" s="14"/>
    </row>
    <row r="875" spans="1:5" ht="14.25" customHeight="1" x14ac:dyDescent="0.3">
      <c r="A875" s="15"/>
      <c r="B875" s="15"/>
      <c r="C875" s="15"/>
      <c r="D875" s="15"/>
      <c r="E875" s="14"/>
    </row>
    <row r="876" spans="1:5" ht="14.25" customHeight="1" x14ac:dyDescent="0.3">
      <c r="A876" s="15"/>
      <c r="B876" s="15"/>
      <c r="C876" s="15"/>
      <c r="D876" s="15"/>
      <c r="E876" s="14"/>
    </row>
    <row r="877" spans="1:5" ht="14.25" customHeight="1" x14ac:dyDescent="0.3">
      <c r="A877" s="15"/>
      <c r="B877" s="15"/>
      <c r="C877" s="15"/>
      <c r="D877" s="15"/>
      <c r="E877" s="14"/>
    </row>
    <row r="878" spans="1:5" ht="14.25" customHeight="1" x14ac:dyDescent="0.3">
      <c r="A878" s="15"/>
      <c r="B878" s="15"/>
      <c r="C878" s="15"/>
      <c r="D878" s="15"/>
      <c r="E878" s="14"/>
    </row>
    <row r="879" spans="1:5" ht="14.25" customHeight="1" x14ac:dyDescent="0.3">
      <c r="A879" s="15"/>
      <c r="B879" s="15"/>
      <c r="C879" s="15"/>
      <c r="D879" s="15"/>
      <c r="E879" s="14"/>
    </row>
    <row r="880" spans="1:5" ht="14.25" customHeight="1" x14ac:dyDescent="0.3">
      <c r="A880" s="15"/>
      <c r="B880" s="15"/>
      <c r="C880" s="15"/>
      <c r="D880" s="15"/>
      <c r="E880" s="14"/>
    </row>
    <row r="881" spans="1:5" ht="14.25" customHeight="1" x14ac:dyDescent="0.3">
      <c r="A881" s="15"/>
      <c r="B881" s="15"/>
      <c r="C881" s="15"/>
      <c r="D881" s="15"/>
      <c r="E881" s="14"/>
    </row>
    <row r="882" spans="1:5" ht="14.25" customHeight="1" x14ac:dyDescent="0.3">
      <c r="A882" s="15"/>
      <c r="B882" s="15"/>
      <c r="C882" s="15"/>
      <c r="D882" s="15"/>
      <c r="E882" s="14"/>
    </row>
    <row r="883" spans="1:5" ht="14.25" customHeight="1" x14ac:dyDescent="0.3">
      <c r="A883" s="15"/>
      <c r="B883" s="15"/>
      <c r="C883" s="15"/>
      <c r="D883" s="15"/>
      <c r="E883" s="14"/>
    </row>
    <row r="884" spans="1:5" ht="14.25" customHeight="1" x14ac:dyDescent="0.3">
      <c r="A884" s="15"/>
      <c r="B884" s="15"/>
      <c r="C884" s="15"/>
      <c r="D884" s="15"/>
      <c r="E884" s="14"/>
    </row>
    <row r="885" spans="1:5" ht="14.25" customHeight="1" x14ac:dyDescent="0.3">
      <c r="A885" s="15"/>
      <c r="B885" s="15"/>
      <c r="C885" s="15"/>
      <c r="D885" s="15"/>
      <c r="E885" s="14"/>
    </row>
    <row r="886" spans="1:5" ht="14.25" customHeight="1" x14ac:dyDescent="0.3">
      <c r="A886" s="15"/>
      <c r="B886" s="15"/>
      <c r="C886" s="15"/>
      <c r="D886" s="15"/>
      <c r="E886" s="14"/>
    </row>
    <row r="887" spans="1:5" ht="14.25" customHeight="1" x14ac:dyDescent="0.3">
      <c r="A887" s="15"/>
      <c r="B887" s="15"/>
      <c r="C887" s="15"/>
      <c r="D887" s="15"/>
      <c r="E887" s="14"/>
    </row>
    <row r="888" spans="1:5" ht="14.25" customHeight="1" x14ac:dyDescent="0.3">
      <c r="A888" s="15"/>
      <c r="B888" s="15"/>
      <c r="C888" s="15"/>
      <c r="D888" s="15"/>
      <c r="E888" s="14"/>
    </row>
    <row r="889" spans="1:5" ht="14.25" customHeight="1" x14ac:dyDescent="0.3">
      <c r="A889" s="15"/>
      <c r="B889" s="15"/>
      <c r="C889" s="15"/>
      <c r="D889" s="15"/>
      <c r="E889" s="14"/>
    </row>
    <row r="890" spans="1:5" ht="14.25" customHeight="1" x14ac:dyDescent="0.3">
      <c r="A890" s="15"/>
      <c r="B890" s="15"/>
      <c r="C890" s="15"/>
      <c r="D890" s="15"/>
      <c r="E890" s="14"/>
    </row>
    <row r="891" spans="1:5" ht="14.25" customHeight="1" x14ac:dyDescent="0.3">
      <c r="A891" s="15"/>
      <c r="B891" s="15"/>
      <c r="C891" s="15"/>
      <c r="D891" s="15"/>
      <c r="E891" s="14"/>
    </row>
    <row r="892" spans="1:5" ht="14.25" customHeight="1" x14ac:dyDescent="0.3">
      <c r="A892" s="15"/>
      <c r="B892" s="15"/>
      <c r="C892" s="15"/>
      <c r="D892" s="15"/>
      <c r="E892" s="14"/>
    </row>
    <row r="893" spans="1:5" ht="14.25" customHeight="1" x14ac:dyDescent="0.3">
      <c r="A893" s="15"/>
      <c r="B893" s="15"/>
      <c r="C893" s="15"/>
      <c r="D893" s="15"/>
      <c r="E893" s="14"/>
    </row>
    <row r="894" spans="1:5" ht="14.25" customHeight="1" x14ac:dyDescent="0.3">
      <c r="A894" s="15"/>
      <c r="B894" s="15"/>
      <c r="C894" s="15"/>
      <c r="D894" s="15"/>
      <c r="E894" s="14"/>
    </row>
    <row r="895" spans="1:5" ht="14.25" customHeight="1" x14ac:dyDescent="0.3">
      <c r="A895" s="15"/>
      <c r="B895" s="15"/>
      <c r="C895" s="15"/>
      <c r="D895" s="15"/>
      <c r="E895" s="14"/>
    </row>
    <row r="896" spans="1:5" ht="14.25" customHeight="1" x14ac:dyDescent="0.3">
      <c r="A896" s="15"/>
      <c r="B896" s="15"/>
      <c r="C896" s="15"/>
      <c r="D896" s="15"/>
      <c r="E896" s="14"/>
    </row>
    <row r="897" spans="1:5" ht="14.25" customHeight="1" x14ac:dyDescent="0.3">
      <c r="A897" s="15"/>
      <c r="B897" s="15"/>
      <c r="C897" s="15"/>
      <c r="D897" s="15"/>
      <c r="E897" s="14"/>
    </row>
    <row r="898" spans="1:5" ht="14.25" customHeight="1" x14ac:dyDescent="0.3">
      <c r="A898" s="15"/>
      <c r="B898" s="15"/>
      <c r="C898" s="15"/>
      <c r="D898" s="15"/>
      <c r="E898" s="14"/>
    </row>
    <row r="899" spans="1:5" ht="14.25" customHeight="1" x14ac:dyDescent="0.3">
      <c r="A899" s="15"/>
      <c r="B899" s="15"/>
      <c r="C899" s="15"/>
      <c r="D899" s="15"/>
      <c r="E899" s="14"/>
    </row>
    <row r="900" spans="1:5" ht="14.25" customHeight="1" x14ac:dyDescent="0.3">
      <c r="A900" s="15"/>
      <c r="B900" s="15"/>
      <c r="C900" s="15"/>
      <c r="D900" s="15"/>
      <c r="E900" s="14"/>
    </row>
    <row r="901" spans="1:5" ht="14.25" customHeight="1" x14ac:dyDescent="0.3">
      <c r="A901" s="15"/>
      <c r="B901" s="15"/>
      <c r="C901" s="15"/>
      <c r="D901" s="15"/>
      <c r="E901" s="14"/>
    </row>
    <row r="902" spans="1:5" ht="14.25" customHeight="1" x14ac:dyDescent="0.3">
      <c r="A902" s="15"/>
      <c r="B902" s="15"/>
      <c r="C902" s="15"/>
      <c r="D902" s="15"/>
      <c r="E902" s="14"/>
    </row>
    <row r="903" spans="1:5" ht="14.25" customHeight="1" x14ac:dyDescent="0.3">
      <c r="A903" s="15"/>
      <c r="B903" s="15"/>
      <c r="C903" s="15"/>
      <c r="D903" s="15"/>
      <c r="E903" s="14"/>
    </row>
    <row r="904" spans="1:5" ht="14.25" customHeight="1" x14ac:dyDescent="0.3">
      <c r="A904" s="15"/>
      <c r="B904" s="15"/>
      <c r="C904" s="15"/>
      <c r="D904" s="15"/>
      <c r="E904" s="14"/>
    </row>
    <row r="905" spans="1:5" ht="14.25" customHeight="1" x14ac:dyDescent="0.3">
      <c r="A905" s="15"/>
      <c r="B905" s="15"/>
      <c r="C905" s="15"/>
      <c r="D905" s="15"/>
      <c r="E905" s="14"/>
    </row>
    <row r="906" spans="1:5" ht="14.25" customHeight="1" x14ac:dyDescent="0.3">
      <c r="A906" s="15"/>
      <c r="B906" s="15"/>
      <c r="C906" s="15"/>
      <c r="D906" s="15"/>
      <c r="E906" s="14"/>
    </row>
    <row r="907" spans="1:5" ht="14.25" customHeight="1" x14ac:dyDescent="0.3">
      <c r="A907" s="15"/>
      <c r="B907" s="15"/>
      <c r="C907" s="15"/>
      <c r="D907" s="15"/>
      <c r="E907" s="14"/>
    </row>
    <row r="908" spans="1:5" ht="14.25" customHeight="1" x14ac:dyDescent="0.3">
      <c r="A908" s="15"/>
      <c r="B908" s="15"/>
      <c r="C908" s="15"/>
      <c r="D908" s="15"/>
      <c r="E908" s="14"/>
    </row>
    <row r="909" spans="1:5" ht="14.25" customHeight="1" x14ac:dyDescent="0.3">
      <c r="A909" s="15"/>
      <c r="B909" s="15"/>
      <c r="C909" s="15"/>
      <c r="D909" s="15"/>
      <c r="E909" s="14"/>
    </row>
    <row r="910" spans="1:5" ht="14.25" customHeight="1" x14ac:dyDescent="0.3">
      <c r="A910" s="15"/>
      <c r="B910" s="15"/>
      <c r="C910" s="15"/>
      <c r="D910" s="15"/>
      <c r="E910" s="14"/>
    </row>
    <row r="911" spans="1:5" ht="14.25" customHeight="1" x14ac:dyDescent="0.3">
      <c r="A911" s="15"/>
      <c r="B911" s="15"/>
      <c r="C911" s="15"/>
      <c r="D911" s="15"/>
      <c r="E911" s="14"/>
    </row>
    <row r="912" spans="1:5" ht="14.25" customHeight="1" x14ac:dyDescent="0.3">
      <c r="A912" s="15"/>
      <c r="B912" s="15"/>
      <c r="C912" s="15"/>
      <c r="D912" s="15"/>
      <c r="E912" s="14"/>
    </row>
    <row r="913" spans="1:5" ht="14.25" customHeight="1" x14ac:dyDescent="0.3">
      <c r="A913" s="15"/>
      <c r="B913" s="15"/>
      <c r="C913" s="15"/>
      <c r="D913" s="15"/>
      <c r="E913" s="14"/>
    </row>
    <row r="914" spans="1:5" ht="14.25" customHeight="1" x14ac:dyDescent="0.3">
      <c r="A914" s="15"/>
      <c r="B914" s="15"/>
      <c r="C914" s="15"/>
      <c r="D914" s="15"/>
      <c r="E914" s="14"/>
    </row>
    <row r="915" spans="1:5" ht="14.25" customHeight="1" x14ac:dyDescent="0.3">
      <c r="A915" s="15"/>
      <c r="B915" s="15"/>
      <c r="C915" s="15"/>
      <c r="D915" s="15"/>
      <c r="E915" s="14"/>
    </row>
    <row r="916" spans="1:5" ht="14.25" customHeight="1" x14ac:dyDescent="0.3">
      <c r="A916" s="15"/>
      <c r="B916" s="15"/>
      <c r="C916" s="15"/>
      <c r="D916" s="15"/>
      <c r="E916" s="14"/>
    </row>
    <row r="917" spans="1:5" ht="14.25" customHeight="1" x14ac:dyDescent="0.3">
      <c r="A917" s="15"/>
      <c r="B917" s="15"/>
      <c r="C917" s="15"/>
      <c r="D917" s="15"/>
      <c r="E917" s="14"/>
    </row>
    <row r="918" spans="1:5" ht="14.25" customHeight="1" x14ac:dyDescent="0.3">
      <c r="A918" s="15"/>
      <c r="B918" s="15"/>
      <c r="C918" s="15"/>
      <c r="D918" s="15"/>
      <c r="E918" s="14"/>
    </row>
    <row r="919" spans="1:5" ht="14.25" customHeight="1" x14ac:dyDescent="0.3">
      <c r="A919" s="15"/>
      <c r="B919" s="15"/>
      <c r="C919" s="15"/>
      <c r="D919" s="15"/>
      <c r="E919" s="14"/>
    </row>
    <row r="920" spans="1:5" ht="14.25" customHeight="1" x14ac:dyDescent="0.3">
      <c r="A920" s="15"/>
      <c r="B920" s="15"/>
      <c r="C920" s="15"/>
      <c r="D920" s="15"/>
      <c r="E920" s="14"/>
    </row>
    <row r="921" spans="1:5" ht="14.25" customHeight="1" x14ac:dyDescent="0.3">
      <c r="A921" s="15"/>
      <c r="B921" s="15"/>
      <c r="C921" s="15"/>
      <c r="D921" s="15"/>
      <c r="E921" s="14"/>
    </row>
    <row r="922" spans="1:5" ht="14.25" customHeight="1" x14ac:dyDescent="0.3">
      <c r="A922" s="15"/>
      <c r="B922" s="15"/>
      <c r="C922" s="15"/>
      <c r="D922" s="15"/>
      <c r="E922" s="14"/>
    </row>
    <row r="923" spans="1:5" ht="14.25" customHeight="1" x14ac:dyDescent="0.3">
      <c r="A923" s="15"/>
      <c r="B923" s="15"/>
      <c r="C923" s="15"/>
      <c r="D923" s="15"/>
      <c r="E923" s="14"/>
    </row>
    <row r="924" spans="1:5" ht="14.25" customHeight="1" x14ac:dyDescent="0.3">
      <c r="A924" s="15"/>
      <c r="B924" s="15"/>
      <c r="C924" s="15"/>
      <c r="D924" s="15"/>
      <c r="E924" s="14"/>
    </row>
    <row r="925" spans="1:5" ht="14.25" customHeight="1" x14ac:dyDescent="0.3">
      <c r="A925" s="15"/>
      <c r="B925" s="15"/>
      <c r="C925" s="15"/>
      <c r="D925" s="15"/>
      <c r="E925" s="14"/>
    </row>
    <row r="926" spans="1:5" ht="14.25" customHeight="1" x14ac:dyDescent="0.3">
      <c r="A926" s="15"/>
      <c r="B926" s="15"/>
      <c r="C926" s="15"/>
      <c r="D926" s="15"/>
      <c r="E926" s="14"/>
    </row>
    <row r="927" spans="1:5" ht="14.25" customHeight="1" x14ac:dyDescent="0.3">
      <c r="A927" s="15"/>
      <c r="B927" s="15"/>
      <c r="C927" s="15"/>
      <c r="D927" s="15"/>
      <c r="E927" s="14"/>
    </row>
    <row r="928" spans="1:5" ht="14.25" customHeight="1" x14ac:dyDescent="0.3">
      <c r="A928" s="15"/>
      <c r="B928" s="15"/>
      <c r="C928" s="15"/>
      <c r="D928" s="15"/>
      <c r="E928" s="14"/>
    </row>
    <row r="929" spans="1:5" ht="14.25" customHeight="1" x14ac:dyDescent="0.3">
      <c r="A929" s="15"/>
      <c r="B929" s="15"/>
      <c r="C929" s="15"/>
      <c r="D929" s="15"/>
      <c r="E929" s="14"/>
    </row>
    <row r="930" spans="1:5" ht="14.25" customHeight="1" x14ac:dyDescent="0.3">
      <c r="A930" s="15"/>
      <c r="B930" s="15"/>
      <c r="C930" s="15"/>
      <c r="D930" s="15"/>
      <c r="E930" s="14"/>
    </row>
    <row r="931" spans="1:5" ht="14.25" customHeight="1" x14ac:dyDescent="0.3">
      <c r="A931" s="15"/>
      <c r="B931" s="15"/>
      <c r="C931" s="15"/>
      <c r="D931" s="15"/>
      <c r="E931" s="14"/>
    </row>
    <row r="932" spans="1:5" ht="14.25" customHeight="1" x14ac:dyDescent="0.3">
      <c r="A932" s="15"/>
      <c r="B932" s="15"/>
      <c r="C932" s="15"/>
      <c r="D932" s="15"/>
      <c r="E932" s="14"/>
    </row>
    <row r="933" spans="1:5" ht="14.25" customHeight="1" x14ac:dyDescent="0.3">
      <c r="A933" s="15"/>
      <c r="B933" s="15"/>
      <c r="C933" s="15"/>
      <c r="D933" s="15"/>
      <c r="E933" s="14"/>
    </row>
    <row r="934" spans="1:5" ht="14.25" customHeight="1" x14ac:dyDescent="0.3">
      <c r="A934" s="15"/>
      <c r="B934" s="15"/>
      <c r="C934" s="15"/>
      <c r="D934" s="15"/>
      <c r="E934" s="14"/>
    </row>
    <row r="935" spans="1:5" ht="14.25" customHeight="1" x14ac:dyDescent="0.3">
      <c r="A935" s="15"/>
      <c r="B935" s="15"/>
      <c r="C935" s="15"/>
      <c r="D935" s="15"/>
      <c r="E935" s="14"/>
    </row>
    <row r="936" spans="1:5" ht="14.25" customHeight="1" x14ac:dyDescent="0.3">
      <c r="A936" s="15"/>
      <c r="B936" s="15"/>
      <c r="C936" s="15"/>
      <c r="D936" s="15"/>
      <c r="E936" s="14"/>
    </row>
    <row r="937" spans="1:5" ht="14.25" customHeight="1" x14ac:dyDescent="0.3">
      <c r="A937" s="15"/>
      <c r="B937" s="15"/>
      <c r="C937" s="15"/>
      <c r="D937" s="15"/>
      <c r="E937" s="14"/>
    </row>
    <row r="938" spans="1:5" ht="14.25" customHeight="1" x14ac:dyDescent="0.3">
      <c r="A938" s="15"/>
      <c r="B938" s="15"/>
      <c r="C938" s="15"/>
      <c r="D938" s="15"/>
      <c r="E938" s="14"/>
    </row>
    <row r="939" spans="1:5" ht="14.25" customHeight="1" x14ac:dyDescent="0.3">
      <c r="A939" s="15"/>
      <c r="B939" s="15"/>
      <c r="C939" s="15"/>
      <c r="D939" s="15"/>
      <c r="E939" s="14"/>
    </row>
    <row r="940" spans="1:5" ht="14.25" customHeight="1" x14ac:dyDescent="0.3">
      <c r="A940" s="15"/>
      <c r="B940" s="15"/>
      <c r="C940" s="15"/>
      <c r="D940" s="15"/>
      <c r="E940" s="14"/>
    </row>
    <row r="941" spans="1:5" ht="14.25" customHeight="1" x14ac:dyDescent="0.3">
      <c r="A941" s="15"/>
      <c r="B941" s="15"/>
      <c r="C941" s="15"/>
      <c r="D941" s="15"/>
      <c r="E941" s="14"/>
    </row>
    <row r="942" spans="1:5" ht="14.25" customHeight="1" x14ac:dyDescent="0.3">
      <c r="A942" s="15"/>
      <c r="B942" s="15"/>
      <c r="C942" s="15"/>
      <c r="D942" s="15"/>
      <c r="E942" s="14"/>
    </row>
    <row r="943" spans="1:5" ht="14.25" customHeight="1" x14ac:dyDescent="0.3">
      <c r="A943" s="15"/>
      <c r="B943" s="15"/>
      <c r="C943" s="15"/>
      <c r="D943" s="15"/>
      <c r="E943" s="14"/>
    </row>
    <row r="944" spans="1:5" ht="14.25" customHeight="1" x14ac:dyDescent="0.3">
      <c r="A944" s="15"/>
      <c r="B944" s="15"/>
      <c r="C944" s="15"/>
      <c r="D944" s="15"/>
      <c r="E944" s="14"/>
    </row>
    <row r="945" spans="1:5" ht="14.25" customHeight="1" x14ac:dyDescent="0.3">
      <c r="A945" s="15"/>
      <c r="B945" s="15"/>
      <c r="C945" s="15"/>
      <c r="D945" s="15"/>
      <c r="E945" s="14"/>
    </row>
    <row r="946" spans="1:5" ht="14.25" customHeight="1" x14ac:dyDescent="0.3">
      <c r="A946" s="15"/>
      <c r="B946" s="15"/>
      <c r="C946" s="15"/>
      <c r="D946" s="15"/>
      <c r="E946" s="14"/>
    </row>
    <row r="947" spans="1:5" ht="14.25" customHeight="1" x14ac:dyDescent="0.3">
      <c r="A947" s="15"/>
      <c r="B947" s="15"/>
      <c r="C947" s="15"/>
      <c r="D947" s="15"/>
      <c r="E947" s="14"/>
    </row>
    <row r="948" spans="1:5" ht="14.25" customHeight="1" x14ac:dyDescent="0.3">
      <c r="A948" s="15"/>
      <c r="B948" s="15"/>
      <c r="C948" s="15"/>
      <c r="D948" s="15"/>
      <c r="E948" s="14"/>
    </row>
    <row r="949" spans="1:5" ht="14.25" customHeight="1" x14ac:dyDescent="0.3">
      <c r="A949" s="15"/>
      <c r="B949" s="15"/>
      <c r="C949" s="15"/>
      <c r="D949" s="15"/>
      <c r="E949" s="14"/>
    </row>
    <row r="950" spans="1:5" ht="14.25" customHeight="1" x14ac:dyDescent="0.3">
      <c r="A950" s="15"/>
      <c r="B950" s="15"/>
      <c r="C950" s="15"/>
      <c r="D950" s="15"/>
      <c r="E950" s="14"/>
    </row>
    <row r="951" spans="1:5" ht="14.25" customHeight="1" x14ac:dyDescent="0.3">
      <c r="A951" s="15"/>
      <c r="B951" s="15"/>
      <c r="C951" s="15"/>
      <c r="D951" s="15"/>
      <c r="E951" s="14"/>
    </row>
    <row r="952" spans="1:5" ht="14.25" customHeight="1" x14ac:dyDescent="0.3">
      <c r="A952" s="15"/>
      <c r="B952" s="15"/>
      <c r="C952" s="15"/>
      <c r="D952" s="15"/>
      <c r="E952" s="14"/>
    </row>
    <row r="953" spans="1:5" ht="14.25" customHeight="1" x14ac:dyDescent="0.3">
      <c r="A953" s="15"/>
      <c r="B953" s="15"/>
      <c r="C953" s="15"/>
      <c r="D953" s="15"/>
      <c r="E953" s="14"/>
    </row>
    <row r="954" spans="1:5" ht="14.25" customHeight="1" x14ac:dyDescent="0.3">
      <c r="A954" s="15"/>
      <c r="B954" s="15"/>
      <c r="C954" s="15"/>
      <c r="D954" s="15"/>
      <c r="E954" s="14"/>
    </row>
    <row r="955" spans="1:5" ht="14.25" customHeight="1" x14ac:dyDescent="0.3">
      <c r="A955" s="15"/>
      <c r="B955" s="15"/>
      <c r="C955" s="15"/>
      <c r="D955" s="15"/>
      <c r="E955" s="14"/>
    </row>
    <row r="956" spans="1:5" ht="14.25" customHeight="1" x14ac:dyDescent="0.3">
      <c r="A956" s="15"/>
      <c r="B956" s="15"/>
      <c r="C956" s="15"/>
      <c r="D956" s="15"/>
      <c r="E956" s="14"/>
    </row>
    <row r="957" spans="1:5" ht="14.25" customHeight="1" x14ac:dyDescent="0.3">
      <c r="A957" s="15"/>
      <c r="B957" s="15"/>
      <c r="C957" s="15"/>
      <c r="D957" s="15"/>
      <c r="E957" s="14"/>
    </row>
    <row r="958" spans="1:5" ht="14.25" customHeight="1" x14ac:dyDescent="0.3">
      <c r="A958" s="15"/>
      <c r="B958" s="15"/>
      <c r="C958" s="15"/>
      <c r="D958" s="15"/>
      <c r="E958" s="14"/>
    </row>
    <row r="959" spans="1:5" ht="14.25" customHeight="1" x14ac:dyDescent="0.3">
      <c r="A959" s="15"/>
      <c r="B959" s="15"/>
      <c r="C959" s="15"/>
      <c r="D959" s="15"/>
      <c r="E959" s="14"/>
    </row>
    <row r="960" spans="1:5" ht="14.25" customHeight="1" x14ac:dyDescent="0.3">
      <c r="A960" s="15"/>
      <c r="B960" s="15"/>
      <c r="C960" s="15"/>
      <c r="D960" s="15"/>
      <c r="E960" s="14"/>
    </row>
    <row r="961" spans="1:5" ht="14.25" customHeight="1" x14ac:dyDescent="0.3">
      <c r="A961" s="15"/>
      <c r="B961" s="15"/>
      <c r="C961" s="15"/>
      <c r="D961" s="15"/>
      <c r="E961" s="14"/>
    </row>
    <row r="962" spans="1:5" ht="14.25" customHeight="1" x14ac:dyDescent="0.3">
      <c r="A962" s="15"/>
      <c r="B962" s="15"/>
      <c r="C962" s="15"/>
      <c r="D962" s="15"/>
      <c r="E962" s="14"/>
    </row>
    <row r="963" spans="1:5" ht="14.25" customHeight="1" x14ac:dyDescent="0.3">
      <c r="A963" s="15"/>
      <c r="B963" s="15"/>
      <c r="C963" s="15"/>
      <c r="D963" s="15"/>
      <c r="E963" s="14"/>
    </row>
    <row r="964" spans="1:5" ht="14.25" customHeight="1" x14ac:dyDescent="0.3">
      <c r="A964" s="15"/>
      <c r="B964" s="15"/>
      <c r="C964" s="15"/>
      <c r="D964" s="15"/>
      <c r="E964" s="14"/>
    </row>
    <row r="965" spans="1:5" ht="14.25" customHeight="1" x14ac:dyDescent="0.3">
      <c r="A965" s="15"/>
      <c r="B965" s="15"/>
      <c r="C965" s="15"/>
      <c r="D965" s="15"/>
      <c r="E965" s="14"/>
    </row>
    <row r="966" spans="1:5" ht="14.25" customHeight="1" x14ac:dyDescent="0.3">
      <c r="A966" s="15"/>
      <c r="B966" s="15"/>
      <c r="C966" s="15"/>
      <c r="D966" s="15"/>
      <c r="E966" s="14"/>
    </row>
    <row r="967" spans="1:5" ht="14.25" customHeight="1" x14ac:dyDescent="0.3">
      <c r="A967" s="15"/>
      <c r="B967" s="15"/>
      <c r="C967" s="15"/>
      <c r="D967" s="15"/>
      <c r="E967" s="14"/>
    </row>
    <row r="968" spans="1:5" ht="14.25" customHeight="1" x14ac:dyDescent="0.3">
      <c r="A968" s="15"/>
      <c r="B968" s="15"/>
      <c r="C968" s="15"/>
      <c r="D968" s="15"/>
      <c r="E968" s="14"/>
    </row>
    <row r="969" spans="1:5" ht="14.25" customHeight="1" x14ac:dyDescent="0.3">
      <c r="A969" s="15"/>
      <c r="B969" s="15"/>
      <c r="C969" s="15"/>
      <c r="D969" s="15"/>
      <c r="E969" s="14"/>
    </row>
    <row r="970" spans="1:5" ht="14.25" customHeight="1" x14ac:dyDescent="0.3">
      <c r="A970" s="15"/>
      <c r="B970" s="15"/>
      <c r="C970" s="15"/>
      <c r="D970" s="15"/>
      <c r="E970" s="14"/>
    </row>
    <row r="971" spans="1:5" ht="14.25" customHeight="1" x14ac:dyDescent="0.3">
      <c r="A971" s="15"/>
      <c r="B971" s="15"/>
      <c r="C971" s="15"/>
      <c r="D971" s="15"/>
      <c r="E971" s="14"/>
    </row>
    <row r="972" spans="1:5" ht="14.25" customHeight="1" x14ac:dyDescent="0.3">
      <c r="A972" s="15"/>
      <c r="B972" s="15"/>
      <c r="C972" s="15"/>
      <c r="D972" s="15"/>
      <c r="E972" s="14"/>
    </row>
    <row r="973" spans="1:5" ht="14.25" customHeight="1" x14ac:dyDescent="0.3">
      <c r="A973" s="15"/>
      <c r="B973" s="15"/>
      <c r="C973" s="15"/>
      <c r="D973" s="15"/>
      <c r="E973" s="14"/>
    </row>
    <row r="974" spans="1:5" ht="14.25" customHeight="1" x14ac:dyDescent="0.3">
      <c r="A974" s="15"/>
      <c r="B974" s="15"/>
      <c r="C974" s="15"/>
      <c r="D974" s="15"/>
      <c r="E974" s="14"/>
    </row>
    <row r="975" spans="1:5" ht="14.25" customHeight="1" x14ac:dyDescent="0.3">
      <c r="A975" s="15"/>
      <c r="B975" s="15"/>
      <c r="C975" s="15"/>
      <c r="D975" s="15"/>
      <c r="E975" s="14"/>
    </row>
    <row r="976" spans="1:5" ht="14.25" customHeight="1" x14ac:dyDescent="0.3">
      <c r="A976" s="15"/>
      <c r="B976" s="15"/>
      <c r="C976" s="15"/>
      <c r="D976" s="15"/>
      <c r="E976" s="14"/>
    </row>
    <row r="977" spans="1:5" ht="14.25" customHeight="1" x14ac:dyDescent="0.3">
      <c r="A977" s="15"/>
      <c r="B977" s="15"/>
      <c r="C977" s="15"/>
      <c r="D977" s="15"/>
      <c r="E977" s="14"/>
    </row>
    <row r="978" spans="1:5" ht="14.25" customHeight="1" x14ac:dyDescent="0.3">
      <c r="A978" s="15"/>
      <c r="B978" s="15"/>
      <c r="C978" s="15"/>
      <c r="D978" s="15"/>
      <c r="E978" s="14"/>
    </row>
    <row r="979" spans="1:5" ht="14.25" customHeight="1" x14ac:dyDescent="0.3">
      <c r="A979" s="15"/>
      <c r="B979" s="15"/>
      <c r="C979" s="15"/>
      <c r="D979" s="15"/>
      <c r="E979" s="14"/>
    </row>
    <row r="980" spans="1:5" ht="14.25" customHeight="1" x14ac:dyDescent="0.3">
      <c r="A980" s="15"/>
      <c r="B980" s="15"/>
      <c r="C980" s="15"/>
      <c r="D980" s="15"/>
      <c r="E980" s="14"/>
    </row>
    <row r="981" spans="1:5" ht="14.25" customHeight="1" x14ac:dyDescent="0.3">
      <c r="A981" s="15"/>
      <c r="B981" s="15"/>
      <c r="C981" s="15"/>
      <c r="D981" s="15"/>
      <c r="E981" s="14"/>
    </row>
    <row r="982" spans="1:5" ht="14.25" customHeight="1" x14ac:dyDescent="0.3">
      <c r="A982" s="15"/>
      <c r="B982" s="15"/>
      <c r="C982" s="15"/>
      <c r="D982" s="15"/>
      <c r="E982" s="14"/>
    </row>
    <row r="983" spans="1:5" ht="14.25" customHeight="1" x14ac:dyDescent="0.3">
      <c r="A983" s="15"/>
      <c r="B983" s="15"/>
      <c r="C983" s="15"/>
      <c r="D983" s="15"/>
      <c r="E983" s="14"/>
    </row>
    <row r="984" spans="1:5" ht="14.25" customHeight="1" x14ac:dyDescent="0.3">
      <c r="A984" s="15"/>
      <c r="B984" s="15"/>
      <c r="C984" s="15"/>
      <c r="D984" s="15"/>
      <c r="E984" s="14"/>
    </row>
    <row r="985" spans="1:5" ht="14.25" customHeight="1" x14ac:dyDescent="0.3">
      <c r="A985" s="15"/>
      <c r="B985" s="15"/>
      <c r="C985" s="15"/>
      <c r="D985" s="15"/>
      <c r="E985" s="14"/>
    </row>
    <row r="986" spans="1:5" ht="14.25" customHeight="1" x14ac:dyDescent="0.3">
      <c r="A986" s="15"/>
      <c r="B986" s="15"/>
      <c r="C986" s="15"/>
      <c r="D986" s="15"/>
      <c r="E986" s="14"/>
    </row>
    <row r="987" spans="1:5" ht="14.25" customHeight="1" x14ac:dyDescent="0.3">
      <c r="A987" s="15"/>
      <c r="B987" s="15"/>
      <c r="C987" s="15"/>
      <c r="D987" s="15"/>
      <c r="E987" s="14"/>
    </row>
    <row r="988" spans="1:5" ht="14.25" customHeight="1" x14ac:dyDescent="0.3">
      <c r="A988" s="15"/>
      <c r="B988" s="15"/>
      <c r="C988" s="15"/>
      <c r="D988" s="15"/>
      <c r="E988" s="14"/>
    </row>
    <row r="989" spans="1:5" ht="14.25" customHeight="1" x14ac:dyDescent="0.3">
      <c r="A989" s="15"/>
      <c r="B989" s="15"/>
      <c r="C989" s="15"/>
      <c r="D989" s="15"/>
      <c r="E989" s="14"/>
    </row>
    <row r="990" spans="1:5" ht="14.25" customHeight="1" x14ac:dyDescent="0.3">
      <c r="A990" s="15"/>
      <c r="B990" s="15"/>
      <c r="C990" s="15"/>
      <c r="D990" s="15"/>
      <c r="E990" s="14"/>
    </row>
    <row r="991" spans="1:5" ht="14.25" customHeight="1" x14ac:dyDescent="0.3">
      <c r="A991" s="15"/>
      <c r="B991" s="15"/>
      <c r="C991" s="15"/>
      <c r="D991" s="15"/>
      <c r="E991" s="14"/>
    </row>
    <row r="992" spans="1:5" ht="14.25" customHeight="1" x14ac:dyDescent="0.3">
      <c r="A992" s="15"/>
      <c r="B992" s="15"/>
      <c r="C992" s="15"/>
      <c r="D992" s="15"/>
      <c r="E992" s="14"/>
    </row>
    <row r="993" spans="1:5" ht="14.25" customHeight="1" x14ac:dyDescent="0.3">
      <c r="A993" s="15"/>
      <c r="B993" s="15"/>
      <c r="C993" s="15"/>
      <c r="D993" s="15"/>
      <c r="E993" s="14"/>
    </row>
    <row r="994" spans="1:5" ht="14.25" customHeight="1" x14ac:dyDescent="0.3">
      <c r="A994" s="15"/>
      <c r="B994" s="15"/>
      <c r="C994" s="15"/>
      <c r="D994" s="15"/>
      <c r="E994" s="14"/>
    </row>
    <row r="995" spans="1:5" ht="14.25" customHeight="1" x14ac:dyDescent="0.3">
      <c r="A995" s="15"/>
      <c r="B995" s="15"/>
      <c r="C995" s="15"/>
      <c r="D995" s="15"/>
      <c r="E995" s="14"/>
    </row>
    <row r="996" spans="1:5" ht="14.25" customHeight="1" x14ac:dyDescent="0.3">
      <c r="A996" s="15"/>
      <c r="B996" s="15"/>
      <c r="C996" s="15"/>
      <c r="D996" s="15"/>
      <c r="E996" s="14"/>
    </row>
    <row r="997" spans="1:5" ht="14.25" customHeight="1" x14ac:dyDescent="0.3">
      <c r="A997" s="15"/>
      <c r="B997" s="15"/>
      <c r="C997" s="15"/>
      <c r="D997" s="15"/>
      <c r="E997" s="14"/>
    </row>
    <row r="998" spans="1:5" ht="14.25" customHeight="1" x14ac:dyDescent="0.3">
      <c r="A998" s="15"/>
      <c r="B998" s="15"/>
      <c r="C998" s="15"/>
      <c r="D998" s="15"/>
      <c r="E998" s="14"/>
    </row>
    <row r="999" spans="1:5" ht="14.25" customHeight="1" x14ac:dyDescent="0.3">
      <c r="A999" s="15"/>
      <c r="B999" s="15"/>
      <c r="C999" s="15"/>
      <c r="D999" s="15"/>
      <c r="E999" s="14"/>
    </row>
    <row r="1000" spans="1:5" ht="14.25" customHeight="1" x14ac:dyDescent="0.3">
      <c r="A1000" s="15"/>
      <c r="B1000" s="15"/>
      <c r="C1000" s="15"/>
      <c r="D1000" s="15"/>
      <c r="E1000" s="14"/>
    </row>
  </sheetData>
  <conditionalFormatting sqref="A2:D500">
    <cfRule type="expression" dxfId="21" priority="2">
      <formula>AND(COUNTA($A2:$D2)&gt;0,A2="")</formula>
    </cfRule>
    <cfRule type="expression" dxfId="20" priority="3">
      <formula>AND($E2&lt;&gt;"",$E2&lt;&gt;"OK")</formula>
    </cfRule>
  </conditionalFormatting>
  <conditionalFormatting sqref="E2:E500">
    <cfRule type="expression" dxfId="19" priority="4">
      <formula>AND($E2&lt;&gt;"",$E2&lt;&gt;"OK")</formula>
    </cfRule>
  </conditionalFormatting>
  <dataValidations count="2">
    <dataValidation type="list" errorStyle="information" allowBlank="1" showInputMessage="1" errorTitle="Custom value accepted" error="A custom value is allowed. Choose an existing option or continue with your typed value." promptTitle="Search or add custom value" prompt="Type to search an existing option, or enter a new custom value if no match exists." sqref="C2:C500" xr:uid="{00000000-0002-0000-0400-000000000000}">
      <formula1>dv_Designation</formula1>
      <formula2>0</formula2>
    </dataValidation>
    <dataValidation type="list" errorStyle="information" allowBlank="1" showInputMessage="1" errorTitle="Custom value accepted" error="A custom value is allowed. Choose an existing option or continue with your typed value." promptTitle="Department" prompt="Select the full department name, including its abbreviation in brackets where listed." sqref="D2:D500" xr:uid="{00000000-0002-0000-0400-000001000000}">
      <formula1>dv_Department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showGridLines="0" zoomScaleNormal="100" workbookViewId="0">
      <pane ySplit="1" topLeftCell="A2" activePane="bottomLeft" state="frozen"/>
      <selection pane="bottomLeft" activeCell="D24" sqref="D24"/>
    </sheetView>
  </sheetViews>
  <sheetFormatPr defaultColWidth="14.44140625" defaultRowHeight="14.4" x14ac:dyDescent="0.3"/>
  <cols>
    <col min="1" max="1" width="10" customWidth="1"/>
    <col min="2" max="4" width="18" customWidth="1"/>
    <col min="5" max="26" width="30" customWidth="1"/>
  </cols>
  <sheetData>
    <row r="1" spans="1:5" ht="27" customHeight="1" x14ac:dyDescent="0.3">
      <c r="A1" s="2" t="s">
        <v>172</v>
      </c>
      <c r="B1" s="2" t="s">
        <v>173</v>
      </c>
      <c r="C1" s="2" t="s">
        <v>174</v>
      </c>
      <c r="D1" s="2" t="s">
        <v>175</v>
      </c>
      <c r="E1" s="2" t="s">
        <v>2</v>
      </c>
    </row>
    <row r="2" spans="1:5" ht="14.25" customHeight="1" x14ac:dyDescent="0.3">
      <c r="A2" s="16">
        <v>3</v>
      </c>
      <c r="B2" s="7" t="s">
        <v>79</v>
      </c>
      <c r="C2" s="7">
        <v>3</v>
      </c>
      <c r="D2" s="7">
        <v>50</v>
      </c>
      <c r="E2" s="3" t="str">
        <f t="shared" ref="E2:E33" si="0">IF(COUNTA(A2:D2)=0,"",IF(COUNTIFS($A$2:$A$100,A2,$B$2:$B$100,B2)&gt;1,"DUPLICATE CREDIT/TYPE","OK"))</f>
        <v>OK</v>
      </c>
    </row>
    <row r="3" spans="1:5" ht="14.25" customHeight="1" x14ac:dyDescent="0.3">
      <c r="A3" s="16">
        <v>2</v>
      </c>
      <c r="B3" s="7" t="s">
        <v>79</v>
      </c>
      <c r="C3" s="7">
        <v>2</v>
      </c>
      <c r="D3" s="7">
        <v>50</v>
      </c>
      <c r="E3" s="3" t="str">
        <f t="shared" si="0"/>
        <v>OK</v>
      </c>
    </row>
    <row r="4" spans="1:5" ht="14.25" customHeight="1" x14ac:dyDescent="0.3">
      <c r="A4" s="16">
        <v>0.5</v>
      </c>
      <c r="B4" s="7" t="s">
        <v>94</v>
      </c>
      <c r="C4" s="7">
        <v>1</v>
      </c>
      <c r="D4" s="7">
        <v>50</v>
      </c>
      <c r="E4" s="3" t="str">
        <f t="shared" si="0"/>
        <v>OK</v>
      </c>
    </row>
    <row r="5" spans="1:5" ht="14.25" customHeight="1" x14ac:dyDescent="0.3">
      <c r="A5" s="16">
        <v>1</v>
      </c>
      <c r="B5" s="7" t="s">
        <v>94</v>
      </c>
      <c r="C5" s="7">
        <v>1</v>
      </c>
      <c r="D5" s="7">
        <v>100</v>
      </c>
      <c r="E5" s="3" t="str">
        <f t="shared" si="0"/>
        <v>OK</v>
      </c>
    </row>
    <row r="6" spans="1:5" ht="14.25" customHeight="1" x14ac:dyDescent="0.3">
      <c r="A6" s="16">
        <v>1.5</v>
      </c>
      <c r="B6" s="7" t="s">
        <v>94</v>
      </c>
      <c r="C6" s="7">
        <v>1</v>
      </c>
      <c r="D6" s="7">
        <v>100</v>
      </c>
      <c r="E6" s="3" t="str">
        <f t="shared" si="0"/>
        <v>OK</v>
      </c>
    </row>
    <row r="7" spans="1:5" ht="14.25" customHeight="1" x14ac:dyDescent="0.3">
      <c r="A7" s="7"/>
      <c r="B7" s="7"/>
      <c r="C7" s="7"/>
      <c r="D7" s="7"/>
      <c r="E7" s="3" t="str">
        <f t="shared" si="0"/>
        <v/>
      </c>
    </row>
    <row r="8" spans="1:5" ht="15" customHeight="1" x14ac:dyDescent="0.3">
      <c r="A8" s="7"/>
      <c r="B8" s="7"/>
      <c r="C8" s="7"/>
      <c r="D8" s="7"/>
      <c r="E8" s="3" t="str">
        <f t="shared" si="0"/>
        <v/>
      </c>
    </row>
    <row r="9" spans="1:5" ht="14.25" customHeight="1" x14ac:dyDescent="0.3">
      <c r="A9" s="7"/>
      <c r="B9" s="7"/>
      <c r="C9" s="7"/>
      <c r="D9" s="7"/>
      <c r="E9" s="3" t="str">
        <f t="shared" si="0"/>
        <v/>
      </c>
    </row>
    <row r="10" spans="1:5" ht="14.25" customHeight="1" x14ac:dyDescent="0.3">
      <c r="A10" s="7"/>
      <c r="B10" s="7"/>
      <c r="C10" s="7"/>
      <c r="D10" s="7"/>
      <c r="E10" s="3" t="str">
        <f t="shared" si="0"/>
        <v/>
      </c>
    </row>
    <row r="11" spans="1:5" ht="14.25" customHeight="1" x14ac:dyDescent="0.3">
      <c r="A11" s="7"/>
      <c r="B11" s="7"/>
      <c r="C11" s="7"/>
      <c r="D11" s="7"/>
      <c r="E11" s="3" t="str">
        <f t="shared" si="0"/>
        <v/>
      </c>
    </row>
    <row r="12" spans="1:5" ht="14.25" customHeight="1" x14ac:dyDescent="0.3">
      <c r="A12" s="7"/>
      <c r="B12" s="7"/>
      <c r="C12" s="7"/>
      <c r="D12" s="7"/>
      <c r="E12" s="3" t="str">
        <f t="shared" si="0"/>
        <v/>
      </c>
    </row>
    <row r="13" spans="1:5" ht="14.25" customHeight="1" x14ac:dyDescent="0.3">
      <c r="A13" s="7"/>
      <c r="B13" s="7"/>
      <c r="C13" s="7"/>
      <c r="D13" s="7"/>
      <c r="E13" s="3" t="str">
        <f t="shared" si="0"/>
        <v/>
      </c>
    </row>
    <row r="14" spans="1:5" ht="14.25" customHeight="1" x14ac:dyDescent="0.3">
      <c r="A14" s="7"/>
      <c r="B14" s="7"/>
      <c r="C14" s="7"/>
      <c r="D14" s="7"/>
      <c r="E14" s="3" t="str">
        <f t="shared" si="0"/>
        <v/>
      </c>
    </row>
    <row r="15" spans="1:5" ht="14.25" customHeight="1" x14ac:dyDescent="0.3">
      <c r="A15" s="7"/>
      <c r="B15" s="7"/>
      <c r="C15" s="7"/>
      <c r="D15" s="7"/>
      <c r="E15" s="3" t="str">
        <f t="shared" si="0"/>
        <v/>
      </c>
    </row>
    <row r="16" spans="1:5" ht="14.25" customHeight="1" x14ac:dyDescent="0.3">
      <c r="A16" s="7"/>
      <c r="B16" s="7"/>
      <c r="C16" s="7"/>
      <c r="D16" s="7"/>
      <c r="E16" s="3" t="str">
        <f t="shared" si="0"/>
        <v/>
      </c>
    </row>
    <row r="17" spans="1:5" ht="14.25" customHeight="1" x14ac:dyDescent="0.3">
      <c r="A17" s="7"/>
      <c r="B17" s="7"/>
      <c r="C17" s="7"/>
      <c r="D17" s="7"/>
      <c r="E17" s="3" t="str">
        <f t="shared" si="0"/>
        <v/>
      </c>
    </row>
    <row r="18" spans="1:5" ht="14.25" customHeight="1" x14ac:dyDescent="0.3">
      <c r="A18" s="7"/>
      <c r="B18" s="7"/>
      <c r="C18" s="7"/>
      <c r="D18" s="7"/>
      <c r="E18" s="3" t="str">
        <f t="shared" si="0"/>
        <v/>
      </c>
    </row>
    <row r="19" spans="1:5" ht="14.25" customHeight="1" x14ac:dyDescent="0.3">
      <c r="A19" s="7"/>
      <c r="B19" s="7"/>
      <c r="C19" s="7"/>
      <c r="D19" s="7"/>
      <c r="E19" s="3" t="str">
        <f t="shared" si="0"/>
        <v/>
      </c>
    </row>
    <row r="20" spans="1:5" ht="14.25" customHeight="1" x14ac:dyDescent="0.3">
      <c r="A20" s="7"/>
      <c r="B20" s="7"/>
      <c r="C20" s="7"/>
      <c r="D20" s="7"/>
      <c r="E20" s="3" t="str">
        <f t="shared" si="0"/>
        <v/>
      </c>
    </row>
    <row r="21" spans="1:5" ht="14.25" customHeight="1" x14ac:dyDescent="0.3">
      <c r="A21" s="7"/>
      <c r="B21" s="7"/>
      <c r="C21" s="7"/>
      <c r="D21" s="7"/>
      <c r="E21" s="3" t="str">
        <f t="shared" si="0"/>
        <v/>
      </c>
    </row>
    <row r="22" spans="1:5" ht="14.25" customHeight="1" x14ac:dyDescent="0.3">
      <c r="A22" s="7"/>
      <c r="B22" s="7"/>
      <c r="C22" s="7"/>
      <c r="D22" s="7"/>
      <c r="E22" s="3" t="str">
        <f t="shared" si="0"/>
        <v/>
      </c>
    </row>
    <row r="23" spans="1:5" ht="14.25" customHeight="1" x14ac:dyDescent="0.3">
      <c r="A23" s="7"/>
      <c r="B23" s="7"/>
      <c r="C23" s="7"/>
      <c r="D23" s="7"/>
      <c r="E23" s="3" t="str">
        <f t="shared" si="0"/>
        <v/>
      </c>
    </row>
    <row r="24" spans="1:5" ht="14.25" customHeight="1" x14ac:dyDescent="0.3">
      <c r="A24" s="7"/>
      <c r="B24" s="7"/>
      <c r="C24" s="7"/>
      <c r="D24" s="7"/>
      <c r="E24" s="3" t="str">
        <f t="shared" si="0"/>
        <v/>
      </c>
    </row>
    <row r="25" spans="1:5" ht="14.25" customHeight="1" x14ac:dyDescent="0.3">
      <c r="A25" s="7"/>
      <c r="B25" s="7"/>
      <c r="C25" s="7"/>
      <c r="D25" s="7"/>
      <c r="E25" s="3" t="str">
        <f t="shared" si="0"/>
        <v/>
      </c>
    </row>
    <row r="26" spans="1:5" ht="14.25" customHeight="1" x14ac:dyDescent="0.3">
      <c r="A26" s="7"/>
      <c r="B26" s="7"/>
      <c r="C26" s="7"/>
      <c r="D26" s="7"/>
      <c r="E26" s="3" t="str">
        <f t="shared" si="0"/>
        <v/>
      </c>
    </row>
    <row r="27" spans="1:5" ht="14.25" customHeight="1" x14ac:dyDescent="0.3">
      <c r="A27" s="7"/>
      <c r="B27" s="7"/>
      <c r="C27" s="7"/>
      <c r="D27" s="7"/>
      <c r="E27" s="3" t="str">
        <f t="shared" si="0"/>
        <v/>
      </c>
    </row>
    <row r="28" spans="1:5" ht="14.25" customHeight="1" x14ac:dyDescent="0.3">
      <c r="A28" s="7"/>
      <c r="B28" s="7"/>
      <c r="C28" s="7"/>
      <c r="D28" s="7"/>
      <c r="E28" s="3" t="str">
        <f t="shared" si="0"/>
        <v/>
      </c>
    </row>
    <row r="29" spans="1:5" ht="14.25" customHeight="1" x14ac:dyDescent="0.3">
      <c r="A29" s="7"/>
      <c r="B29" s="7"/>
      <c r="C29" s="7"/>
      <c r="D29" s="7"/>
      <c r="E29" s="3" t="str">
        <f t="shared" si="0"/>
        <v/>
      </c>
    </row>
    <row r="30" spans="1:5" ht="14.25" customHeight="1" x14ac:dyDescent="0.3">
      <c r="A30" s="7"/>
      <c r="B30" s="7"/>
      <c r="C30" s="7"/>
      <c r="D30" s="7"/>
      <c r="E30" s="3" t="str">
        <f t="shared" si="0"/>
        <v/>
      </c>
    </row>
    <row r="31" spans="1:5" ht="14.25" customHeight="1" x14ac:dyDescent="0.3">
      <c r="A31" s="7"/>
      <c r="B31" s="7"/>
      <c r="C31" s="7"/>
      <c r="D31" s="7"/>
      <c r="E31" s="3" t="str">
        <f t="shared" si="0"/>
        <v/>
      </c>
    </row>
    <row r="32" spans="1:5" ht="14.25" customHeight="1" x14ac:dyDescent="0.3">
      <c r="A32" s="7"/>
      <c r="B32" s="7"/>
      <c r="C32" s="7"/>
      <c r="D32" s="7"/>
      <c r="E32" s="3" t="str">
        <f t="shared" si="0"/>
        <v/>
      </c>
    </row>
    <row r="33" spans="1:5" ht="14.25" customHeight="1" x14ac:dyDescent="0.3">
      <c r="A33" s="7"/>
      <c r="B33" s="7"/>
      <c r="C33" s="7"/>
      <c r="D33" s="7"/>
      <c r="E33" s="3" t="str">
        <f t="shared" si="0"/>
        <v/>
      </c>
    </row>
    <row r="34" spans="1:5" ht="14.25" customHeight="1" x14ac:dyDescent="0.3">
      <c r="A34" s="7"/>
      <c r="B34" s="7"/>
      <c r="C34" s="7"/>
      <c r="D34" s="7"/>
      <c r="E34" s="3" t="str">
        <f t="shared" ref="E34:E65" si="1">IF(COUNTA(A34:D34)=0,"",IF(COUNTIFS($A$2:$A$100,A34,$B$2:$B$100,B34)&gt;1,"DUPLICATE CREDIT/TYPE","OK"))</f>
        <v/>
      </c>
    </row>
    <row r="35" spans="1:5" ht="14.25" customHeight="1" x14ac:dyDescent="0.3">
      <c r="A35" s="7"/>
      <c r="B35" s="7"/>
      <c r="C35" s="7"/>
      <c r="D35" s="7"/>
      <c r="E35" s="3" t="str">
        <f t="shared" si="1"/>
        <v/>
      </c>
    </row>
    <row r="36" spans="1:5" ht="14.25" customHeight="1" x14ac:dyDescent="0.3">
      <c r="A36" s="7"/>
      <c r="B36" s="7"/>
      <c r="C36" s="7"/>
      <c r="D36" s="7"/>
      <c r="E36" s="3" t="str">
        <f t="shared" si="1"/>
        <v/>
      </c>
    </row>
    <row r="37" spans="1:5" ht="14.25" customHeight="1" x14ac:dyDescent="0.3">
      <c r="A37" s="7"/>
      <c r="B37" s="7"/>
      <c r="C37" s="7"/>
      <c r="D37" s="7"/>
      <c r="E37" s="3" t="str">
        <f t="shared" si="1"/>
        <v/>
      </c>
    </row>
    <row r="38" spans="1:5" ht="14.25" customHeight="1" x14ac:dyDescent="0.3">
      <c r="A38" s="7"/>
      <c r="B38" s="7"/>
      <c r="C38" s="7"/>
      <c r="D38" s="7"/>
      <c r="E38" s="3" t="str">
        <f t="shared" si="1"/>
        <v/>
      </c>
    </row>
    <row r="39" spans="1:5" ht="14.25" customHeight="1" x14ac:dyDescent="0.3">
      <c r="A39" s="7"/>
      <c r="B39" s="7"/>
      <c r="C39" s="7"/>
      <c r="D39" s="7"/>
      <c r="E39" s="3" t="str">
        <f t="shared" si="1"/>
        <v/>
      </c>
    </row>
    <row r="40" spans="1:5" ht="14.25" customHeight="1" x14ac:dyDescent="0.3">
      <c r="A40" s="7"/>
      <c r="B40" s="7"/>
      <c r="C40" s="7"/>
      <c r="D40" s="7"/>
      <c r="E40" s="3" t="str">
        <f t="shared" si="1"/>
        <v/>
      </c>
    </row>
    <row r="41" spans="1:5" ht="14.25" customHeight="1" x14ac:dyDescent="0.3">
      <c r="A41" s="7"/>
      <c r="B41" s="7"/>
      <c r="C41" s="7"/>
      <c r="D41" s="7"/>
      <c r="E41" s="3" t="str">
        <f t="shared" si="1"/>
        <v/>
      </c>
    </row>
    <row r="42" spans="1:5" ht="14.25" customHeight="1" x14ac:dyDescent="0.3">
      <c r="A42" s="7"/>
      <c r="B42" s="7"/>
      <c r="C42" s="7"/>
      <c r="D42" s="7"/>
      <c r="E42" s="3" t="str">
        <f t="shared" si="1"/>
        <v/>
      </c>
    </row>
    <row r="43" spans="1:5" ht="14.25" customHeight="1" x14ac:dyDescent="0.3">
      <c r="A43" s="7"/>
      <c r="B43" s="7"/>
      <c r="C43" s="7"/>
      <c r="D43" s="7"/>
      <c r="E43" s="3" t="str">
        <f t="shared" si="1"/>
        <v/>
      </c>
    </row>
    <row r="44" spans="1:5" ht="14.25" customHeight="1" x14ac:dyDescent="0.3">
      <c r="A44" s="7"/>
      <c r="B44" s="7"/>
      <c r="C44" s="7"/>
      <c r="D44" s="7"/>
      <c r="E44" s="3" t="str">
        <f t="shared" si="1"/>
        <v/>
      </c>
    </row>
    <row r="45" spans="1:5" ht="14.25" customHeight="1" x14ac:dyDescent="0.3">
      <c r="A45" s="7"/>
      <c r="B45" s="7"/>
      <c r="C45" s="7"/>
      <c r="D45" s="7"/>
      <c r="E45" s="3" t="str">
        <f t="shared" si="1"/>
        <v/>
      </c>
    </row>
    <row r="46" spans="1:5" ht="14.25" customHeight="1" x14ac:dyDescent="0.3">
      <c r="A46" s="7"/>
      <c r="B46" s="7"/>
      <c r="C46" s="7"/>
      <c r="D46" s="7"/>
      <c r="E46" s="3" t="str">
        <f t="shared" si="1"/>
        <v/>
      </c>
    </row>
    <row r="47" spans="1:5" ht="14.25" customHeight="1" x14ac:dyDescent="0.3">
      <c r="A47" s="7"/>
      <c r="B47" s="7"/>
      <c r="C47" s="7"/>
      <c r="D47" s="7"/>
      <c r="E47" s="3" t="str">
        <f t="shared" si="1"/>
        <v/>
      </c>
    </row>
    <row r="48" spans="1:5" ht="14.25" customHeight="1" x14ac:dyDescent="0.3">
      <c r="A48" s="7"/>
      <c r="B48" s="7"/>
      <c r="C48" s="7"/>
      <c r="D48" s="7"/>
      <c r="E48" s="3" t="str">
        <f t="shared" si="1"/>
        <v/>
      </c>
    </row>
    <row r="49" spans="1:5" ht="14.25" customHeight="1" x14ac:dyDescent="0.3">
      <c r="A49" s="7"/>
      <c r="B49" s="7"/>
      <c r="C49" s="7"/>
      <c r="D49" s="7"/>
      <c r="E49" s="3" t="str">
        <f t="shared" si="1"/>
        <v/>
      </c>
    </row>
    <row r="50" spans="1:5" ht="14.25" customHeight="1" x14ac:dyDescent="0.3">
      <c r="A50" s="7"/>
      <c r="B50" s="7"/>
      <c r="C50" s="7"/>
      <c r="D50" s="7"/>
      <c r="E50" s="3" t="str">
        <f t="shared" si="1"/>
        <v/>
      </c>
    </row>
    <row r="51" spans="1:5" ht="14.25" customHeight="1" x14ac:dyDescent="0.3">
      <c r="A51" s="7"/>
      <c r="B51" s="7"/>
      <c r="C51" s="7"/>
      <c r="D51" s="7"/>
      <c r="E51" s="3" t="str">
        <f t="shared" si="1"/>
        <v/>
      </c>
    </row>
    <row r="52" spans="1:5" ht="14.25" customHeight="1" x14ac:dyDescent="0.3">
      <c r="A52" s="7"/>
      <c r="B52" s="7"/>
      <c r="C52" s="7"/>
      <c r="D52" s="7"/>
      <c r="E52" s="3" t="str">
        <f t="shared" si="1"/>
        <v/>
      </c>
    </row>
    <row r="53" spans="1:5" ht="14.25" customHeight="1" x14ac:dyDescent="0.3">
      <c r="A53" s="7"/>
      <c r="B53" s="7"/>
      <c r="C53" s="7"/>
      <c r="D53" s="7"/>
      <c r="E53" s="3" t="str">
        <f t="shared" si="1"/>
        <v/>
      </c>
    </row>
    <row r="54" spans="1:5" ht="14.25" customHeight="1" x14ac:dyDescent="0.3">
      <c r="A54" s="7"/>
      <c r="B54" s="7"/>
      <c r="C54" s="7"/>
      <c r="D54" s="7"/>
      <c r="E54" s="3" t="str">
        <f t="shared" si="1"/>
        <v/>
      </c>
    </row>
    <row r="55" spans="1:5" ht="14.25" customHeight="1" x14ac:dyDescent="0.3">
      <c r="A55" s="7"/>
      <c r="B55" s="7"/>
      <c r="C55" s="7"/>
      <c r="D55" s="7"/>
      <c r="E55" s="3" t="str">
        <f t="shared" si="1"/>
        <v/>
      </c>
    </row>
    <row r="56" spans="1:5" ht="14.25" customHeight="1" x14ac:dyDescent="0.3">
      <c r="A56" s="7"/>
      <c r="B56" s="7"/>
      <c r="C56" s="7"/>
      <c r="D56" s="7"/>
      <c r="E56" s="3" t="str">
        <f t="shared" si="1"/>
        <v/>
      </c>
    </row>
    <row r="57" spans="1:5" ht="14.25" customHeight="1" x14ac:dyDescent="0.3">
      <c r="A57" s="7"/>
      <c r="B57" s="7"/>
      <c r="C57" s="7"/>
      <c r="D57" s="7"/>
      <c r="E57" s="3" t="str">
        <f t="shared" si="1"/>
        <v/>
      </c>
    </row>
    <row r="58" spans="1:5" ht="14.25" customHeight="1" x14ac:dyDescent="0.3">
      <c r="A58" s="7"/>
      <c r="B58" s="7"/>
      <c r="C58" s="7"/>
      <c r="D58" s="7"/>
      <c r="E58" s="3" t="str">
        <f t="shared" si="1"/>
        <v/>
      </c>
    </row>
    <row r="59" spans="1:5" ht="14.25" customHeight="1" x14ac:dyDescent="0.3">
      <c r="A59" s="7"/>
      <c r="B59" s="7"/>
      <c r="C59" s="7"/>
      <c r="D59" s="7"/>
      <c r="E59" s="3" t="str">
        <f t="shared" si="1"/>
        <v/>
      </c>
    </row>
    <row r="60" spans="1:5" ht="14.25" customHeight="1" x14ac:dyDescent="0.3">
      <c r="A60" s="7"/>
      <c r="B60" s="7"/>
      <c r="C60" s="7"/>
      <c r="D60" s="7"/>
      <c r="E60" s="3" t="str">
        <f t="shared" si="1"/>
        <v/>
      </c>
    </row>
    <row r="61" spans="1:5" ht="14.25" customHeight="1" x14ac:dyDescent="0.3">
      <c r="A61" s="7"/>
      <c r="B61" s="7"/>
      <c r="C61" s="7"/>
      <c r="D61" s="7"/>
      <c r="E61" s="3" t="str">
        <f t="shared" si="1"/>
        <v/>
      </c>
    </row>
    <row r="62" spans="1:5" ht="14.25" customHeight="1" x14ac:dyDescent="0.3">
      <c r="A62" s="7"/>
      <c r="B62" s="7"/>
      <c r="C62" s="7"/>
      <c r="D62" s="7"/>
      <c r="E62" s="3" t="str">
        <f t="shared" si="1"/>
        <v/>
      </c>
    </row>
    <row r="63" spans="1:5" ht="14.25" customHeight="1" x14ac:dyDescent="0.3">
      <c r="A63" s="7"/>
      <c r="B63" s="7"/>
      <c r="C63" s="7"/>
      <c r="D63" s="7"/>
      <c r="E63" s="3" t="str">
        <f t="shared" si="1"/>
        <v/>
      </c>
    </row>
    <row r="64" spans="1:5" ht="14.25" customHeight="1" x14ac:dyDescent="0.3">
      <c r="A64" s="7"/>
      <c r="B64" s="7"/>
      <c r="C64" s="7"/>
      <c r="D64" s="7"/>
      <c r="E64" s="3" t="str">
        <f t="shared" si="1"/>
        <v/>
      </c>
    </row>
    <row r="65" spans="1:5" ht="14.25" customHeight="1" x14ac:dyDescent="0.3">
      <c r="A65" s="7"/>
      <c r="B65" s="7"/>
      <c r="C65" s="7"/>
      <c r="D65" s="7"/>
      <c r="E65" s="3" t="str">
        <f t="shared" si="1"/>
        <v/>
      </c>
    </row>
    <row r="66" spans="1:5" ht="14.25" customHeight="1" x14ac:dyDescent="0.3">
      <c r="A66" s="7"/>
      <c r="B66" s="7"/>
      <c r="C66" s="7"/>
      <c r="D66" s="7"/>
      <c r="E66" s="3" t="str">
        <f t="shared" ref="E66:E97" si="2">IF(COUNTA(A66:D66)=0,"",IF(COUNTIFS($A$2:$A$100,A66,$B$2:$B$100,B66)&gt;1,"DUPLICATE CREDIT/TYPE","OK"))</f>
        <v/>
      </c>
    </row>
    <row r="67" spans="1:5" ht="14.25" customHeight="1" x14ac:dyDescent="0.3">
      <c r="A67" s="7"/>
      <c r="B67" s="7"/>
      <c r="C67" s="7"/>
      <c r="D67" s="7"/>
      <c r="E67" s="3" t="str">
        <f t="shared" si="2"/>
        <v/>
      </c>
    </row>
    <row r="68" spans="1:5" ht="14.25" customHeight="1" x14ac:dyDescent="0.3">
      <c r="A68" s="7"/>
      <c r="B68" s="7"/>
      <c r="C68" s="7"/>
      <c r="D68" s="7"/>
      <c r="E68" s="3" t="str">
        <f t="shared" si="2"/>
        <v/>
      </c>
    </row>
    <row r="69" spans="1:5" ht="14.25" customHeight="1" x14ac:dyDescent="0.3">
      <c r="A69" s="7"/>
      <c r="B69" s="7"/>
      <c r="C69" s="7"/>
      <c r="D69" s="7"/>
      <c r="E69" s="3" t="str">
        <f t="shared" si="2"/>
        <v/>
      </c>
    </row>
    <row r="70" spans="1:5" ht="14.25" customHeight="1" x14ac:dyDescent="0.3">
      <c r="A70" s="7"/>
      <c r="B70" s="7"/>
      <c r="C70" s="7"/>
      <c r="D70" s="7"/>
      <c r="E70" s="3" t="str">
        <f t="shared" si="2"/>
        <v/>
      </c>
    </row>
    <row r="71" spans="1:5" ht="14.25" customHeight="1" x14ac:dyDescent="0.3">
      <c r="A71" s="7"/>
      <c r="B71" s="7"/>
      <c r="C71" s="7"/>
      <c r="D71" s="7"/>
      <c r="E71" s="3" t="str">
        <f t="shared" si="2"/>
        <v/>
      </c>
    </row>
    <row r="72" spans="1:5" ht="14.25" customHeight="1" x14ac:dyDescent="0.3">
      <c r="A72" s="7"/>
      <c r="B72" s="7"/>
      <c r="C72" s="7"/>
      <c r="D72" s="7"/>
      <c r="E72" s="3" t="str">
        <f t="shared" si="2"/>
        <v/>
      </c>
    </row>
    <row r="73" spans="1:5" ht="14.25" customHeight="1" x14ac:dyDescent="0.3">
      <c r="A73" s="7"/>
      <c r="B73" s="7"/>
      <c r="C73" s="7"/>
      <c r="D73" s="7"/>
      <c r="E73" s="3" t="str">
        <f t="shared" si="2"/>
        <v/>
      </c>
    </row>
    <row r="74" spans="1:5" ht="14.25" customHeight="1" x14ac:dyDescent="0.3">
      <c r="A74" s="7"/>
      <c r="B74" s="7"/>
      <c r="C74" s="7"/>
      <c r="D74" s="7"/>
      <c r="E74" s="3" t="str">
        <f t="shared" si="2"/>
        <v/>
      </c>
    </row>
    <row r="75" spans="1:5" ht="14.25" customHeight="1" x14ac:dyDescent="0.3">
      <c r="A75" s="7"/>
      <c r="B75" s="7"/>
      <c r="C75" s="7"/>
      <c r="D75" s="7"/>
      <c r="E75" s="3" t="str">
        <f t="shared" si="2"/>
        <v/>
      </c>
    </row>
    <row r="76" spans="1:5" ht="14.25" customHeight="1" x14ac:dyDescent="0.3">
      <c r="A76" s="7"/>
      <c r="B76" s="7"/>
      <c r="C76" s="7"/>
      <c r="D76" s="7"/>
      <c r="E76" s="3" t="str">
        <f t="shared" si="2"/>
        <v/>
      </c>
    </row>
    <row r="77" spans="1:5" ht="14.25" customHeight="1" x14ac:dyDescent="0.3">
      <c r="A77" s="7"/>
      <c r="B77" s="7"/>
      <c r="C77" s="7"/>
      <c r="D77" s="7"/>
      <c r="E77" s="3" t="str">
        <f t="shared" si="2"/>
        <v/>
      </c>
    </row>
    <row r="78" spans="1:5" ht="14.25" customHeight="1" x14ac:dyDescent="0.3">
      <c r="A78" s="7"/>
      <c r="B78" s="7"/>
      <c r="C78" s="7"/>
      <c r="D78" s="7"/>
      <c r="E78" s="3" t="str">
        <f t="shared" si="2"/>
        <v/>
      </c>
    </row>
    <row r="79" spans="1:5" ht="14.25" customHeight="1" x14ac:dyDescent="0.3">
      <c r="A79" s="7"/>
      <c r="B79" s="7"/>
      <c r="C79" s="7"/>
      <c r="D79" s="7"/>
      <c r="E79" s="3" t="str">
        <f t="shared" si="2"/>
        <v/>
      </c>
    </row>
    <row r="80" spans="1:5" ht="14.25" customHeight="1" x14ac:dyDescent="0.3">
      <c r="A80" s="7"/>
      <c r="B80" s="7"/>
      <c r="C80" s="7"/>
      <c r="D80" s="7"/>
      <c r="E80" s="3" t="str">
        <f t="shared" si="2"/>
        <v/>
      </c>
    </row>
    <row r="81" spans="1:5" ht="14.25" customHeight="1" x14ac:dyDescent="0.3">
      <c r="A81" s="7"/>
      <c r="B81" s="7"/>
      <c r="C81" s="7"/>
      <c r="D81" s="7"/>
      <c r="E81" s="3" t="str">
        <f t="shared" si="2"/>
        <v/>
      </c>
    </row>
    <row r="82" spans="1:5" ht="14.25" customHeight="1" x14ac:dyDescent="0.3">
      <c r="A82" s="7"/>
      <c r="B82" s="7"/>
      <c r="C82" s="7"/>
      <c r="D82" s="7"/>
      <c r="E82" s="3" t="str">
        <f t="shared" si="2"/>
        <v/>
      </c>
    </row>
    <row r="83" spans="1:5" ht="14.25" customHeight="1" x14ac:dyDescent="0.3">
      <c r="A83" s="7"/>
      <c r="B83" s="7"/>
      <c r="C83" s="7"/>
      <c r="D83" s="7"/>
      <c r="E83" s="3" t="str">
        <f t="shared" si="2"/>
        <v/>
      </c>
    </row>
    <row r="84" spans="1:5" ht="14.25" customHeight="1" x14ac:dyDescent="0.3">
      <c r="A84" s="7"/>
      <c r="B84" s="7"/>
      <c r="C84" s="7"/>
      <c r="D84" s="7"/>
      <c r="E84" s="3" t="str">
        <f t="shared" si="2"/>
        <v/>
      </c>
    </row>
    <row r="85" spans="1:5" ht="14.25" customHeight="1" x14ac:dyDescent="0.3">
      <c r="A85" s="7"/>
      <c r="B85" s="7"/>
      <c r="C85" s="7"/>
      <c r="D85" s="7"/>
      <c r="E85" s="3" t="str">
        <f t="shared" si="2"/>
        <v/>
      </c>
    </row>
    <row r="86" spans="1:5" ht="14.25" customHeight="1" x14ac:dyDescent="0.3">
      <c r="A86" s="7"/>
      <c r="B86" s="7"/>
      <c r="C86" s="7"/>
      <c r="D86" s="7"/>
      <c r="E86" s="3" t="str">
        <f t="shared" si="2"/>
        <v/>
      </c>
    </row>
    <row r="87" spans="1:5" ht="14.25" customHeight="1" x14ac:dyDescent="0.3">
      <c r="A87" s="7"/>
      <c r="B87" s="7"/>
      <c r="C87" s="7"/>
      <c r="D87" s="7"/>
      <c r="E87" s="3" t="str">
        <f t="shared" si="2"/>
        <v/>
      </c>
    </row>
    <row r="88" spans="1:5" ht="14.25" customHeight="1" x14ac:dyDescent="0.3">
      <c r="A88" s="7"/>
      <c r="B88" s="7"/>
      <c r="C88" s="7"/>
      <c r="D88" s="7"/>
      <c r="E88" s="3" t="str">
        <f t="shared" si="2"/>
        <v/>
      </c>
    </row>
    <row r="89" spans="1:5" ht="14.25" customHeight="1" x14ac:dyDescent="0.3">
      <c r="A89" s="7"/>
      <c r="B89" s="7"/>
      <c r="C89" s="7"/>
      <c r="D89" s="7"/>
      <c r="E89" s="3" t="str">
        <f t="shared" si="2"/>
        <v/>
      </c>
    </row>
    <row r="90" spans="1:5" ht="14.25" customHeight="1" x14ac:dyDescent="0.3">
      <c r="A90" s="7"/>
      <c r="B90" s="7"/>
      <c r="C90" s="7"/>
      <c r="D90" s="7"/>
      <c r="E90" s="3" t="str">
        <f t="shared" si="2"/>
        <v/>
      </c>
    </row>
    <row r="91" spans="1:5" ht="14.25" customHeight="1" x14ac:dyDescent="0.3">
      <c r="A91" s="7"/>
      <c r="B91" s="7"/>
      <c r="C91" s="7"/>
      <c r="D91" s="7"/>
      <c r="E91" s="3" t="str">
        <f t="shared" si="2"/>
        <v/>
      </c>
    </row>
    <row r="92" spans="1:5" ht="14.25" customHeight="1" x14ac:dyDescent="0.3">
      <c r="A92" s="7"/>
      <c r="B92" s="7"/>
      <c r="C92" s="7"/>
      <c r="D92" s="7"/>
      <c r="E92" s="3" t="str">
        <f t="shared" si="2"/>
        <v/>
      </c>
    </row>
    <row r="93" spans="1:5" ht="14.25" customHeight="1" x14ac:dyDescent="0.3">
      <c r="A93" s="7"/>
      <c r="B93" s="7"/>
      <c r="C93" s="7"/>
      <c r="D93" s="7"/>
      <c r="E93" s="3" t="str">
        <f t="shared" si="2"/>
        <v/>
      </c>
    </row>
    <row r="94" spans="1:5" ht="14.25" customHeight="1" x14ac:dyDescent="0.3">
      <c r="A94" s="7"/>
      <c r="B94" s="7"/>
      <c r="C94" s="7"/>
      <c r="D94" s="7"/>
      <c r="E94" s="3" t="str">
        <f t="shared" si="2"/>
        <v/>
      </c>
    </row>
    <row r="95" spans="1:5" ht="14.25" customHeight="1" x14ac:dyDescent="0.3">
      <c r="A95" s="7"/>
      <c r="B95" s="7"/>
      <c r="C95" s="7"/>
      <c r="D95" s="7"/>
      <c r="E95" s="3" t="str">
        <f t="shared" si="2"/>
        <v/>
      </c>
    </row>
    <row r="96" spans="1:5" ht="14.25" customHeight="1" x14ac:dyDescent="0.3">
      <c r="A96" s="7"/>
      <c r="B96" s="7"/>
      <c r="C96" s="7"/>
      <c r="D96" s="7"/>
      <c r="E96" s="3" t="str">
        <f t="shared" si="2"/>
        <v/>
      </c>
    </row>
    <row r="97" spans="1:5" ht="14.25" customHeight="1" x14ac:dyDescent="0.3">
      <c r="A97" s="7"/>
      <c r="B97" s="7"/>
      <c r="C97" s="7"/>
      <c r="D97" s="7"/>
      <c r="E97" s="3" t="str">
        <f t="shared" si="2"/>
        <v/>
      </c>
    </row>
    <row r="98" spans="1:5" ht="14.25" customHeight="1" x14ac:dyDescent="0.3">
      <c r="A98" s="7"/>
      <c r="B98" s="7"/>
      <c r="C98" s="7"/>
      <c r="D98" s="7"/>
      <c r="E98" s="3" t="str">
        <f t="shared" ref="E98:E100" si="3">IF(COUNTA(A98:D98)=0,"",IF(COUNTIFS($A$2:$A$100,A98,$B$2:$B$100,B98)&gt;1,"DUPLICATE CREDIT/TYPE","OK"))</f>
        <v/>
      </c>
    </row>
    <row r="99" spans="1:5" ht="14.25" customHeight="1" x14ac:dyDescent="0.3">
      <c r="A99" s="7"/>
      <c r="B99" s="7"/>
      <c r="C99" s="7"/>
      <c r="D99" s="7"/>
      <c r="E99" s="3" t="str">
        <f t="shared" si="3"/>
        <v/>
      </c>
    </row>
    <row r="100" spans="1:5" ht="14.25" customHeight="1" x14ac:dyDescent="0.3">
      <c r="A100" s="7"/>
      <c r="B100" s="7"/>
      <c r="C100" s="7"/>
      <c r="D100" s="7"/>
      <c r="E100" s="3" t="str">
        <f t="shared" si="3"/>
        <v/>
      </c>
    </row>
    <row r="101" spans="1:5" ht="14.25" customHeight="1" x14ac:dyDescent="0.3">
      <c r="A101" s="15"/>
      <c r="B101" s="15"/>
      <c r="C101" s="15"/>
      <c r="D101" s="15"/>
      <c r="E101" s="14"/>
    </row>
    <row r="102" spans="1:5" ht="14.25" customHeight="1" x14ac:dyDescent="0.3">
      <c r="A102" s="15"/>
      <c r="B102" s="15"/>
      <c r="C102" s="15"/>
      <c r="D102" s="15"/>
      <c r="E102" s="14"/>
    </row>
    <row r="103" spans="1:5" ht="14.25" customHeight="1" x14ac:dyDescent="0.3">
      <c r="A103" s="15"/>
      <c r="B103" s="15"/>
      <c r="C103" s="15"/>
      <c r="D103" s="15"/>
      <c r="E103" s="14"/>
    </row>
    <row r="104" spans="1:5" ht="14.25" customHeight="1" x14ac:dyDescent="0.3">
      <c r="A104" s="15"/>
      <c r="B104" s="15"/>
      <c r="C104" s="15"/>
      <c r="D104" s="15"/>
      <c r="E104" s="14"/>
    </row>
    <row r="105" spans="1:5" ht="14.25" customHeight="1" x14ac:dyDescent="0.3">
      <c r="A105" s="15"/>
      <c r="B105" s="15"/>
      <c r="C105" s="15"/>
      <c r="D105" s="15"/>
      <c r="E105" s="14"/>
    </row>
    <row r="106" spans="1:5" ht="14.25" customHeight="1" x14ac:dyDescent="0.3">
      <c r="A106" s="15"/>
      <c r="B106" s="15"/>
      <c r="C106" s="15"/>
      <c r="D106" s="15"/>
      <c r="E106" s="14"/>
    </row>
    <row r="107" spans="1:5" ht="14.25" customHeight="1" x14ac:dyDescent="0.3">
      <c r="A107" s="15"/>
      <c r="B107" s="15"/>
      <c r="C107" s="15"/>
      <c r="D107" s="15"/>
      <c r="E107" s="14"/>
    </row>
    <row r="108" spans="1:5" ht="14.25" customHeight="1" x14ac:dyDescent="0.3">
      <c r="A108" s="15"/>
      <c r="B108" s="15"/>
      <c r="C108" s="15"/>
      <c r="D108" s="15"/>
      <c r="E108" s="14"/>
    </row>
    <row r="109" spans="1:5" ht="14.25" customHeight="1" x14ac:dyDescent="0.3">
      <c r="A109" s="15"/>
      <c r="B109" s="15"/>
      <c r="C109" s="15"/>
      <c r="D109" s="15"/>
      <c r="E109" s="14"/>
    </row>
    <row r="110" spans="1:5" ht="14.25" customHeight="1" x14ac:dyDescent="0.3">
      <c r="A110" s="15"/>
      <c r="B110" s="15"/>
      <c r="C110" s="15"/>
      <c r="D110" s="15"/>
      <c r="E110" s="14"/>
    </row>
    <row r="111" spans="1:5" ht="14.25" customHeight="1" x14ac:dyDescent="0.3">
      <c r="A111" s="15"/>
      <c r="B111" s="15"/>
      <c r="C111" s="15"/>
      <c r="D111" s="15"/>
      <c r="E111" s="14"/>
    </row>
    <row r="112" spans="1:5" ht="14.25" customHeight="1" x14ac:dyDescent="0.3">
      <c r="A112" s="15"/>
      <c r="B112" s="15"/>
      <c r="C112" s="15"/>
      <c r="D112" s="15"/>
      <c r="E112" s="14"/>
    </row>
    <row r="113" spans="1:5" ht="14.25" customHeight="1" x14ac:dyDescent="0.3">
      <c r="A113" s="15"/>
      <c r="B113" s="15"/>
      <c r="C113" s="15"/>
      <c r="D113" s="15"/>
      <c r="E113" s="14"/>
    </row>
    <row r="114" spans="1:5" ht="14.25" customHeight="1" x14ac:dyDescent="0.3">
      <c r="A114" s="15"/>
      <c r="B114" s="15"/>
      <c r="C114" s="15"/>
      <c r="D114" s="15"/>
      <c r="E114" s="14"/>
    </row>
    <row r="115" spans="1:5" ht="14.25" customHeight="1" x14ac:dyDescent="0.3">
      <c r="A115" s="15"/>
      <c r="B115" s="15"/>
      <c r="C115" s="15"/>
      <c r="D115" s="15"/>
      <c r="E115" s="14"/>
    </row>
    <row r="116" spans="1:5" ht="14.25" customHeight="1" x14ac:dyDescent="0.3">
      <c r="A116" s="15"/>
      <c r="B116" s="15"/>
      <c r="C116" s="15"/>
      <c r="D116" s="15"/>
      <c r="E116" s="14"/>
    </row>
    <row r="117" spans="1:5" ht="14.25" customHeight="1" x14ac:dyDescent="0.3">
      <c r="A117" s="15"/>
      <c r="B117" s="15"/>
      <c r="C117" s="15"/>
      <c r="D117" s="15"/>
      <c r="E117" s="14"/>
    </row>
    <row r="118" spans="1:5" ht="14.25" customHeight="1" x14ac:dyDescent="0.3">
      <c r="A118" s="15"/>
      <c r="B118" s="15"/>
      <c r="C118" s="15"/>
      <c r="D118" s="15"/>
      <c r="E118" s="14"/>
    </row>
    <row r="119" spans="1:5" ht="14.25" customHeight="1" x14ac:dyDescent="0.3">
      <c r="A119" s="15"/>
      <c r="B119" s="15"/>
      <c r="C119" s="15"/>
      <c r="D119" s="15"/>
      <c r="E119" s="14"/>
    </row>
    <row r="120" spans="1:5" ht="14.25" customHeight="1" x14ac:dyDescent="0.3">
      <c r="A120" s="15"/>
      <c r="B120" s="15"/>
      <c r="C120" s="15"/>
      <c r="D120" s="15"/>
      <c r="E120" s="14"/>
    </row>
    <row r="121" spans="1:5" ht="14.25" customHeight="1" x14ac:dyDescent="0.3">
      <c r="A121" s="15"/>
      <c r="B121" s="15"/>
      <c r="C121" s="15"/>
      <c r="D121" s="15"/>
      <c r="E121" s="14"/>
    </row>
    <row r="122" spans="1:5" ht="14.25" customHeight="1" x14ac:dyDescent="0.3">
      <c r="A122" s="15"/>
      <c r="B122" s="15"/>
      <c r="C122" s="15"/>
      <c r="D122" s="15"/>
      <c r="E122" s="14"/>
    </row>
    <row r="123" spans="1:5" ht="14.25" customHeight="1" x14ac:dyDescent="0.3">
      <c r="A123" s="15"/>
      <c r="B123" s="15"/>
      <c r="C123" s="15"/>
      <c r="D123" s="15"/>
      <c r="E123" s="14"/>
    </row>
    <row r="124" spans="1:5" ht="14.25" customHeight="1" x14ac:dyDescent="0.3">
      <c r="A124" s="15"/>
      <c r="B124" s="15"/>
      <c r="C124" s="15"/>
      <c r="D124" s="15"/>
      <c r="E124" s="14"/>
    </row>
    <row r="125" spans="1:5" ht="14.25" customHeight="1" x14ac:dyDescent="0.3">
      <c r="A125" s="15"/>
      <c r="B125" s="15"/>
      <c r="C125" s="15"/>
      <c r="D125" s="15"/>
      <c r="E125" s="14"/>
    </row>
    <row r="126" spans="1:5" ht="14.25" customHeight="1" x14ac:dyDescent="0.3">
      <c r="A126" s="15"/>
      <c r="B126" s="15"/>
      <c r="C126" s="15"/>
      <c r="D126" s="15"/>
      <c r="E126" s="14"/>
    </row>
    <row r="127" spans="1:5" ht="14.25" customHeight="1" x14ac:dyDescent="0.3">
      <c r="A127" s="15"/>
      <c r="B127" s="15"/>
      <c r="C127" s="15"/>
      <c r="D127" s="15"/>
      <c r="E127" s="14"/>
    </row>
    <row r="128" spans="1:5" ht="14.25" customHeight="1" x14ac:dyDescent="0.3">
      <c r="A128" s="15"/>
      <c r="B128" s="15"/>
      <c r="C128" s="15"/>
      <c r="D128" s="15"/>
      <c r="E128" s="14"/>
    </row>
    <row r="129" spans="1:5" ht="14.25" customHeight="1" x14ac:dyDescent="0.3">
      <c r="A129" s="15"/>
      <c r="B129" s="15"/>
      <c r="C129" s="15"/>
      <c r="D129" s="15"/>
      <c r="E129" s="14"/>
    </row>
    <row r="130" spans="1:5" ht="14.25" customHeight="1" x14ac:dyDescent="0.3">
      <c r="A130" s="15"/>
      <c r="B130" s="15"/>
      <c r="C130" s="15"/>
      <c r="D130" s="15"/>
      <c r="E130" s="14"/>
    </row>
    <row r="131" spans="1:5" ht="14.25" customHeight="1" x14ac:dyDescent="0.3">
      <c r="A131" s="15"/>
      <c r="B131" s="15"/>
      <c r="C131" s="15"/>
      <c r="D131" s="15"/>
      <c r="E131" s="14"/>
    </row>
    <row r="132" spans="1:5" ht="14.25" customHeight="1" x14ac:dyDescent="0.3">
      <c r="A132" s="15"/>
      <c r="B132" s="15"/>
      <c r="C132" s="15"/>
      <c r="D132" s="15"/>
      <c r="E132" s="14"/>
    </row>
    <row r="133" spans="1:5" ht="14.25" customHeight="1" x14ac:dyDescent="0.3">
      <c r="A133" s="15"/>
      <c r="B133" s="15"/>
      <c r="C133" s="15"/>
      <c r="D133" s="15"/>
      <c r="E133" s="14"/>
    </row>
    <row r="134" spans="1:5" ht="14.25" customHeight="1" x14ac:dyDescent="0.3">
      <c r="A134" s="15"/>
      <c r="B134" s="15"/>
      <c r="C134" s="15"/>
      <c r="D134" s="15"/>
      <c r="E134" s="14"/>
    </row>
    <row r="135" spans="1:5" ht="14.25" customHeight="1" x14ac:dyDescent="0.3">
      <c r="A135" s="15"/>
      <c r="B135" s="15"/>
      <c r="C135" s="15"/>
      <c r="D135" s="15"/>
      <c r="E135" s="14"/>
    </row>
    <row r="136" spans="1:5" ht="14.25" customHeight="1" x14ac:dyDescent="0.3">
      <c r="A136" s="15"/>
      <c r="B136" s="15"/>
      <c r="C136" s="15"/>
      <c r="D136" s="15"/>
      <c r="E136" s="14"/>
    </row>
    <row r="137" spans="1:5" ht="14.25" customHeight="1" x14ac:dyDescent="0.3">
      <c r="A137" s="15"/>
      <c r="B137" s="15"/>
      <c r="C137" s="15"/>
      <c r="D137" s="15"/>
      <c r="E137" s="14"/>
    </row>
    <row r="138" spans="1:5" ht="14.25" customHeight="1" x14ac:dyDescent="0.3">
      <c r="A138" s="15"/>
      <c r="B138" s="15"/>
      <c r="C138" s="15"/>
      <c r="D138" s="15"/>
      <c r="E138" s="14"/>
    </row>
    <row r="139" spans="1:5" ht="14.25" customHeight="1" x14ac:dyDescent="0.3">
      <c r="A139" s="15"/>
      <c r="B139" s="15"/>
      <c r="C139" s="15"/>
      <c r="D139" s="15"/>
      <c r="E139" s="14"/>
    </row>
    <row r="140" spans="1:5" ht="14.25" customHeight="1" x14ac:dyDescent="0.3">
      <c r="A140" s="15"/>
      <c r="B140" s="15"/>
      <c r="C140" s="15"/>
      <c r="D140" s="15"/>
      <c r="E140" s="14"/>
    </row>
    <row r="141" spans="1:5" ht="14.25" customHeight="1" x14ac:dyDescent="0.3">
      <c r="A141" s="15"/>
      <c r="B141" s="15"/>
      <c r="C141" s="15"/>
      <c r="D141" s="15"/>
      <c r="E141" s="14"/>
    </row>
    <row r="142" spans="1:5" ht="14.25" customHeight="1" x14ac:dyDescent="0.3">
      <c r="A142" s="15"/>
      <c r="B142" s="15"/>
      <c r="C142" s="15"/>
      <c r="D142" s="15"/>
      <c r="E142" s="14"/>
    </row>
    <row r="143" spans="1:5" ht="14.25" customHeight="1" x14ac:dyDescent="0.3">
      <c r="A143" s="15"/>
      <c r="B143" s="15"/>
      <c r="C143" s="15"/>
      <c r="D143" s="15"/>
      <c r="E143" s="14"/>
    </row>
    <row r="144" spans="1:5" ht="14.25" customHeight="1" x14ac:dyDescent="0.3">
      <c r="A144" s="15"/>
      <c r="B144" s="15"/>
      <c r="C144" s="15"/>
      <c r="D144" s="15"/>
      <c r="E144" s="14"/>
    </row>
    <row r="145" spans="1:5" ht="14.25" customHeight="1" x14ac:dyDescent="0.3">
      <c r="A145" s="15"/>
      <c r="B145" s="15"/>
      <c r="C145" s="15"/>
      <c r="D145" s="15"/>
      <c r="E145" s="14"/>
    </row>
    <row r="146" spans="1:5" ht="14.25" customHeight="1" x14ac:dyDescent="0.3">
      <c r="A146" s="15"/>
      <c r="B146" s="15"/>
      <c r="C146" s="15"/>
      <c r="D146" s="15"/>
      <c r="E146" s="14"/>
    </row>
    <row r="147" spans="1:5" ht="14.25" customHeight="1" x14ac:dyDescent="0.3">
      <c r="A147" s="15"/>
      <c r="B147" s="15"/>
      <c r="C147" s="15"/>
      <c r="D147" s="15"/>
      <c r="E147" s="14"/>
    </row>
    <row r="148" spans="1:5" ht="14.25" customHeight="1" x14ac:dyDescent="0.3">
      <c r="A148" s="15"/>
      <c r="B148" s="15"/>
      <c r="C148" s="15"/>
      <c r="D148" s="15"/>
      <c r="E148" s="14"/>
    </row>
    <row r="149" spans="1:5" ht="14.25" customHeight="1" x14ac:dyDescent="0.3">
      <c r="A149" s="15"/>
      <c r="B149" s="15"/>
      <c r="C149" s="15"/>
      <c r="D149" s="15"/>
      <c r="E149" s="14"/>
    </row>
    <row r="150" spans="1:5" ht="14.25" customHeight="1" x14ac:dyDescent="0.3">
      <c r="A150" s="15"/>
      <c r="B150" s="15"/>
      <c r="C150" s="15"/>
      <c r="D150" s="15"/>
      <c r="E150" s="14"/>
    </row>
    <row r="151" spans="1:5" ht="14.25" customHeight="1" x14ac:dyDescent="0.3">
      <c r="A151" s="15"/>
      <c r="B151" s="15"/>
      <c r="C151" s="15"/>
      <c r="D151" s="15"/>
      <c r="E151" s="14"/>
    </row>
    <row r="152" spans="1:5" ht="14.25" customHeight="1" x14ac:dyDescent="0.3">
      <c r="A152" s="15"/>
      <c r="B152" s="15"/>
      <c r="C152" s="15"/>
      <c r="D152" s="15"/>
      <c r="E152" s="14"/>
    </row>
    <row r="153" spans="1:5" ht="14.25" customHeight="1" x14ac:dyDescent="0.3">
      <c r="A153" s="15"/>
      <c r="B153" s="15"/>
      <c r="C153" s="15"/>
      <c r="D153" s="15"/>
      <c r="E153" s="14"/>
    </row>
    <row r="154" spans="1:5" ht="14.25" customHeight="1" x14ac:dyDescent="0.3">
      <c r="A154" s="15"/>
      <c r="B154" s="15"/>
      <c r="C154" s="15"/>
      <c r="D154" s="15"/>
      <c r="E154" s="14"/>
    </row>
    <row r="155" spans="1:5" ht="14.25" customHeight="1" x14ac:dyDescent="0.3">
      <c r="A155" s="15"/>
      <c r="B155" s="15"/>
      <c r="C155" s="15"/>
      <c r="D155" s="15"/>
      <c r="E155" s="14"/>
    </row>
    <row r="156" spans="1:5" ht="14.25" customHeight="1" x14ac:dyDescent="0.3">
      <c r="A156" s="15"/>
      <c r="B156" s="15"/>
      <c r="C156" s="15"/>
      <c r="D156" s="15"/>
      <c r="E156" s="14"/>
    </row>
    <row r="157" spans="1:5" ht="14.25" customHeight="1" x14ac:dyDescent="0.3">
      <c r="A157" s="15"/>
      <c r="B157" s="15"/>
      <c r="C157" s="15"/>
      <c r="D157" s="15"/>
      <c r="E157" s="14"/>
    </row>
    <row r="158" spans="1:5" ht="14.25" customHeight="1" x14ac:dyDescent="0.3">
      <c r="A158" s="15"/>
      <c r="B158" s="15"/>
      <c r="C158" s="15"/>
      <c r="D158" s="15"/>
      <c r="E158" s="14"/>
    </row>
    <row r="159" spans="1:5" ht="14.25" customHeight="1" x14ac:dyDescent="0.3">
      <c r="A159" s="15"/>
      <c r="B159" s="15"/>
      <c r="C159" s="15"/>
      <c r="D159" s="15"/>
      <c r="E159" s="14"/>
    </row>
    <row r="160" spans="1:5" ht="14.25" customHeight="1" x14ac:dyDescent="0.3">
      <c r="A160" s="15"/>
      <c r="B160" s="15"/>
      <c r="C160" s="15"/>
      <c r="D160" s="15"/>
      <c r="E160" s="14"/>
    </row>
    <row r="161" spans="1:5" ht="14.25" customHeight="1" x14ac:dyDescent="0.3">
      <c r="A161" s="15"/>
      <c r="B161" s="15"/>
      <c r="C161" s="15"/>
      <c r="D161" s="15"/>
      <c r="E161" s="14"/>
    </row>
    <row r="162" spans="1:5" ht="14.25" customHeight="1" x14ac:dyDescent="0.3">
      <c r="A162" s="15"/>
      <c r="B162" s="15"/>
      <c r="C162" s="15"/>
      <c r="D162" s="15"/>
      <c r="E162" s="14"/>
    </row>
    <row r="163" spans="1:5" ht="14.25" customHeight="1" x14ac:dyDescent="0.3">
      <c r="A163" s="15"/>
      <c r="B163" s="15"/>
      <c r="C163" s="15"/>
      <c r="D163" s="15"/>
      <c r="E163" s="14"/>
    </row>
    <row r="164" spans="1:5" ht="14.25" customHeight="1" x14ac:dyDescent="0.3">
      <c r="A164" s="15"/>
      <c r="B164" s="15"/>
      <c r="C164" s="15"/>
      <c r="D164" s="15"/>
      <c r="E164" s="14"/>
    </row>
    <row r="165" spans="1:5" ht="14.25" customHeight="1" x14ac:dyDescent="0.3">
      <c r="A165" s="15"/>
      <c r="B165" s="15"/>
      <c r="C165" s="15"/>
      <c r="D165" s="15"/>
      <c r="E165" s="14"/>
    </row>
    <row r="166" spans="1:5" ht="14.25" customHeight="1" x14ac:dyDescent="0.3">
      <c r="A166" s="15"/>
      <c r="B166" s="15"/>
      <c r="C166" s="15"/>
      <c r="D166" s="15"/>
      <c r="E166" s="14"/>
    </row>
    <row r="167" spans="1:5" ht="14.25" customHeight="1" x14ac:dyDescent="0.3">
      <c r="A167" s="15"/>
      <c r="B167" s="15"/>
      <c r="C167" s="15"/>
      <c r="D167" s="15"/>
      <c r="E167" s="14"/>
    </row>
    <row r="168" spans="1:5" ht="14.25" customHeight="1" x14ac:dyDescent="0.3">
      <c r="A168" s="15"/>
      <c r="B168" s="15"/>
      <c r="C168" s="15"/>
      <c r="D168" s="15"/>
      <c r="E168" s="14"/>
    </row>
    <row r="169" spans="1:5" ht="14.25" customHeight="1" x14ac:dyDescent="0.3">
      <c r="A169" s="15"/>
      <c r="B169" s="15"/>
      <c r="C169" s="15"/>
      <c r="D169" s="15"/>
      <c r="E169" s="14"/>
    </row>
    <row r="170" spans="1:5" ht="14.25" customHeight="1" x14ac:dyDescent="0.3">
      <c r="A170" s="15"/>
      <c r="B170" s="15"/>
      <c r="C170" s="15"/>
      <c r="D170" s="15"/>
      <c r="E170" s="14"/>
    </row>
    <row r="171" spans="1:5" ht="14.25" customHeight="1" x14ac:dyDescent="0.3">
      <c r="A171" s="15"/>
      <c r="B171" s="15"/>
      <c r="C171" s="15"/>
      <c r="D171" s="15"/>
      <c r="E171" s="14"/>
    </row>
    <row r="172" spans="1:5" ht="14.25" customHeight="1" x14ac:dyDescent="0.3">
      <c r="A172" s="15"/>
      <c r="B172" s="15"/>
      <c r="C172" s="15"/>
      <c r="D172" s="15"/>
      <c r="E172" s="14"/>
    </row>
    <row r="173" spans="1:5" ht="14.25" customHeight="1" x14ac:dyDescent="0.3">
      <c r="A173" s="15"/>
      <c r="B173" s="15"/>
      <c r="C173" s="15"/>
      <c r="D173" s="15"/>
      <c r="E173" s="14"/>
    </row>
    <row r="174" spans="1:5" ht="14.25" customHeight="1" x14ac:dyDescent="0.3">
      <c r="A174" s="15"/>
      <c r="B174" s="15"/>
      <c r="C174" s="15"/>
      <c r="D174" s="15"/>
      <c r="E174" s="14"/>
    </row>
    <row r="175" spans="1:5" ht="14.25" customHeight="1" x14ac:dyDescent="0.3">
      <c r="A175" s="15"/>
      <c r="B175" s="15"/>
      <c r="C175" s="15"/>
      <c r="D175" s="15"/>
      <c r="E175" s="14"/>
    </row>
    <row r="176" spans="1:5" ht="14.25" customHeight="1" x14ac:dyDescent="0.3">
      <c r="A176" s="15"/>
      <c r="B176" s="15"/>
      <c r="C176" s="15"/>
      <c r="D176" s="15"/>
      <c r="E176" s="14"/>
    </row>
    <row r="177" spans="1:5" ht="14.25" customHeight="1" x14ac:dyDescent="0.3">
      <c r="A177" s="15"/>
      <c r="B177" s="15"/>
      <c r="C177" s="15"/>
      <c r="D177" s="15"/>
      <c r="E177" s="14"/>
    </row>
    <row r="178" spans="1:5" ht="14.25" customHeight="1" x14ac:dyDescent="0.3">
      <c r="A178" s="15"/>
      <c r="B178" s="15"/>
      <c r="C178" s="15"/>
      <c r="D178" s="15"/>
      <c r="E178" s="14"/>
    </row>
    <row r="179" spans="1:5" ht="14.25" customHeight="1" x14ac:dyDescent="0.3">
      <c r="A179" s="15"/>
      <c r="B179" s="15"/>
      <c r="C179" s="15"/>
      <c r="D179" s="15"/>
      <c r="E179" s="14"/>
    </row>
    <row r="180" spans="1:5" ht="14.25" customHeight="1" x14ac:dyDescent="0.3">
      <c r="A180" s="15"/>
      <c r="B180" s="15"/>
      <c r="C180" s="15"/>
      <c r="D180" s="15"/>
      <c r="E180" s="14"/>
    </row>
    <row r="181" spans="1:5" ht="14.25" customHeight="1" x14ac:dyDescent="0.3">
      <c r="A181" s="15"/>
      <c r="B181" s="15"/>
      <c r="C181" s="15"/>
      <c r="D181" s="15"/>
      <c r="E181" s="14"/>
    </row>
    <row r="182" spans="1:5" ht="14.25" customHeight="1" x14ac:dyDescent="0.3">
      <c r="A182" s="15"/>
      <c r="B182" s="15"/>
      <c r="C182" s="15"/>
      <c r="D182" s="15"/>
      <c r="E182" s="14"/>
    </row>
    <row r="183" spans="1:5" ht="14.25" customHeight="1" x14ac:dyDescent="0.3">
      <c r="A183" s="15"/>
      <c r="B183" s="15"/>
      <c r="C183" s="15"/>
      <c r="D183" s="15"/>
      <c r="E183" s="14"/>
    </row>
    <row r="184" spans="1:5" ht="14.25" customHeight="1" x14ac:dyDescent="0.3">
      <c r="A184" s="15"/>
      <c r="B184" s="15"/>
      <c r="C184" s="15"/>
      <c r="D184" s="15"/>
      <c r="E184" s="14"/>
    </row>
    <row r="185" spans="1:5" ht="14.25" customHeight="1" x14ac:dyDescent="0.3">
      <c r="A185" s="15"/>
      <c r="B185" s="15"/>
      <c r="C185" s="15"/>
      <c r="D185" s="15"/>
      <c r="E185" s="14"/>
    </row>
    <row r="186" spans="1:5" ht="14.25" customHeight="1" x14ac:dyDescent="0.3">
      <c r="A186" s="15"/>
      <c r="B186" s="15"/>
      <c r="C186" s="15"/>
      <c r="D186" s="15"/>
      <c r="E186" s="14"/>
    </row>
    <row r="187" spans="1:5" ht="14.25" customHeight="1" x14ac:dyDescent="0.3">
      <c r="A187" s="15"/>
      <c r="B187" s="15"/>
      <c r="C187" s="15"/>
      <c r="D187" s="15"/>
      <c r="E187" s="14"/>
    </row>
    <row r="188" spans="1:5" ht="14.25" customHeight="1" x14ac:dyDescent="0.3">
      <c r="A188" s="15"/>
      <c r="B188" s="15"/>
      <c r="C188" s="15"/>
      <c r="D188" s="15"/>
      <c r="E188" s="14"/>
    </row>
    <row r="189" spans="1:5" ht="14.25" customHeight="1" x14ac:dyDescent="0.3">
      <c r="A189" s="15"/>
      <c r="B189" s="15"/>
      <c r="C189" s="15"/>
      <c r="D189" s="15"/>
      <c r="E189" s="14"/>
    </row>
    <row r="190" spans="1:5" ht="14.25" customHeight="1" x14ac:dyDescent="0.3">
      <c r="A190" s="15"/>
      <c r="B190" s="15"/>
      <c r="C190" s="15"/>
      <c r="D190" s="15"/>
      <c r="E190" s="14"/>
    </row>
    <row r="191" spans="1:5" ht="14.25" customHeight="1" x14ac:dyDescent="0.3">
      <c r="A191" s="15"/>
      <c r="B191" s="15"/>
      <c r="C191" s="15"/>
      <c r="D191" s="15"/>
      <c r="E191" s="14"/>
    </row>
    <row r="192" spans="1:5" ht="14.25" customHeight="1" x14ac:dyDescent="0.3">
      <c r="A192" s="15"/>
      <c r="B192" s="15"/>
      <c r="C192" s="15"/>
      <c r="D192" s="15"/>
      <c r="E192" s="14"/>
    </row>
    <row r="193" spans="1:5" ht="14.25" customHeight="1" x14ac:dyDescent="0.3">
      <c r="A193" s="15"/>
      <c r="B193" s="15"/>
      <c r="C193" s="15"/>
      <c r="D193" s="15"/>
      <c r="E193" s="14"/>
    </row>
    <row r="194" spans="1:5" ht="14.25" customHeight="1" x14ac:dyDescent="0.3">
      <c r="A194" s="15"/>
      <c r="B194" s="15"/>
      <c r="C194" s="15"/>
      <c r="D194" s="15"/>
      <c r="E194" s="14"/>
    </row>
    <row r="195" spans="1:5" ht="14.25" customHeight="1" x14ac:dyDescent="0.3">
      <c r="A195" s="15"/>
      <c r="B195" s="15"/>
      <c r="C195" s="15"/>
      <c r="D195" s="15"/>
      <c r="E195" s="14"/>
    </row>
    <row r="196" spans="1:5" ht="14.25" customHeight="1" x14ac:dyDescent="0.3">
      <c r="A196" s="15"/>
      <c r="B196" s="15"/>
      <c r="C196" s="15"/>
      <c r="D196" s="15"/>
      <c r="E196" s="14"/>
    </row>
    <row r="197" spans="1:5" ht="14.25" customHeight="1" x14ac:dyDescent="0.3">
      <c r="A197" s="15"/>
      <c r="B197" s="15"/>
      <c r="C197" s="15"/>
      <c r="D197" s="15"/>
      <c r="E197" s="14"/>
    </row>
    <row r="198" spans="1:5" ht="14.25" customHeight="1" x14ac:dyDescent="0.3">
      <c r="A198" s="15"/>
      <c r="B198" s="15"/>
      <c r="C198" s="15"/>
      <c r="D198" s="15"/>
      <c r="E198" s="14"/>
    </row>
    <row r="199" spans="1:5" ht="14.25" customHeight="1" x14ac:dyDescent="0.3">
      <c r="A199" s="15"/>
      <c r="B199" s="15"/>
      <c r="C199" s="15"/>
      <c r="D199" s="15"/>
      <c r="E199" s="14"/>
    </row>
    <row r="200" spans="1:5" ht="14.25" customHeight="1" x14ac:dyDescent="0.3">
      <c r="A200" s="15"/>
      <c r="B200" s="15"/>
      <c r="C200" s="15"/>
      <c r="D200" s="15"/>
      <c r="E200" s="14"/>
    </row>
    <row r="201" spans="1:5" ht="14.25" customHeight="1" x14ac:dyDescent="0.3">
      <c r="A201" s="15"/>
      <c r="B201" s="15"/>
      <c r="C201" s="15"/>
      <c r="D201" s="15"/>
      <c r="E201" s="14"/>
    </row>
    <row r="202" spans="1:5" ht="14.25" customHeight="1" x14ac:dyDescent="0.3">
      <c r="A202" s="15"/>
      <c r="B202" s="15"/>
      <c r="C202" s="15"/>
      <c r="D202" s="15"/>
      <c r="E202" s="14"/>
    </row>
    <row r="203" spans="1:5" ht="14.25" customHeight="1" x14ac:dyDescent="0.3">
      <c r="A203" s="15"/>
      <c r="B203" s="15"/>
      <c r="C203" s="15"/>
      <c r="D203" s="15"/>
      <c r="E203" s="14"/>
    </row>
    <row r="204" spans="1:5" ht="14.25" customHeight="1" x14ac:dyDescent="0.3">
      <c r="A204" s="15"/>
      <c r="B204" s="15"/>
      <c r="C204" s="15"/>
      <c r="D204" s="15"/>
      <c r="E204" s="14"/>
    </row>
    <row r="205" spans="1:5" ht="14.25" customHeight="1" x14ac:dyDescent="0.3">
      <c r="A205" s="15"/>
      <c r="B205" s="15"/>
      <c r="C205" s="15"/>
      <c r="D205" s="15"/>
      <c r="E205" s="14"/>
    </row>
    <row r="206" spans="1:5" ht="14.25" customHeight="1" x14ac:dyDescent="0.3">
      <c r="A206" s="15"/>
      <c r="B206" s="15"/>
      <c r="C206" s="15"/>
      <c r="D206" s="15"/>
      <c r="E206" s="14"/>
    </row>
    <row r="207" spans="1:5" ht="14.25" customHeight="1" x14ac:dyDescent="0.3">
      <c r="A207" s="15"/>
      <c r="B207" s="15"/>
      <c r="C207" s="15"/>
      <c r="D207" s="15"/>
      <c r="E207" s="14"/>
    </row>
    <row r="208" spans="1:5" ht="14.25" customHeight="1" x14ac:dyDescent="0.3">
      <c r="A208" s="15"/>
      <c r="B208" s="15"/>
      <c r="C208" s="15"/>
      <c r="D208" s="15"/>
      <c r="E208" s="14"/>
    </row>
    <row r="209" spans="1:5" ht="14.25" customHeight="1" x14ac:dyDescent="0.3">
      <c r="A209" s="15"/>
      <c r="B209" s="15"/>
      <c r="C209" s="15"/>
      <c r="D209" s="15"/>
      <c r="E209" s="14"/>
    </row>
    <row r="210" spans="1:5" ht="14.25" customHeight="1" x14ac:dyDescent="0.3">
      <c r="A210" s="15"/>
      <c r="B210" s="15"/>
      <c r="C210" s="15"/>
      <c r="D210" s="15"/>
      <c r="E210" s="14"/>
    </row>
    <row r="211" spans="1:5" ht="14.25" customHeight="1" x14ac:dyDescent="0.3">
      <c r="A211" s="15"/>
      <c r="B211" s="15"/>
      <c r="C211" s="15"/>
      <c r="D211" s="15"/>
      <c r="E211" s="14"/>
    </row>
    <row r="212" spans="1:5" ht="14.25" customHeight="1" x14ac:dyDescent="0.3">
      <c r="A212" s="15"/>
      <c r="B212" s="15"/>
      <c r="C212" s="15"/>
      <c r="D212" s="15"/>
      <c r="E212" s="14"/>
    </row>
    <row r="213" spans="1:5" ht="14.25" customHeight="1" x14ac:dyDescent="0.3">
      <c r="A213" s="15"/>
      <c r="B213" s="15"/>
      <c r="C213" s="15"/>
      <c r="D213" s="15"/>
      <c r="E213" s="14"/>
    </row>
    <row r="214" spans="1:5" ht="14.25" customHeight="1" x14ac:dyDescent="0.3">
      <c r="A214" s="15"/>
      <c r="B214" s="15"/>
      <c r="C214" s="15"/>
      <c r="D214" s="15"/>
      <c r="E214" s="14"/>
    </row>
    <row r="215" spans="1:5" ht="14.25" customHeight="1" x14ac:dyDescent="0.3">
      <c r="A215" s="15"/>
      <c r="B215" s="15"/>
      <c r="C215" s="15"/>
      <c r="D215" s="15"/>
      <c r="E215" s="14"/>
    </row>
    <row r="216" spans="1:5" ht="14.25" customHeight="1" x14ac:dyDescent="0.3">
      <c r="A216" s="15"/>
      <c r="B216" s="15"/>
      <c r="C216" s="15"/>
      <c r="D216" s="15"/>
      <c r="E216" s="14"/>
    </row>
    <row r="217" spans="1:5" ht="14.25" customHeight="1" x14ac:dyDescent="0.3">
      <c r="A217" s="15"/>
      <c r="B217" s="15"/>
      <c r="C217" s="15"/>
      <c r="D217" s="15"/>
      <c r="E217" s="14"/>
    </row>
    <row r="218" spans="1:5" ht="14.25" customHeight="1" x14ac:dyDescent="0.3">
      <c r="A218" s="15"/>
      <c r="B218" s="15"/>
      <c r="C218" s="15"/>
      <c r="D218" s="15"/>
      <c r="E218" s="14"/>
    </row>
    <row r="219" spans="1:5" ht="14.25" customHeight="1" x14ac:dyDescent="0.3">
      <c r="A219" s="15"/>
      <c r="B219" s="15"/>
      <c r="C219" s="15"/>
      <c r="D219" s="15"/>
      <c r="E219" s="14"/>
    </row>
    <row r="220" spans="1:5" ht="14.25" customHeight="1" x14ac:dyDescent="0.3">
      <c r="A220" s="15"/>
      <c r="B220" s="15"/>
      <c r="C220" s="15"/>
      <c r="D220" s="15"/>
      <c r="E220" s="14"/>
    </row>
    <row r="221" spans="1:5" ht="14.25" customHeight="1" x14ac:dyDescent="0.3">
      <c r="A221" s="15"/>
      <c r="B221" s="15"/>
      <c r="C221" s="15"/>
      <c r="D221" s="15"/>
      <c r="E221" s="14"/>
    </row>
    <row r="222" spans="1:5" ht="14.25" customHeight="1" x14ac:dyDescent="0.3">
      <c r="A222" s="15"/>
      <c r="B222" s="15"/>
      <c r="C222" s="15"/>
      <c r="D222" s="15"/>
      <c r="E222" s="14"/>
    </row>
    <row r="223" spans="1:5" ht="14.25" customHeight="1" x14ac:dyDescent="0.3">
      <c r="A223" s="15"/>
      <c r="B223" s="15"/>
      <c r="C223" s="15"/>
      <c r="D223" s="15"/>
      <c r="E223" s="14"/>
    </row>
    <row r="224" spans="1:5" ht="14.25" customHeight="1" x14ac:dyDescent="0.3">
      <c r="A224" s="15"/>
      <c r="B224" s="15"/>
      <c r="C224" s="15"/>
      <c r="D224" s="15"/>
      <c r="E224" s="14"/>
    </row>
    <row r="225" spans="1:5" ht="14.25" customHeight="1" x14ac:dyDescent="0.3">
      <c r="A225" s="15"/>
      <c r="B225" s="15"/>
      <c r="C225" s="15"/>
      <c r="D225" s="15"/>
      <c r="E225" s="14"/>
    </row>
    <row r="226" spans="1:5" ht="14.25" customHeight="1" x14ac:dyDescent="0.3">
      <c r="A226" s="15"/>
      <c r="B226" s="15"/>
      <c r="C226" s="15"/>
      <c r="D226" s="15"/>
      <c r="E226" s="14"/>
    </row>
    <row r="227" spans="1:5" ht="14.25" customHeight="1" x14ac:dyDescent="0.3">
      <c r="A227" s="15"/>
      <c r="B227" s="15"/>
      <c r="C227" s="15"/>
      <c r="D227" s="15"/>
      <c r="E227" s="14"/>
    </row>
    <row r="228" spans="1:5" ht="14.25" customHeight="1" x14ac:dyDescent="0.3">
      <c r="A228" s="15"/>
      <c r="B228" s="15"/>
      <c r="C228" s="15"/>
      <c r="D228" s="15"/>
      <c r="E228" s="14"/>
    </row>
    <row r="229" spans="1:5" ht="14.25" customHeight="1" x14ac:dyDescent="0.3">
      <c r="A229" s="15"/>
      <c r="B229" s="15"/>
      <c r="C229" s="15"/>
      <c r="D229" s="15"/>
      <c r="E229" s="14"/>
    </row>
    <row r="230" spans="1:5" ht="14.25" customHeight="1" x14ac:dyDescent="0.3">
      <c r="A230" s="15"/>
      <c r="B230" s="15"/>
      <c r="C230" s="15"/>
      <c r="D230" s="15"/>
      <c r="E230" s="14"/>
    </row>
    <row r="231" spans="1:5" ht="14.25" customHeight="1" x14ac:dyDescent="0.3">
      <c r="A231" s="15"/>
      <c r="B231" s="15"/>
      <c r="C231" s="15"/>
      <c r="D231" s="15"/>
      <c r="E231" s="14"/>
    </row>
    <row r="232" spans="1:5" ht="14.25" customHeight="1" x14ac:dyDescent="0.3">
      <c r="A232" s="15"/>
      <c r="B232" s="15"/>
      <c r="C232" s="15"/>
      <c r="D232" s="15"/>
      <c r="E232" s="14"/>
    </row>
    <row r="233" spans="1:5" ht="14.25" customHeight="1" x14ac:dyDescent="0.3">
      <c r="A233" s="15"/>
      <c r="B233" s="15"/>
      <c r="C233" s="15"/>
      <c r="D233" s="15"/>
      <c r="E233" s="14"/>
    </row>
    <row r="234" spans="1:5" ht="14.25" customHeight="1" x14ac:dyDescent="0.3">
      <c r="A234" s="15"/>
      <c r="B234" s="15"/>
      <c r="C234" s="15"/>
      <c r="D234" s="15"/>
      <c r="E234" s="14"/>
    </row>
    <row r="235" spans="1:5" ht="14.25" customHeight="1" x14ac:dyDescent="0.3">
      <c r="A235" s="15"/>
      <c r="B235" s="15"/>
      <c r="C235" s="15"/>
      <c r="D235" s="15"/>
      <c r="E235" s="14"/>
    </row>
    <row r="236" spans="1:5" ht="14.25" customHeight="1" x14ac:dyDescent="0.3">
      <c r="A236" s="15"/>
      <c r="B236" s="15"/>
      <c r="C236" s="15"/>
      <c r="D236" s="15"/>
      <c r="E236" s="14"/>
    </row>
    <row r="237" spans="1:5" ht="14.25" customHeight="1" x14ac:dyDescent="0.3">
      <c r="A237" s="15"/>
      <c r="B237" s="15"/>
      <c r="C237" s="15"/>
      <c r="D237" s="15"/>
      <c r="E237" s="14"/>
    </row>
    <row r="238" spans="1:5" ht="14.25" customHeight="1" x14ac:dyDescent="0.3">
      <c r="A238" s="15"/>
      <c r="B238" s="15"/>
      <c r="C238" s="15"/>
      <c r="D238" s="15"/>
      <c r="E238" s="14"/>
    </row>
    <row r="239" spans="1:5" ht="14.25" customHeight="1" x14ac:dyDescent="0.3">
      <c r="A239" s="15"/>
      <c r="B239" s="15"/>
      <c r="C239" s="15"/>
      <c r="D239" s="15"/>
      <c r="E239" s="14"/>
    </row>
    <row r="240" spans="1:5" ht="14.25" customHeight="1" x14ac:dyDescent="0.3">
      <c r="A240" s="15"/>
      <c r="B240" s="15"/>
      <c r="C240" s="15"/>
      <c r="D240" s="15"/>
      <c r="E240" s="14"/>
    </row>
    <row r="241" spans="1:5" ht="14.25" customHeight="1" x14ac:dyDescent="0.3">
      <c r="A241" s="15"/>
      <c r="B241" s="15"/>
      <c r="C241" s="15"/>
      <c r="D241" s="15"/>
      <c r="E241" s="14"/>
    </row>
    <row r="242" spans="1:5" ht="14.25" customHeight="1" x14ac:dyDescent="0.3">
      <c r="A242" s="15"/>
      <c r="B242" s="15"/>
      <c r="C242" s="15"/>
      <c r="D242" s="15"/>
      <c r="E242" s="14"/>
    </row>
    <row r="243" spans="1:5" ht="14.25" customHeight="1" x14ac:dyDescent="0.3">
      <c r="A243" s="15"/>
      <c r="B243" s="15"/>
      <c r="C243" s="15"/>
      <c r="D243" s="15"/>
      <c r="E243" s="14"/>
    </row>
    <row r="244" spans="1:5" ht="14.25" customHeight="1" x14ac:dyDescent="0.3">
      <c r="A244" s="15"/>
      <c r="B244" s="15"/>
      <c r="C244" s="15"/>
      <c r="D244" s="15"/>
      <c r="E244" s="14"/>
    </row>
    <row r="245" spans="1:5" ht="14.25" customHeight="1" x14ac:dyDescent="0.3">
      <c r="A245" s="15"/>
      <c r="B245" s="15"/>
      <c r="C245" s="15"/>
      <c r="D245" s="15"/>
      <c r="E245" s="14"/>
    </row>
    <row r="246" spans="1:5" ht="14.25" customHeight="1" x14ac:dyDescent="0.3">
      <c r="A246" s="15"/>
      <c r="B246" s="15"/>
      <c r="C246" s="15"/>
      <c r="D246" s="15"/>
      <c r="E246" s="14"/>
    </row>
    <row r="247" spans="1:5" ht="14.25" customHeight="1" x14ac:dyDescent="0.3">
      <c r="A247" s="15"/>
      <c r="B247" s="15"/>
      <c r="C247" s="15"/>
      <c r="D247" s="15"/>
      <c r="E247" s="14"/>
    </row>
    <row r="248" spans="1:5" ht="14.25" customHeight="1" x14ac:dyDescent="0.3">
      <c r="A248" s="15"/>
      <c r="B248" s="15"/>
      <c r="C248" s="15"/>
      <c r="D248" s="15"/>
      <c r="E248" s="14"/>
    </row>
    <row r="249" spans="1:5" ht="14.25" customHeight="1" x14ac:dyDescent="0.3">
      <c r="A249" s="15"/>
      <c r="B249" s="15"/>
      <c r="C249" s="15"/>
      <c r="D249" s="15"/>
      <c r="E249" s="14"/>
    </row>
    <row r="250" spans="1:5" ht="14.25" customHeight="1" x14ac:dyDescent="0.3">
      <c r="A250" s="15"/>
      <c r="B250" s="15"/>
      <c r="C250" s="15"/>
      <c r="D250" s="15"/>
      <c r="E250" s="14"/>
    </row>
    <row r="251" spans="1:5" ht="14.25" customHeight="1" x14ac:dyDescent="0.3">
      <c r="A251" s="15"/>
      <c r="B251" s="15"/>
      <c r="C251" s="15"/>
      <c r="D251" s="15"/>
      <c r="E251" s="14"/>
    </row>
    <row r="252" spans="1:5" ht="14.25" customHeight="1" x14ac:dyDescent="0.3">
      <c r="A252" s="15"/>
      <c r="B252" s="15"/>
      <c r="C252" s="15"/>
      <c r="D252" s="15"/>
      <c r="E252" s="14"/>
    </row>
    <row r="253" spans="1:5" ht="14.25" customHeight="1" x14ac:dyDescent="0.3">
      <c r="A253" s="15"/>
      <c r="B253" s="15"/>
      <c r="C253" s="15"/>
      <c r="D253" s="15"/>
      <c r="E253" s="14"/>
    </row>
    <row r="254" spans="1:5" ht="14.25" customHeight="1" x14ac:dyDescent="0.3">
      <c r="A254" s="15"/>
      <c r="B254" s="15"/>
      <c r="C254" s="15"/>
      <c r="D254" s="15"/>
      <c r="E254" s="14"/>
    </row>
    <row r="255" spans="1:5" ht="14.25" customHeight="1" x14ac:dyDescent="0.3">
      <c r="A255" s="15"/>
      <c r="B255" s="15"/>
      <c r="C255" s="15"/>
      <c r="D255" s="15"/>
      <c r="E255" s="14"/>
    </row>
    <row r="256" spans="1:5" ht="14.25" customHeight="1" x14ac:dyDescent="0.3">
      <c r="A256" s="15"/>
      <c r="B256" s="15"/>
      <c r="C256" s="15"/>
      <c r="D256" s="15"/>
      <c r="E256" s="14"/>
    </row>
    <row r="257" spans="1:5" ht="14.25" customHeight="1" x14ac:dyDescent="0.3">
      <c r="A257" s="15"/>
      <c r="B257" s="15"/>
      <c r="C257" s="15"/>
      <c r="D257" s="15"/>
      <c r="E257" s="14"/>
    </row>
    <row r="258" spans="1:5" ht="14.25" customHeight="1" x14ac:dyDescent="0.3">
      <c r="A258" s="15"/>
      <c r="B258" s="15"/>
      <c r="C258" s="15"/>
      <c r="D258" s="15"/>
      <c r="E258" s="14"/>
    </row>
    <row r="259" spans="1:5" ht="14.25" customHeight="1" x14ac:dyDescent="0.3">
      <c r="A259" s="15"/>
      <c r="B259" s="15"/>
      <c r="C259" s="15"/>
      <c r="D259" s="15"/>
      <c r="E259" s="14"/>
    </row>
    <row r="260" spans="1:5" ht="14.25" customHeight="1" x14ac:dyDescent="0.3">
      <c r="A260" s="15"/>
      <c r="B260" s="15"/>
      <c r="C260" s="15"/>
      <c r="D260" s="15"/>
      <c r="E260" s="14"/>
    </row>
    <row r="261" spans="1:5" ht="14.25" customHeight="1" x14ac:dyDescent="0.3">
      <c r="A261" s="15"/>
      <c r="B261" s="15"/>
      <c r="C261" s="15"/>
      <c r="D261" s="15"/>
      <c r="E261" s="14"/>
    </row>
    <row r="262" spans="1:5" ht="14.25" customHeight="1" x14ac:dyDescent="0.3">
      <c r="A262" s="15"/>
      <c r="B262" s="15"/>
      <c r="C262" s="15"/>
      <c r="D262" s="15"/>
      <c r="E262" s="14"/>
    </row>
    <row r="263" spans="1:5" ht="14.25" customHeight="1" x14ac:dyDescent="0.3">
      <c r="A263" s="15"/>
      <c r="B263" s="15"/>
      <c r="C263" s="15"/>
      <c r="D263" s="15"/>
      <c r="E263" s="14"/>
    </row>
    <row r="264" spans="1:5" ht="14.25" customHeight="1" x14ac:dyDescent="0.3">
      <c r="A264" s="15"/>
      <c r="B264" s="15"/>
      <c r="C264" s="15"/>
      <c r="D264" s="15"/>
      <c r="E264" s="14"/>
    </row>
    <row r="265" spans="1:5" ht="14.25" customHeight="1" x14ac:dyDescent="0.3">
      <c r="A265" s="15"/>
      <c r="B265" s="15"/>
      <c r="C265" s="15"/>
      <c r="D265" s="15"/>
      <c r="E265" s="14"/>
    </row>
    <row r="266" spans="1:5" ht="14.25" customHeight="1" x14ac:dyDescent="0.3">
      <c r="A266" s="15"/>
      <c r="B266" s="15"/>
      <c r="C266" s="15"/>
      <c r="D266" s="15"/>
      <c r="E266" s="14"/>
    </row>
    <row r="267" spans="1:5" ht="14.25" customHeight="1" x14ac:dyDescent="0.3">
      <c r="A267" s="15"/>
      <c r="B267" s="15"/>
      <c r="C267" s="15"/>
      <c r="D267" s="15"/>
      <c r="E267" s="14"/>
    </row>
    <row r="268" spans="1:5" ht="14.25" customHeight="1" x14ac:dyDescent="0.3">
      <c r="A268" s="15"/>
      <c r="B268" s="15"/>
      <c r="C268" s="15"/>
      <c r="D268" s="15"/>
      <c r="E268" s="14"/>
    </row>
    <row r="269" spans="1:5" ht="14.25" customHeight="1" x14ac:dyDescent="0.3">
      <c r="A269" s="15"/>
      <c r="B269" s="15"/>
      <c r="C269" s="15"/>
      <c r="D269" s="15"/>
      <c r="E269" s="14"/>
    </row>
    <row r="270" spans="1:5" ht="14.25" customHeight="1" x14ac:dyDescent="0.3">
      <c r="A270" s="15"/>
      <c r="B270" s="15"/>
      <c r="C270" s="15"/>
      <c r="D270" s="15"/>
      <c r="E270" s="14"/>
    </row>
    <row r="271" spans="1:5" ht="14.25" customHeight="1" x14ac:dyDescent="0.3">
      <c r="A271" s="15"/>
      <c r="B271" s="15"/>
      <c r="C271" s="15"/>
      <c r="D271" s="15"/>
      <c r="E271" s="14"/>
    </row>
    <row r="272" spans="1:5" ht="14.25" customHeight="1" x14ac:dyDescent="0.3">
      <c r="A272" s="15"/>
      <c r="B272" s="15"/>
      <c r="C272" s="15"/>
      <c r="D272" s="15"/>
      <c r="E272" s="14"/>
    </row>
    <row r="273" spans="1:5" ht="14.25" customHeight="1" x14ac:dyDescent="0.3">
      <c r="A273" s="15"/>
      <c r="B273" s="15"/>
      <c r="C273" s="15"/>
      <c r="D273" s="15"/>
      <c r="E273" s="14"/>
    </row>
    <row r="274" spans="1:5" ht="14.25" customHeight="1" x14ac:dyDescent="0.3">
      <c r="A274" s="15"/>
      <c r="B274" s="15"/>
      <c r="C274" s="15"/>
      <c r="D274" s="15"/>
      <c r="E274" s="14"/>
    </row>
    <row r="275" spans="1:5" ht="14.25" customHeight="1" x14ac:dyDescent="0.3">
      <c r="A275" s="15"/>
      <c r="B275" s="15"/>
      <c r="C275" s="15"/>
      <c r="D275" s="15"/>
      <c r="E275" s="14"/>
    </row>
    <row r="276" spans="1:5" ht="14.25" customHeight="1" x14ac:dyDescent="0.3">
      <c r="A276" s="15"/>
      <c r="B276" s="15"/>
      <c r="C276" s="15"/>
      <c r="D276" s="15"/>
      <c r="E276" s="14"/>
    </row>
    <row r="277" spans="1:5" ht="14.25" customHeight="1" x14ac:dyDescent="0.3">
      <c r="A277" s="15"/>
      <c r="B277" s="15"/>
      <c r="C277" s="15"/>
      <c r="D277" s="15"/>
      <c r="E277" s="14"/>
    </row>
    <row r="278" spans="1:5" ht="14.25" customHeight="1" x14ac:dyDescent="0.3">
      <c r="A278" s="15"/>
      <c r="B278" s="15"/>
      <c r="C278" s="15"/>
      <c r="D278" s="15"/>
      <c r="E278" s="14"/>
    </row>
    <row r="279" spans="1:5" ht="14.25" customHeight="1" x14ac:dyDescent="0.3">
      <c r="A279" s="15"/>
      <c r="B279" s="15"/>
      <c r="C279" s="15"/>
      <c r="D279" s="15"/>
      <c r="E279" s="14"/>
    </row>
    <row r="280" spans="1:5" ht="14.25" customHeight="1" x14ac:dyDescent="0.3">
      <c r="A280" s="15"/>
      <c r="B280" s="15"/>
      <c r="C280" s="15"/>
      <c r="D280" s="15"/>
      <c r="E280" s="14"/>
    </row>
    <row r="281" spans="1:5" ht="14.25" customHeight="1" x14ac:dyDescent="0.3">
      <c r="A281" s="15"/>
      <c r="B281" s="15"/>
      <c r="C281" s="15"/>
      <c r="D281" s="15"/>
      <c r="E281" s="14"/>
    </row>
    <row r="282" spans="1:5" ht="14.25" customHeight="1" x14ac:dyDescent="0.3">
      <c r="A282" s="15"/>
      <c r="B282" s="15"/>
      <c r="C282" s="15"/>
      <c r="D282" s="15"/>
      <c r="E282" s="14"/>
    </row>
    <row r="283" spans="1:5" ht="14.25" customHeight="1" x14ac:dyDescent="0.3">
      <c r="A283" s="15"/>
      <c r="B283" s="15"/>
      <c r="C283" s="15"/>
      <c r="D283" s="15"/>
      <c r="E283" s="14"/>
    </row>
    <row r="284" spans="1:5" ht="14.25" customHeight="1" x14ac:dyDescent="0.3">
      <c r="A284" s="15"/>
      <c r="B284" s="15"/>
      <c r="C284" s="15"/>
      <c r="D284" s="15"/>
      <c r="E284" s="14"/>
    </row>
    <row r="285" spans="1:5" ht="14.25" customHeight="1" x14ac:dyDescent="0.3">
      <c r="A285" s="15"/>
      <c r="B285" s="15"/>
      <c r="C285" s="15"/>
      <c r="D285" s="15"/>
      <c r="E285" s="14"/>
    </row>
    <row r="286" spans="1:5" ht="14.25" customHeight="1" x14ac:dyDescent="0.3">
      <c r="A286" s="15"/>
      <c r="B286" s="15"/>
      <c r="C286" s="15"/>
      <c r="D286" s="15"/>
      <c r="E286" s="14"/>
    </row>
    <row r="287" spans="1:5" ht="14.25" customHeight="1" x14ac:dyDescent="0.3">
      <c r="A287" s="15"/>
      <c r="B287" s="15"/>
      <c r="C287" s="15"/>
      <c r="D287" s="15"/>
      <c r="E287" s="14"/>
    </row>
    <row r="288" spans="1:5" ht="14.25" customHeight="1" x14ac:dyDescent="0.3">
      <c r="A288" s="15"/>
      <c r="B288" s="15"/>
      <c r="C288" s="15"/>
      <c r="D288" s="15"/>
      <c r="E288" s="14"/>
    </row>
    <row r="289" spans="1:5" ht="14.25" customHeight="1" x14ac:dyDescent="0.3">
      <c r="A289" s="15"/>
      <c r="B289" s="15"/>
      <c r="C289" s="15"/>
      <c r="D289" s="15"/>
      <c r="E289" s="14"/>
    </row>
    <row r="290" spans="1:5" ht="14.25" customHeight="1" x14ac:dyDescent="0.3">
      <c r="A290" s="15"/>
      <c r="B290" s="15"/>
      <c r="C290" s="15"/>
      <c r="D290" s="15"/>
      <c r="E290" s="14"/>
    </row>
    <row r="291" spans="1:5" ht="14.25" customHeight="1" x14ac:dyDescent="0.3">
      <c r="A291" s="15"/>
      <c r="B291" s="15"/>
      <c r="C291" s="15"/>
      <c r="D291" s="15"/>
      <c r="E291" s="14"/>
    </row>
    <row r="292" spans="1:5" ht="14.25" customHeight="1" x14ac:dyDescent="0.3">
      <c r="A292" s="15"/>
      <c r="B292" s="15"/>
      <c r="C292" s="15"/>
      <c r="D292" s="15"/>
      <c r="E292" s="14"/>
    </row>
    <row r="293" spans="1:5" ht="14.25" customHeight="1" x14ac:dyDescent="0.3">
      <c r="A293" s="15"/>
      <c r="B293" s="15"/>
      <c r="C293" s="15"/>
      <c r="D293" s="15"/>
      <c r="E293" s="14"/>
    </row>
    <row r="294" spans="1:5" ht="14.25" customHeight="1" x14ac:dyDescent="0.3">
      <c r="A294" s="15"/>
      <c r="B294" s="15"/>
      <c r="C294" s="15"/>
      <c r="D294" s="15"/>
      <c r="E294" s="14"/>
    </row>
    <row r="295" spans="1:5" ht="14.25" customHeight="1" x14ac:dyDescent="0.3">
      <c r="A295" s="15"/>
      <c r="B295" s="15"/>
      <c r="C295" s="15"/>
      <c r="D295" s="15"/>
      <c r="E295" s="14"/>
    </row>
    <row r="296" spans="1:5" ht="14.25" customHeight="1" x14ac:dyDescent="0.3">
      <c r="A296" s="15"/>
      <c r="B296" s="15"/>
      <c r="C296" s="15"/>
      <c r="D296" s="15"/>
      <c r="E296" s="14"/>
    </row>
    <row r="297" spans="1:5" ht="14.25" customHeight="1" x14ac:dyDescent="0.3">
      <c r="A297" s="15"/>
      <c r="B297" s="15"/>
      <c r="C297" s="15"/>
      <c r="D297" s="15"/>
      <c r="E297" s="14"/>
    </row>
    <row r="298" spans="1:5" ht="14.25" customHeight="1" x14ac:dyDescent="0.3">
      <c r="A298" s="15"/>
      <c r="B298" s="15"/>
      <c r="C298" s="15"/>
      <c r="D298" s="15"/>
      <c r="E298" s="14"/>
    </row>
    <row r="299" spans="1:5" ht="14.25" customHeight="1" x14ac:dyDescent="0.3">
      <c r="A299" s="15"/>
      <c r="B299" s="15"/>
      <c r="C299" s="15"/>
      <c r="D299" s="15"/>
      <c r="E299" s="14"/>
    </row>
    <row r="300" spans="1:5" ht="14.25" customHeight="1" x14ac:dyDescent="0.3">
      <c r="A300" s="15"/>
      <c r="B300" s="15"/>
      <c r="C300" s="15"/>
      <c r="D300" s="15"/>
      <c r="E300" s="14"/>
    </row>
    <row r="301" spans="1:5" ht="14.25" customHeight="1" x14ac:dyDescent="0.3">
      <c r="A301" s="15"/>
      <c r="B301" s="15"/>
      <c r="C301" s="15"/>
      <c r="D301" s="15"/>
      <c r="E301" s="14"/>
    </row>
    <row r="302" spans="1:5" ht="14.25" customHeight="1" x14ac:dyDescent="0.3">
      <c r="A302" s="15"/>
      <c r="B302" s="15"/>
      <c r="C302" s="15"/>
      <c r="D302" s="15"/>
      <c r="E302" s="14"/>
    </row>
    <row r="303" spans="1:5" ht="14.25" customHeight="1" x14ac:dyDescent="0.3">
      <c r="A303" s="15"/>
      <c r="B303" s="15"/>
      <c r="C303" s="15"/>
      <c r="D303" s="15"/>
      <c r="E303" s="14"/>
    </row>
    <row r="304" spans="1:5" ht="14.25" customHeight="1" x14ac:dyDescent="0.3">
      <c r="A304" s="15"/>
      <c r="B304" s="15"/>
      <c r="C304" s="15"/>
      <c r="D304" s="15"/>
      <c r="E304" s="14"/>
    </row>
    <row r="305" spans="1:5" ht="14.25" customHeight="1" x14ac:dyDescent="0.3">
      <c r="A305" s="15"/>
      <c r="B305" s="15"/>
      <c r="C305" s="15"/>
      <c r="D305" s="15"/>
      <c r="E305" s="14"/>
    </row>
    <row r="306" spans="1:5" ht="14.25" customHeight="1" x14ac:dyDescent="0.3">
      <c r="A306" s="15"/>
      <c r="B306" s="15"/>
      <c r="C306" s="15"/>
      <c r="D306" s="15"/>
      <c r="E306" s="14"/>
    </row>
    <row r="307" spans="1:5" ht="14.25" customHeight="1" x14ac:dyDescent="0.3">
      <c r="A307" s="15"/>
      <c r="B307" s="15"/>
      <c r="C307" s="15"/>
      <c r="D307" s="15"/>
      <c r="E307" s="14"/>
    </row>
    <row r="308" spans="1:5" ht="14.25" customHeight="1" x14ac:dyDescent="0.3">
      <c r="A308" s="15"/>
      <c r="B308" s="15"/>
      <c r="C308" s="15"/>
      <c r="D308" s="15"/>
      <c r="E308" s="14"/>
    </row>
    <row r="309" spans="1:5" ht="14.25" customHeight="1" x14ac:dyDescent="0.3">
      <c r="A309" s="15"/>
      <c r="B309" s="15"/>
      <c r="C309" s="15"/>
      <c r="D309" s="15"/>
      <c r="E309" s="14"/>
    </row>
    <row r="310" spans="1:5" ht="14.25" customHeight="1" x14ac:dyDescent="0.3">
      <c r="A310" s="15"/>
      <c r="B310" s="15"/>
      <c r="C310" s="15"/>
      <c r="D310" s="15"/>
      <c r="E310" s="14"/>
    </row>
    <row r="311" spans="1:5" ht="14.25" customHeight="1" x14ac:dyDescent="0.3">
      <c r="A311" s="15"/>
      <c r="B311" s="15"/>
      <c r="C311" s="15"/>
      <c r="D311" s="15"/>
      <c r="E311" s="14"/>
    </row>
    <row r="312" spans="1:5" ht="14.25" customHeight="1" x14ac:dyDescent="0.3">
      <c r="A312" s="15"/>
      <c r="B312" s="15"/>
      <c r="C312" s="15"/>
      <c r="D312" s="15"/>
      <c r="E312" s="14"/>
    </row>
    <row r="313" spans="1:5" ht="14.25" customHeight="1" x14ac:dyDescent="0.3">
      <c r="A313" s="15"/>
      <c r="B313" s="15"/>
      <c r="C313" s="15"/>
      <c r="D313" s="15"/>
      <c r="E313" s="14"/>
    </row>
    <row r="314" spans="1:5" ht="14.25" customHeight="1" x14ac:dyDescent="0.3">
      <c r="A314" s="15"/>
      <c r="B314" s="15"/>
      <c r="C314" s="15"/>
      <c r="D314" s="15"/>
      <c r="E314" s="14"/>
    </row>
    <row r="315" spans="1:5" ht="14.25" customHeight="1" x14ac:dyDescent="0.3">
      <c r="A315" s="15"/>
      <c r="B315" s="15"/>
      <c r="C315" s="15"/>
      <c r="D315" s="15"/>
      <c r="E315" s="14"/>
    </row>
    <row r="316" spans="1:5" ht="14.25" customHeight="1" x14ac:dyDescent="0.3">
      <c r="A316" s="15"/>
      <c r="B316" s="15"/>
      <c r="C316" s="15"/>
      <c r="D316" s="15"/>
      <c r="E316" s="14"/>
    </row>
    <row r="317" spans="1:5" ht="14.25" customHeight="1" x14ac:dyDescent="0.3">
      <c r="A317" s="15"/>
      <c r="B317" s="15"/>
      <c r="C317" s="15"/>
      <c r="D317" s="15"/>
      <c r="E317" s="14"/>
    </row>
    <row r="318" spans="1:5" ht="14.25" customHeight="1" x14ac:dyDescent="0.3">
      <c r="A318" s="15"/>
      <c r="B318" s="15"/>
      <c r="C318" s="15"/>
      <c r="D318" s="15"/>
      <c r="E318" s="14"/>
    </row>
    <row r="319" spans="1:5" ht="14.25" customHeight="1" x14ac:dyDescent="0.3">
      <c r="A319" s="15"/>
      <c r="B319" s="15"/>
      <c r="C319" s="15"/>
      <c r="D319" s="15"/>
      <c r="E319" s="14"/>
    </row>
    <row r="320" spans="1:5" ht="14.25" customHeight="1" x14ac:dyDescent="0.3">
      <c r="A320" s="15"/>
      <c r="B320" s="15"/>
      <c r="C320" s="15"/>
      <c r="D320" s="15"/>
      <c r="E320" s="14"/>
    </row>
    <row r="321" spans="1:5" ht="14.25" customHeight="1" x14ac:dyDescent="0.3">
      <c r="A321" s="15"/>
      <c r="B321" s="15"/>
      <c r="C321" s="15"/>
      <c r="D321" s="15"/>
      <c r="E321" s="14"/>
    </row>
    <row r="322" spans="1:5" ht="14.25" customHeight="1" x14ac:dyDescent="0.3">
      <c r="A322" s="15"/>
      <c r="B322" s="15"/>
      <c r="C322" s="15"/>
      <c r="D322" s="15"/>
      <c r="E322" s="14"/>
    </row>
    <row r="323" spans="1:5" ht="14.25" customHeight="1" x14ac:dyDescent="0.3">
      <c r="A323" s="15"/>
      <c r="B323" s="15"/>
      <c r="C323" s="15"/>
      <c r="D323" s="15"/>
      <c r="E323" s="14"/>
    </row>
    <row r="324" spans="1:5" ht="14.25" customHeight="1" x14ac:dyDescent="0.3">
      <c r="A324" s="15"/>
      <c r="B324" s="15"/>
      <c r="C324" s="15"/>
      <c r="D324" s="15"/>
      <c r="E324" s="14"/>
    </row>
    <row r="325" spans="1:5" ht="14.25" customHeight="1" x14ac:dyDescent="0.3">
      <c r="A325" s="15"/>
      <c r="B325" s="15"/>
      <c r="C325" s="15"/>
      <c r="D325" s="15"/>
      <c r="E325" s="14"/>
    </row>
    <row r="326" spans="1:5" ht="14.25" customHeight="1" x14ac:dyDescent="0.3">
      <c r="A326" s="15"/>
      <c r="B326" s="15"/>
      <c r="C326" s="15"/>
      <c r="D326" s="15"/>
      <c r="E326" s="14"/>
    </row>
    <row r="327" spans="1:5" ht="14.25" customHeight="1" x14ac:dyDescent="0.3">
      <c r="A327" s="15"/>
      <c r="B327" s="15"/>
      <c r="C327" s="15"/>
      <c r="D327" s="15"/>
      <c r="E327" s="14"/>
    </row>
    <row r="328" spans="1:5" ht="14.25" customHeight="1" x14ac:dyDescent="0.3">
      <c r="A328" s="15"/>
      <c r="B328" s="15"/>
      <c r="C328" s="15"/>
      <c r="D328" s="15"/>
      <c r="E328" s="14"/>
    </row>
    <row r="329" spans="1:5" ht="14.25" customHeight="1" x14ac:dyDescent="0.3">
      <c r="A329" s="15"/>
      <c r="B329" s="15"/>
      <c r="C329" s="15"/>
      <c r="D329" s="15"/>
      <c r="E329" s="14"/>
    </row>
    <row r="330" spans="1:5" ht="14.25" customHeight="1" x14ac:dyDescent="0.3">
      <c r="A330" s="15"/>
      <c r="B330" s="15"/>
      <c r="C330" s="15"/>
      <c r="D330" s="15"/>
      <c r="E330" s="14"/>
    </row>
    <row r="331" spans="1:5" ht="14.25" customHeight="1" x14ac:dyDescent="0.3">
      <c r="A331" s="15"/>
      <c r="B331" s="15"/>
      <c r="C331" s="15"/>
      <c r="D331" s="15"/>
      <c r="E331" s="14"/>
    </row>
    <row r="332" spans="1:5" ht="14.25" customHeight="1" x14ac:dyDescent="0.3">
      <c r="A332" s="15"/>
      <c r="B332" s="15"/>
      <c r="C332" s="15"/>
      <c r="D332" s="15"/>
      <c r="E332" s="14"/>
    </row>
    <row r="333" spans="1:5" ht="14.25" customHeight="1" x14ac:dyDescent="0.3">
      <c r="A333" s="15"/>
      <c r="B333" s="15"/>
      <c r="C333" s="15"/>
      <c r="D333" s="15"/>
      <c r="E333" s="14"/>
    </row>
    <row r="334" spans="1:5" ht="14.25" customHeight="1" x14ac:dyDescent="0.3">
      <c r="A334" s="15"/>
      <c r="B334" s="15"/>
      <c r="C334" s="15"/>
      <c r="D334" s="15"/>
      <c r="E334" s="14"/>
    </row>
    <row r="335" spans="1:5" ht="14.25" customHeight="1" x14ac:dyDescent="0.3">
      <c r="A335" s="15"/>
      <c r="B335" s="15"/>
      <c r="C335" s="15"/>
      <c r="D335" s="15"/>
      <c r="E335" s="14"/>
    </row>
    <row r="336" spans="1:5" ht="14.25" customHeight="1" x14ac:dyDescent="0.3">
      <c r="A336" s="15"/>
      <c r="B336" s="15"/>
      <c r="C336" s="15"/>
      <c r="D336" s="15"/>
      <c r="E336" s="14"/>
    </row>
    <row r="337" spans="1:5" ht="14.25" customHeight="1" x14ac:dyDescent="0.3">
      <c r="A337" s="15"/>
      <c r="B337" s="15"/>
      <c r="C337" s="15"/>
      <c r="D337" s="15"/>
      <c r="E337" s="14"/>
    </row>
    <row r="338" spans="1:5" ht="14.25" customHeight="1" x14ac:dyDescent="0.3">
      <c r="A338" s="15"/>
      <c r="B338" s="15"/>
      <c r="C338" s="15"/>
      <c r="D338" s="15"/>
      <c r="E338" s="14"/>
    </row>
    <row r="339" spans="1:5" ht="14.25" customHeight="1" x14ac:dyDescent="0.3">
      <c r="A339" s="15"/>
      <c r="B339" s="15"/>
      <c r="C339" s="15"/>
      <c r="D339" s="15"/>
      <c r="E339" s="14"/>
    </row>
    <row r="340" spans="1:5" ht="14.25" customHeight="1" x14ac:dyDescent="0.3">
      <c r="A340" s="15"/>
      <c r="B340" s="15"/>
      <c r="C340" s="15"/>
      <c r="D340" s="15"/>
      <c r="E340" s="14"/>
    </row>
    <row r="341" spans="1:5" ht="14.25" customHeight="1" x14ac:dyDescent="0.3">
      <c r="A341" s="15"/>
      <c r="B341" s="15"/>
      <c r="C341" s="15"/>
      <c r="D341" s="15"/>
      <c r="E341" s="14"/>
    </row>
    <row r="342" spans="1:5" ht="14.25" customHeight="1" x14ac:dyDescent="0.3">
      <c r="A342" s="15"/>
      <c r="B342" s="15"/>
      <c r="C342" s="15"/>
      <c r="D342" s="15"/>
      <c r="E342" s="14"/>
    </row>
    <row r="343" spans="1:5" ht="14.25" customHeight="1" x14ac:dyDescent="0.3">
      <c r="A343" s="15"/>
      <c r="B343" s="15"/>
      <c r="C343" s="15"/>
      <c r="D343" s="15"/>
      <c r="E343" s="14"/>
    </row>
    <row r="344" spans="1:5" ht="14.25" customHeight="1" x14ac:dyDescent="0.3">
      <c r="A344" s="15"/>
      <c r="B344" s="15"/>
      <c r="C344" s="15"/>
      <c r="D344" s="15"/>
      <c r="E344" s="14"/>
    </row>
    <row r="345" spans="1:5" ht="14.25" customHeight="1" x14ac:dyDescent="0.3">
      <c r="A345" s="15"/>
      <c r="B345" s="15"/>
      <c r="C345" s="15"/>
      <c r="D345" s="15"/>
      <c r="E345" s="14"/>
    </row>
    <row r="346" spans="1:5" ht="14.25" customHeight="1" x14ac:dyDescent="0.3">
      <c r="A346" s="15"/>
      <c r="B346" s="15"/>
      <c r="C346" s="15"/>
      <c r="D346" s="15"/>
      <c r="E346" s="14"/>
    </row>
    <row r="347" spans="1:5" ht="14.25" customHeight="1" x14ac:dyDescent="0.3">
      <c r="A347" s="15"/>
      <c r="B347" s="15"/>
      <c r="C347" s="15"/>
      <c r="D347" s="15"/>
      <c r="E347" s="14"/>
    </row>
    <row r="348" spans="1:5" ht="14.25" customHeight="1" x14ac:dyDescent="0.3">
      <c r="A348" s="15"/>
      <c r="B348" s="15"/>
      <c r="C348" s="15"/>
      <c r="D348" s="15"/>
      <c r="E348" s="14"/>
    </row>
    <row r="349" spans="1:5" ht="14.25" customHeight="1" x14ac:dyDescent="0.3">
      <c r="A349" s="15"/>
      <c r="B349" s="15"/>
      <c r="C349" s="15"/>
      <c r="D349" s="15"/>
      <c r="E349" s="14"/>
    </row>
    <row r="350" spans="1:5" ht="14.25" customHeight="1" x14ac:dyDescent="0.3">
      <c r="A350" s="15"/>
      <c r="B350" s="15"/>
      <c r="C350" s="15"/>
      <c r="D350" s="15"/>
      <c r="E350" s="14"/>
    </row>
    <row r="351" spans="1:5" ht="14.25" customHeight="1" x14ac:dyDescent="0.3">
      <c r="A351" s="15"/>
      <c r="B351" s="15"/>
      <c r="C351" s="15"/>
      <c r="D351" s="15"/>
      <c r="E351" s="14"/>
    </row>
    <row r="352" spans="1:5" ht="14.25" customHeight="1" x14ac:dyDescent="0.3">
      <c r="A352" s="15"/>
      <c r="B352" s="15"/>
      <c r="C352" s="15"/>
      <c r="D352" s="15"/>
      <c r="E352" s="14"/>
    </row>
    <row r="353" spans="1:5" ht="14.25" customHeight="1" x14ac:dyDescent="0.3">
      <c r="A353" s="15"/>
      <c r="B353" s="15"/>
      <c r="C353" s="15"/>
      <c r="D353" s="15"/>
      <c r="E353" s="14"/>
    </row>
    <row r="354" spans="1:5" ht="14.25" customHeight="1" x14ac:dyDescent="0.3">
      <c r="A354" s="15"/>
      <c r="B354" s="15"/>
      <c r="C354" s="15"/>
      <c r="D354" s="15"/>
      <c r="E354" s="14"/>
    </row>
    <row r="355" spans="1:5" ht="14.25" customHeight="1" x14ac:dyDescent="0.3">
      <c r="A355" s="15"/>
      <c r="B355" s="15"/>
      <c r="C355" s="15"/>
      <c r="D355" s="15"/>
      <c r="E355" s="14"/>
    </row>
    <row r="356" spans="1:5" ht="14.25" customHeight="1" x14ac:dyDescent="0.3">
      <c r="A356" s="15"/>
      <c r="B356" s="15"/>
      <c r="C356" s="15"/>
      <c r="D356" s="15"/>
      <c r="E356" s="14"/>
    </row>
    <row r="357" spans="1:5" ht="14.25" customHeight="1" x14ac:dyDescent="0.3">
      <c r="A357" s="15"/>
      <c r="B357" s="15"/>
      <c r="C357" s="15"/>
      <c r="D357" s="15"/>
      <c r="E357" s="14"/>
    </row>
    <row r="358" spans="1:5" ht="14.25" customHeight="1" x14ac:dyDescent="0.3">
      <c r="A358" s="15"/>
      <c r="B358" s="15"/>
      <c r="C358" s="15"/>
      <c r="D358" s="15"/>
      <c r="E358" s="14"/>
    </row>
    <row r="359" spans="1:5" ht="14.25" customHeight="1" x14ac:dyDescent="0.3">
      <c r="A359" s="15"/>
      <c r="B359" s="15"/>
      <c r="C359" s="15"/>
      <c r="D359" s="15"/>
      <c r="E359" s="14"/>
    </row>
    <row r="360" spans="1:5" ht="14.25" customHeight="1" x14ac:dyDescent="0.3">
      <c r="A360" s="15"/>
      <c r="B360" s="15"/>
      <c r="C360" s="15"/>
      <c r="D360" s="15"/>
      <c r="E360" s="14"/>
    </row>
    <row r="361" spans="1:5" ht="14.25" customHeight="1" x14ac:dyDescent="0.3">
      <c r="A361" s="15"/>
      <c r="B361" s="15"/>
      <c r="C361" s="15"/>
      <c r="D361" s="15"/>
      <c r="E361" s="14"/>
    </row>
    <row r="362" spans="1:5" ht="14.25" customHeight="1" x14ac:dyDescent="0.3">
      <c r="A362" s="15"/>
      <c r="B362" s="15"/>
      <c r="C362" s="15"/>
      <c r="D362" s="15"/>
      <c r="E362" s="14"/>
    </row>
    <row r="363" spans="1:5" ht="14.25" customHeight="1" x14ac:dyDescent="0.3">
      <c r="A363" s="15"/>
      <c r="B363" s="15"/>
      <c r="C363" s="15"/>
      <c r="D363" s="15"/>
      <c r="E363" s="14"/>
    </row>
    <row r="364" spans="1:5" ht="14.25" customHeight="1" x14ac:dyDescent="0.3">
      <c r="A364" s="15"/>
      <c r="B364" s="15"/>
      <c r="C364" s="15"/>
      <c r="D364" s="15"/>
      <c r="E364" s="14"/>
    </row>
    <row r="365" spans="1:5" ht="14.25" customHeight="1" x14ac:dyDescent="0.3">
      <c r="A365" s="15"/>
      <c r="B365" s="15"/>
      <c r="C365" s="15"/>
      <c r="D365" s="15"/>
      <c r="E365" s="14"/>
    </row>
    <row r="366" spans="1:5" ht="14.25" customHeight="1" x14ac:dyDescent="0.3">
      <c r="A366" s="15"/>
      <c r="B366" s="15"/>
      <c r="C366" s="15"/>
      <c r="D366" s="15"/>
      <c r="E366" s="14"/>
    </row>
    <row r="367" spans="1:5" ht="14.25" customHeight="1" x14ac:dyDescent="0.3">
      <c r="A367" s="15"/>
      <c r="B367" s="15"/>
      <c r="C367" s="15"/>
      <c r="D367" s="15"/>
      <c r="E367" s="14"/>
    </row>
    <row r="368" spans="1:5" ht="14.25" customHeight="1" x14ac:dyDescent="0.3">
      <c r="A368" s="15"/>
      <c r="B368" s="15"/>
      <c r="C368" s="15"/>
      <c r="D368" s="15"/>
      <c r="E368" s="14"/>
    </row>
    <row r="369" spans="1:5" ht="14.25" customHeight="1" x14ac:dyDescent="0.3">
      <c r="A369" s="15"/>
      <c r="B369" s="15"/>
      <c r="C369" s="15"/>
      <c r="D369" s="15"/>
      <c r="E369" s="14"/>
    </row>
    <row r="370" spans="1:5" ht="14.25" customHeight="1" x14ac:dyDescent="0.3">
      <c r="A370" s="15"/>
      <c r="B370" s="15"/>
      <c r="C370" s="15"/>
      <c r="D370" s="15"/>
      <c r="E370" s="14"/>
    </row>
    <row r="371" spans="1:5" ht="14.25" customHeight="1" x14ac:dyDescent="0.3">
      <c r="A371" s="15"/>
      <c r="B371" s="15"/>
      <c r="C371" s="15"/>
      <c r="D371" s="15"/>
      <c r="E371" s="14"/>
    </row>
    <row r="372" spans="1:5" ht="14.25" customHeight="1" x14ac:dyDescent="0.3">
      <c r="A372" s="15"/>
      <c r="B372" s="15"/>
      <c r="C372" s="15"/>
      <c r="D372" s="15"/>
      <c r="E372" s="14"/>
    </row>
    <row r="373" spans="1:5" ht="14.25" customHeight="1" x14ac:dyDescent="0.3">
      <c r="A373" s="15"/>
      <c r="B373" s="15"/>
      <c r="C373" s="15"/>
      <c r="D373" s="15"/>
      <c r="E373" s="14"/>
    </row>
    <row r="374" spans="1:5" ht="14.25" customHeight="1" x14ac:dyDescent="0.3">
      <c r="A374" s="15"/>
      <c r="B374" s="15"/>
      <c r="C374" s="15"/>
      <c r="D374" s="15"/>
      <c r="E374" s="14"/>
    </row>
    <row r="375" spans="1:5" ht="14.25" customHeight="1" x14ac:dyDescent="0.3">
      <c r="A375" s="15"/>
      <c r="B375" s="15"/>
      <c r="C375" s="15"/>
      <c r="D375" s="15"/>
      <c r="E375" s="14"/>
    </row>
    <row r="376" spans="1:5" ht="14.25" customHeight="1" x14ac:dyDescent="0.3">
      <c r="A376" s="15"/>
      <c r="B376" s="15"/>
      <c r="C376" s="15"/>
      <c r="D376" s="15"/>
      <c r="E376" s="14"/>
    </row>
    <row r="377" spans="1:5" ht="14.25" customHeight="1" x14ac:dyDescent="0.3">
      <c r="A377" s="15"/>
      <c r="B377" s="15"/>
      <c r="C377" s="15"/>
      <c r="D377" s="15"/>
      <c r="E377" s="14"/>
    </row>
    <row r="378" spans="1:5" ht="14.25" customHeight="1" x14ac:dyDescent="0.3">
      <c r="A378" s="15"/>
      <c r="B378" s="15"/>
      <c r="C378" s="15"/>
      <c r="D378" s="15"/>
      <c r="E378" s="14"/>
    </row>
    <row r="379" spans="1:5" ht="14.25" customHeight="1" x14ac:dyDescent="0.3">
      <c r="A379" s="15"/>
      <c r="B379" s="15"/>
      <c r="C379" s="15"/>
      <c r="D379" s="15"/>
      <c r="E379" s="14"/>
    </row>
    <row r="380" spans="1:5" ht="14.25" customHeight="1" x14ac:dyDescent="0.3">
      <c r="A380" s="15"/>
      <c r="B380" s="15"/>
      <c r="C380" s="15"/>
      <c r="D380" s="15"/>
      <c r="E380" s="14"/>
    </row>
    <row r="381" spans="1:5" ht="14.25" customHeight="1" x14ac:dyDescent="0.3">
      <c r="A381" s="15"/>
      <c r="B381" s="15"/>
      <c r="C381" s="15"/>
      <c r="D381" s="15"/>
      <c r="E381" s="14"/>
    </row>
    <row r="382" spans="1:5" ht="14.25" customHeight="1" x14ac:dyDescent="0.3">
      <c r="A382" s="15"/>
      <c r="B382" s="15"/>
      <c r="C382" s="15"/>
      <c r="D382" s="15"/>
      <c r="E382" s="14"/>
    </row>
    <row r="383" spans="1:5" ht="14.25" customHeight="1" x14ac:dyDescent="0.3">
      <c r="A383" s="15"/>
      <c r="B383" s="15"/>
      <c r="C383" s="15"/>
      <c r="D383" s="15"/>
      <c r="E383" s="14"/>
    </row>
    <row r="384" spans="1:5" ht="14.25" customHeight="1" x14ac:dyDescent="0.3">
      <c r="A384" s="15"/>
      <c r="B384" s="15"/>
      <c r="C384" s="15"/>
      <c r="D384" s="15"/>
      <c r="E384" s="14"/>
    </row>
    <row r="385" spans="1:5" ht="14.25" customHeight="1" x14ac:dyDescent="0.3">
      <c r="A385" s="15"/>
      <c r="B385" s="15"/>
      <c r="C385" s="15"/>
      <c r="D385" s="15"/>
      <c r="E385" s="14"/>
    </row>
    <row r="386" spans="1:5" ht="14.25" customHeight="1" x14ac:dyDescent="0.3">
      <c r="A386" s="15"/>
      <c r="B386" s="15"/>
      <c r="C386" s="15"/>
      <c r="D386" s="15"/>
      <c r="E386" s="14"/>
    </row>
    <row r="387" spans="1:5" ht="14.25" customHeight="1" x14ac:dyDescent="0.3">
      <c r="A387" s="15"/>
      <c r="B387" s="15"/>
      <c r="C387" s="15"/>
      <c r="D387" s="15"/>
      <c r="E387" s="14"/>
    </row>
    <row r="388" spans="1:5" ht="14.25" customHeight="1" x14ac:dyDescent="0.3">
      <c r="A388" s="15"/>
      <c r="B388" s="15"/>
      <c r="C388" s="15"/>
      <c r="D388" s="15"/>
      <c r="E388" s="14"/>
    </row>
    <row r="389" spans="1:5" ht="14.25" customHeight="1" x14ac:dyDescent="0.3">
      <c r="A389" s="15"/>
      <c r="B389" s="15"/>
      <c r="C389" s="15"/>
      <c r="D389" s="15"/>
      <c r="E389" s="14"/>
    </row>
    <row r="390" spans="1:5" ht="14.25" customHeight="1" x14ac:dyDescent="0.3">
      <c r="A390" s="15"/>
      <c r="B390" s="15"/>
      <c r="C390" s="15"/>
      <c r="D390" s="15"/>
      <c r="E390" s="14"/>
    </row>
    <row r="391" spans="1:5" ht="14.25" customHeight="1" x14ac:dyDescent="0.3">
      <c r="A391" s="15"/>
      <c r="B391" s="15"/>
      <c r="C391" s="15"/>
      <c r="D391" s="15"/>
      <c r="E391" s="14"/>
    </row>
    <row r="392" spans="1:5" ht="14.25" customHeight="1" x14ac:dyDescent="0.3">
      <c r="A392" s="15"/>
      <c r="B392" s="15"/>
      <c r="C392" s="15"/>
      <c r="D392" s="15"/>
      <c r="E392" s="14"/>
    </row>
    <row r="393" spans="1:5" ht="14.25" customHeight="1" x14ac:dyDescent="0.3">
      <c r="A393" s="15"/>
      <c r="B393" s="15"/>
      <c r="C393" s="15"/>
      <c r="D393" s="15"/>
      <c r="E393" s="14"/>
    </row>
    <row r="394" spans="1:5" ht="14.25" customHeight="1" x14ac:dyDescent="0.3">
      <c r="A394" s="15"/>
      <c r="B394" s="15"/>
      <c r="C394" s="15"/>
      <c r="D394" s="15"/>
      <c r="E394" s="14"/>
    </row>
    <row r="395" spans="1:5" ht="14.25" customHeight="1" x14ac:dyDescent="0.3">
      <c r="A395" s="15"/>
      <c r="B395" s="15"/>
      <c r="C395" s="15"/>
      <c r="D395" s="15"/>
      <c r="E395" s="14"/>
    </row>
    <row r="396" spans="1:5" ht="14.25" customHeight="1" x14ac:dyDescent="0.3">
      <c r="A396" s="15"/>
      <c r="B396" s="15"/>
      <c r="C396" s="15"/>
      <c r="D396" s="15"/>
      <c r="E396" s="14"/>
    </row>
    <row r="397" spans="1:5" ht="14.25" customHeight="1" x14ac:dyDescent="0.3">
      <c r="A397" s="15"/>
      <c r="B397" s="15"/>
      <c r="C397" s="15"/>
      <c r="D397" s="15"/>
      <c r="E397" s="14"/>
    </row>
    <row r="398" spans="1:5" ht="14.25" customHeight="1" x14ac:dyDescent="0.3">
      <c r="A398" s="15"/>
      <c r="B398" s="15"/>
      <c r="C398" s="15"/>
      <c r="D398" s="15"/>
      <c r="E398" s="14"/>
    </row>
    <row r="399" spans="1:5" ht="14.25" customHeight="1" x14ac:dyDescent="0.3">
      <c r="A399" s="15"/>
      <c r="B399" s="15"/>
      <c r="C399" s="15"/>
      <c r="D399" s="15"/>
      <c r="E399" s="14"/>
    </row>
    <row r="400" spans="1:5" ht="14.25" customHeight="1" x14ac:dyDescent="0.3">
      <c r="A400" s="15"/>
      <c r="B400" s="15"/>
      <c r="C400" s="15"/>
      <c r="D400" s="15"/>
      <c r="E400" s="14"/>
    </row>
    <row r="401" spans="1:5" ht="14.25" customHeight="1" x14ac:dyDescent="0.3">
      <c r="A401" s="15"/>
      <c r="B401" s="15"/>
      <c r="C401" s="15"/>
      <c r="D401" s="15"/>
      <c r="E401" s="14"/>
    </row>
    <row r="402" spans="1:5" ht="14.25" customHeight="1" x14ac:dyDescent="0.3">
      <c r="A402" s="15"/>
      <c r="B402" s="15"/>
      <c r="C402" s="15"/>
      <c r="D402" s="15"/>
      <c r="E402" s="14"/>
    </row>
    <row r="403" spans="1:5" ht="14.25" customHeight="1" x14ac:dyDescent="0.3">
      <c r="A403" s="15"/>
      <c r="B403" s="15"/>
      <c r="C403" s="15"/>
      <c r="D403" s="15"/>
      <c r="E403" s="14"/>
    </row>
    <row r="404" spans="1:5" ht="14.25" customHeight="1" x14ac:dyDescent="0.3">
      <c r="A404" s="15"/>
      <c r="B404" s="15"/>
      <c r="C404" s="15"/>
      <c r="D404" s="15"/>
      <c r="E404" s="14"/>
    </row>
    <row r="405" spans="1:5" ht="14.25" customHeight="1" x14ac:dyDescent="0.3">
      <c r="A405" s="15"/>
      <c r="B405" s="15"/>
      <c r="C405" s="15"/>
      <c r="D405" s="15"/>
      <c r="E405" s="14"/>
    </row>
    <row r="406" spans="1:5" ht="14.25" customHeight="1" x14ac:dyDescent="0.3">
      <c r="A406" s="15"/>
      <c r="B406" s="15"/>
      <c r="C406" s="15"/>
      <c r="D406" s="15"/>
      <c r="E406" s="14"/>
    </row>
    <row r="407" spans="1:5" ht="14.25" customHeight="1" x14ac:dyDescent="0.3">
      <c r="A407" s="15"/>
      <c r="B407" s="15"/>
      <c r="C407" s="15"/>
      <c r="D407" s="15"/>
      <c r="E407" s="14"/>
    </row>
    <row r="408" spans="1:5" ht="14.25" customHeight="1" x14ac:dyDescent="0.3">
      <c r="A408" s="15"/>
      <c r="B408" s="15"/>
      <c r="C408" s="15"/>
      <c r="D408" s="15"/>
      <c r="E408" s="14"/>
    </row>
    <row r="409" spans="1:5" ht="14.25" customHeight="1" x14ac:dyDescent="0.3">
      <c r="A409" s="15"/>
      <c r="B409" s="15"/>
      <c r="C409" s="15"/>
      <c r="D409" s="15"/>
      <c r="E409" s="14"/>
    </row>
    <row r="410" spans="1:5" ht="14.25" customHeight="1" x14ac:dyDescent="0.3">
      <c r="A410" s="15"/>
      <c r="B410" s="15"/>
      <c r="C410" s="15"/>
      <c r="D410" s="15"/>
      <c r="E410" s="14"/>
    </row>
    <row r="411" spans="1:5" ht="14.25" customHeight="1" x14ac:dyDescent="0.3">
      <c r="A411" s="15"/>
      <c r="B411" s="15"/>
      <c r="C411" s="15"/>
      <c r="D411" s="15"/>
      <c r="E411" s="14"/>
    </row>
    <row r="412" spans="1:5" ht="14.25" customHeight="1" x14ac:dyDescent="0.3">
      <c r="A412" s="15"/>
      <c r="B412" s="15"/>
      <c r="C412" s="15"/>
      <c r="D412" s="15"/>
      <c r="E412" s="14"/>
    </row>
    <row r="413" spans="1:5" ht="14.25" customHeight="1" x14ac:dyDescent="0.3">
      <c r="A413" s="15"/>
      <c r="B413" s="15"/>
      <c r="C413" s="15"/>
      <c r="D413" s="15"/>
      <c r="E413" s="14"/>
    </row>
    <row r="414" spans="1:5" ht="14.25" customHeight="1" x14ac:dyDescent="0.3">
      <c r="A414" s="15"/>
      <c r="B414" s="15"/>
      <c r="C414" s="15"/>
      <c r="D414" s="15"/>
      <c r="E414" s="14"/>
    </row>
    <row r="415" spans="1:5" ht="14.25" customHeight="1" x14ac:dyDescent="0.3">
      <c r="A415" s="15"/>
      <c r="B415" s="15"/>
      <c r="C415" s="15"/>
      <c r="D415" s="15"/>
      <c r="E415" s="14"/>
    </row>
    <row r="416" spans="1:5" ht="14.25" customHeight="1" x14ac:dyDescent="0.3">
      <c r="A416" s="15"/>
      <c r="B416" s="15"/>
      <c r="C416" s="15"/>
      <c r="D416" s="15"/>
      <c r="E416" s="14"/>
    </row>
    <row r="417" spans="1:5" ht="14.25" customHeight="1" x14ac:dyDescent="0.3">
      <c r="A417" s="15"/>
      <c r="B417" s="15"/>
      <c r="C417" s="15"/>
      <c r="D417" s="15"/>
      <c r="E417" s="14"/>
    </row>
    <row r="418" spans="1:5" ht="14.25" customHeight="1" x14ac:dyDescent="0.3">
      <c r="A418" s="15"/>
      <c r="B418" s="15"/>
      <c r="C418" s="15"/>
      <c r="D418" s="15"/>
      <c r="E418" s="14"/>
    </row>
    <row r="419" spans="1:5" ht="14.25" customHeight="1" x14ac:dyDescent="0.3">
      <c r="A419" s="15"/>
      <c r="B419" s="15"/>
      <c r="C419" s="15"/>
      <c r="D419" s="15"/>
      <c r="E419" s="14"/>
    </row>
    <row r="420" spans="1:5" ht="14.25" customHeight="1" x14ac:dyDescent="0.3">
      <c r="A420" s="15"/>
      <c r="B420" s="15"/>
      <c r="C420" s="15"/>
      <c r="D420" s="15"/>
      <c r="E420" s="14"/>
    </row>
    <row r="421" spans="1:5" ht="14.25" customHeight="1" x14ac:dyDescent="0.3">
      <c r="A421" s="15"/>
      <c r="B421" s="15"/>
      <c r="C421" s="15"/>
      <c r="D421" s="15"/>
      <c r="E421" s="14"/>
    </row>
    <row r="422" spans="1:5" ht="14.25" customHeight="1" x14ac:dyDescent="0.3">
      <c r="A422" s="15"/>
      <c r="B422" s="15"/>
      <c r="C422" s="15"/>
      <c r="D422" s="15"/>
      <c r="E422" s="14"/>
    </row>
    <row r="423" spans="1:5" ht="14.25" customHeight="1" x14ac:dyDescent="0.3">
      <c r="A423" s="15"/>
      <c r="B423" s="15"/>
      <c r="C423" s="15"/>
      <c r="D423" s="15"/>
      <c r="E423" s="14"/>
    </row>
    <row r="424" spans="1:5" ht="14.25" customHeight="1" x14ac:dyDescent="0.3">
      <c r="A424" s="15"/>
      <c r="B424" s="15"/>
      <c r="C424" s="15"/>
      <c r="D424" s="15"/>
      <c r="E424" s="14"/>
    </row>
    <row r="425" spans="1:5" ht="14.25" customHeight="1" x14ac:dyDescent="0.3">
      <c r="A425" s="15"/>
      <c r="B425" s="15"/>
      <c r="C425" s="15"/>
      <c r="D425" s="15"/>
      <c r="E425" s="14"/>
    </row>
    <row r="426" spans="1:5" ht="14.25" customHeight="1" x14ac:dyDescent="0.3">
      <c r="A426" s="15"/>
      <c r="B426" s="15"/>
      <c r="C426" s="15"/>
      <c r="D426" s="15"/>
      <c r="E426" s="14"/>
    </row>
    <row r="427" spans="1:5" ht="14.25" customHeight="1" x14ac:dyDescent="0.3">
      <c r="A427" s="15"/>
      <c r="B427" s="15"/>
      <c r="C427" s="15"/>
      <c r="D427" s="15"/>
      <c r="E427" s="14"/>
    </row>
    <row r="428" spans="1:5" ht="14.25" customHeight="1" x14ac:dyDescent="0.3">
      <c r="A428" s="15"/>
      <c r="B428" s="15"/>
      <c r="C428" s="15"/>
      <c r="D428" s="15"/>
      <c r="E428" s="14"/>
    </row>
    <row r="429" spans="1:5" ht="14.25" customHeight="1" x14ac:dyDescent="0.3">
      <c r="A429" s="15"/>
      <c r="B429" s="15"/>
      <c r="C429" s="15"/>
      <c r="D429" s="15"/>
      <c r="E429" s="14"/>
    </row>
    <row r="430" spans="1:5" ht="14.25" customHeight="1" x14ac:dyDescent="0.3">
      <c r="A430" s="15"/>
      <c r="B430" s="15"/>
      <c r="C430" s="15"/>
      <c r="D430" s="15"/>
      <c r="E430" s="14"/>
    </row>
    <row r="431" spans="1:5" ht="14.25" customHeight="1" x14ac:dyDescent="0.3">
      <c r="A431" s="15"/>
      <c r="B431" s="15"/>
      <c r="C431" s="15"/>
      <c r="D431" s="15"/>
      <c r="E431" s="14"/>
    </row>
    <row r="432" spans="1:5" ht="14.25" customHeight="1" x14ac:dyDescent="0.3">
      <c r="A432" s="15"/>
      <c r="B432" s="15"/>
      <c r="C432" s="15"/>
      <c r="D432" s="15"/>
      <c r="E432" s="14"/>
    </row>
    <row r="433" spans="1:5" ht="14.25" customHeight="1" x14ac:dyDescent="0.3">
      <c r="A433" s="15"/>
      <c r="B433" s="15"/>
      <c r="C433" s="15"/>
      <c r="D433" s="15"/>
      <c r="E433" s="14"/>
    </row>
    <row r="434" spans="1:5" ht="14.25" customHeight="1" x14ac:dyDescent="0.3">
      <c r="A434" s="15"/>
      <c r="B434" s="15"/>
      <c r="C434" s="15"/>
      <c r="D434" s="15"/>
      <c r="E434" s="14"/>
    </row>
    <row r="435" spans="1:5" ht="14.25" customHeight="1" x14ac:dyDescent="0.3">
      <c r="A435" s="15"/>
      <c r="B435" s="15"/>
      <c r="C435" s="15"/>
      <c r="D435" s="15"/>
      <c r="E435" s="14"/>
    </row>
    <row r="436" spans="1:5" ht="14.25" customHeight="1" x14ac:dyDescent="0.3">
      <c r="A436" s="15"/>
      <c r="B436" s="15"/>
      <c r="C436" s="15"/>
      <c r="D436" s="15"/>
      <c r="E436" s="14"/>
    </row>
    <row r="437" spans="1:5" ht="14.25" customHeight="1" x14ac:dyDescent="0.3">
      <c r="A437" s="15"/>
      <c r="B437" s="15"/>
      <c r="C437" s="15"/>
      <c r="D437" s="15"/>
      <c r="E437" s="14"/>
    </row>
    <row r="438" spans="1:5" ht="14.25" customHeight="1" x14ac:dyDescent="0.3">
      <c r="A438" s="15"/>
      <c r="B438" s="15"/>
      <c r="C438" s="15"/>
      <c r="D438" s="15"/>
      <c r="E438" s="14"/>
    </row>
    <row r="439" spans="1:5" ht="14.25" customHeight="1" x14ac:dyDescent="0.3">
      <c r="A439" s="15"/>
      <c r="B439" s="15"/>
      <c r="C439" s="15"/>
      <c r="D439" s="15"/>
      <c r="E439" s="14"/>
    </row>
    <row r="440" spans="1:5" ht="14.25" customHeight="1" x14ac:dyDescent="0.3">
      <c r="A440" s="15"/>
      <c r="B440" s="15"/>
      <c r="C440" s="15"/>
      <c r="D440" s="15"/>
      <c r="E440" s="14"/>
    </row>
    <row r="441" spans="1:5" ht="14.25" customHeight="1" x14ac:dyDescent="0.3">
      <c r="A441" s="15"/>
      <c r="B441" s="15"/>
      <c r="C441" s="15"/>
      <c r="D441" s="15"/>
      <c r="E441" s="14"/>
    </row>
    <row r="442" spans="1:5" ht="14.25" customHeight="1" x14ac:dyDescent="0.3">
      <c r="A442" s="15"/>
      <c r="B442" s="15"/>
      <c r="C442" s="15"/>
      <c r="D442" s="15"/>
      <c r="E442" s="14"/>
    </row>
    <row r="443" spans="1:5" ht="14.25" customHeight="1" x14ac:dyDescent="0.3">
      <c r="A443" s="15"/>
      <c r="B443" s="15"/>
      <c r="C443" s="15"/>
      <c r="D443" s="15"/>
      <c r="E443" s="14"/>
    </row>
    <row r="444" spans="1:5" ht="14.25" customHeight="1" x14ac:dyDescent="0.3">
      <c r="A444" s="15"/>
      <c r="B444" s="15"/>
      <c r="C444" s="15"/>
      <c r="D444" s="15"/>
      <c r="E444" s="14"/>
    </row>
    <row r="445" spans="1:5" ht="14.25" customHeight="1" x14ac:dyDescent="0.3">
      <c r="A445" s="15"/>
      <c r="B445" s="15"/>
      <c r="C445" s="15"/>
      <c r="D445" s="15"/>
      <c r="E445" s="14"/>
    </row>
    <row r="446" spans="1:5" ht="14.25" customHeight="1" x14ac:dyDescent="0.3">
      <c r="A446" s="15"/>
      <c r="B446" s="15"/>
      <c r="C446" s="15"/>
      <c r="D446" s="15"/>
      <c r="E446" s="14"/>
    </row>
    <row r="447" spans="1:5" ht="14.25" customHeight="1" x14ac:dyDescent="0.3">
      <c r="A447" s="15"/>
      <c r="B447" s="15"/>
      <c r="C447" s="15"/>
      <c r="D447" s="15"/>
      <c r="E447" s="14"/>
    </row>
    <row r="448" spans="1:5" ht="14.25" customHeight="1" x14ac:dyDescent="0.3">
      <c r="A448" s="15"/>
      <c r="B448" s="15"/>
      <c r="C448" s="15"/>
      <c r="D448" s="15"/>
      <c r="E448" s="14"/>
    </row>
    <row r="449" spans="1:5" ht="14.25" customHeight="1" x14ac:dyDescent="0.3">
      <c r="A449" s="15"/>
      <c r="B449" s="15"/>
      <c r="C449" s="15"/>
      <c r="D449" s="15"/>
      <c r="E449" s="14"/>
    </row>
    <row r="450" spans="1:5" ht="14.25" customHeight="1" x14ac:dyDescent="0.3">
      <c r="A450" s="15"/>
      <c r="B450" s="15"/>
      <c r="C450" s="15"/>
      <c r="D450" s="15"/>
      <c r="E450" s="14"/>
    </row>
    <row r="451" spans="1:5" ht="14.25" customHeight="1" x14ac:dyDescent="0.3">
      <c r="A451" s="15"/>
      <c r="B451" s="15"/>
      <c r="C451" s="15"/>
      <c r="D451" s="15"/>
      <c r="E451" s="14"/>
    </row>
    <row r="452" spans="1:5" ht="14.25" customHeight="1" x14ac:dyDescent="0.3">
      <c r="A452" s="15"/>
      <c r="B452" s="15"/>
      <c r="C452" s="15"/>
      <c r="D452" s="15"/>
      <c r="E452" s="14"/>
    </row>
    <row r="453" spans="1:5" ht="14.25" customHeight="1" x14ac:dyDescent="0.3">
      <c r="A453" s="15"/>
      <c r="B453" s="15"/>
      <c r="C453" s="15"/>
      <c r="D453" s="15"/>
      <c r="E453" s="14"/>
    </row>
    <row r="454" spans="1:5" ht="14.25" customHeight="1" x14ac:dyDescent="0.3">
      <c r="A454" s="15"/>
      <c r="B454" s="15"/>
      <c r="C454" s="15"/>
      <c r="D454" s="15"/>
      <c r="E454" s="14"/>
    </row>
    <row r="455" spans="1:5" ht="14.25" customHeight="1" x14ac:dyDescent="0.3">
      <c r="A455" s="15"/>
      <c r="B455" s="15"/>
      <c r="C455" s="15"/>
      <c r="D455" s="15"/>
      <c r="E455" s="14"/>
    </row>
    <row r="456" spans="1:5" ht="14.25" customHeight="1" x14ac:dyDescent="0.3">
      <c r="A456" s="15"/>
      <c r="B456" s="15"/>
      <c r="C456" s="15"/>
      <c r="D456" s="15"/>
      <c r="E456" s="14"/>
    </row>
    <row r="457" spans="1:5" ht="14.25" customHeight="1" x14ac:dyDescent="0.3">
      <c r="A457" s="15"/>
      <c r="B457" s="15"/>
      <c r="C457" s="15"/>
      <c r="D457" s="15"/>
      <c r="E457" s="14"/>
    </row>
    <row r="458" spans="1:5" ht="14.25" customHeight="1" x14ac:dyDescent="0.3">
      <c r="A458" s="15"/>
      <c r="B458" s="15"/>
      <c r="C458" s="15"/>
      <c r="D458" s="15"/>
      <c r="E458" s="14"/>
    </row>
    <row r="459" spans="1:5" ht="14.25" customHeight="1" x14ac:dyDescent="0.3">
      <c r="A459" s="15"/>
      <c r="B459" s="15"/>
      <c r="C459" s="15"/>
      <c r="D459" s="15"/>
      <c r="E459" s="14"/>
    </row>
    <row r="460" spans="1:5" ht="14.25" customHeight="1" x14ac:dyDescent="0.3">
      <c r="A460" s="15"/>
      <c r="B460" s="15"/>
      <c r="C460" s="15"/>
      <c r="D460" s="15"/>
      <c r="E460" s="14"/>
    </row>
    <row r="461" spans="1:5" ht="14.25" customHeight="1" x14ac:dyDescent="0.3">
      <c r="A461" s="15"/>
      <c r="B461" s="15"/>
      <c r="C461" s="15"/>
      <c r="D461" s="15"/>
      <c r="E461" s="14"/>
    </row>
    <row r="462" spans="1:5" ht="14.25" customHeight="1" x14ac:dyDescent="0.3">
      <c r="A462" s="15"/>
      <c r="B462" s="15"/>
      <c r="C462" s="15"/>
      <c r="D462" s="15"/>
      <c r="E462" s="14"/>
    </row>
    <row r="463" spans="1:5" ht="14.25" customHeight="1" x14ac:dyDescent="0.3">
      <c r="A463" s="15"/>
      <c r="B463" s="15"/>
      <c r="C463" s="15"/>
      <c r="D463" s="15"/>
      <c r="E463" s="14"/>
    </row>
    <row r="464" spans="1:5" ht="14.25" customHeight="1" x14ac:dyDescent="0.3">
      <c r="A464" s="15"/>
      <c r="B464" s="15"/>
      <c r="C464" s="15"/>
      <c r="D464" s="15"/>
      <c r="E464" s="14"/>
    </row>
    <row r="465" spans="1:5" ht="14.25" customHeight="1" x14ac:dyDescent="0.3">
      <c r="A465" s="15"/>
      <c r="B465" s="15"/>
      <c r="C465" s="15"/>
      <c r="D465" s="15"/>
      <c r="E465" s="14"/>
    </row>
    <row r="466" spans="1:5" ht="14.25" customHeight="1" x14ac:dyDescent="0.3">
      <c r="A466" s="15"/>
      <c r="B466" s="15"/>
      <c r="C466" s="15"/>
      <c r="D466" s="15"/>
      <c r="E466" s="14"/>
    </row>
    <row r="467" spans="1:5" ht="14.25" customHeight="1" x14ac:dyDescent="0.3">
      <c r="A467" s="15"/>
      <c r="B467" s="15"/>
      <c r="C467" s="15"/>
      <c r="D467" s="15"/>
      <c r="E467" s="14"/>
    </row>
    <row r="468" spans="1:5" ht="14.25" customHeight="1" x14ac:dyDescent="0.3">
      <c r="A468" s="15"/>
      <c r="B468" s="15"/>
      <c r="C468" s="15"/>
      <c r="D468" s="15"/>
      <c r="E468" s="14"/>
    </row>
    <row r="469" spans="1:5" ht="14.25" customHeight="1" x14ac:dyDescent="0.3">
      <c r="A469" s="15"/>
      <c r="B469" s="15"/>
      <c r="C469" s="15"/>
      <c r="D469" s="15"/>
      <c r="E469" s="14"/>
    </row>
    <row r="470" spans="1:5" ht="14.25" customHeight="1" x14ac:dyDescent="0.3">
      <c r="A470" s="15"/>
      <c r="B470" s="15"/>
      <c r="C470" s="15"/>
      <c r="D470" s="15"/>
      <c r="E470" s="14"/>
    </row>
    <row r="471" spans="1:5" ht="14.25" customHeight="1" x14ac:dyDescent="0.3">
      <c r="A471" s="15"/>
      <c r="B471" s="15"/>
      <c r="C471" s="15"/>
      <c r="D471" s="15"/>
      <c r="E471" s="14"/>
    </row>
    <row r="472" spans="1:5" ht="14.25" customHeight="1" x14ac:dyDescent="0.3">
      <c r="A472" s="15"/>
      <c r="B472" s="15"/>
      <c r="C472" s="15"/>
      <c r="D472" s="15"/>
      <c r="E472" s="14"/>
    </row>
    <row r="473" spans="1:5" ht="14.25" customHeight="1" x14ac:dyDescent="0.3">
      <c r="A473" s="15"/>
      <c r="B473" s="15"/>
      <c r="C473" s="15"/>
      <c r="D473" s="15"/>
      <c r="E473" s="14"/>
    </row>
    <row r="474" spans="1:5" ht="14.25" customHeight="1" x14ac:dyDescent="0.3">
      <c r="A474" s="15"/>
      <c r="B474" s="15"/>
      <c r="C474" s="15"/>
      <c r="D474" s="15"/>
      <c r="E474" s="14"/>
    </row>
    <row r="475" spans="1:5" ht="14.25" customHeight="1" x14ac:dyDescent="0.3">
      <c r="A475" s="15"/>
      <c r="B475" s="15"/>
      <c r="C475" s="15"/>
      <c r="D475" s="15"/>
      <c r="E475" s="14"/>
    </row>
    <row r="476" spans="1:5" ht="14.25" customHeight="1" x14ac:dyDescent="0.3">
      <c r="A476" s="15"/>
      <c r="B476" s="15"/>
      <c r="C476" s="15"/>
      <c r="D476" s="15"/>
      <c r="E476" s="14"/>
    </row>
    <row r="477" spans="1:5" ht="14.25" customHeight="1" x14ac:dyDescent="0.3">
      <c r="A477" s="15"/>
      <c r="B477" s="15"/>
      <c r="C477" s="15"/>
      <c r="D477" s="15"/>
      <c r="E477" s="14"/>
    </row>
    <row r="478" spans="1:5" ht="14.25" customHeight="1" x14ac:dyDescent="0.3">
      <c r="A478" s="15"/>
      <c r="B478" s="15"/>
      <c r="C478" s="15"/>
      <c r="D478" s="15"/>
      <c r="E478" s="14"/>
    </row>
    <row r="479" spans="1:5" ht="14.25" customHeight="1" x14ac:dyDescent="0.3">
      <c r="A479" s="15"/>
      <c r="B479" s="15"/>
      <c r="C479" s="15"/>
      <c r="D479" s="15"/>
      <c r="E479" s="14"/>
    </row>
    <row r="480" spans="1:5" ht="14.25" customHeight="1" x14ac:dyDescent="0.3">
      <c r="A480" s="15"/>
      <c r="B480" s="15"/>
      <c r="C480" s="15"/>
      <c r="D480" s="15"/>
      <c r="E480" s="14"/>
    </row>
    <row r="481" spans="1:5" ht="14.25" customHeight="1" x14ac:dyDescent="0.3">
      <c r="A481" s="15"/>
      <c r="B481" s="15"/>
      <c r="C481" s="15"/>
      <c r="D481" s="15"/>
      <c r="E481" s="14"/>
    </row>
    <row r="482" spans="1:5" ht="14.25" customHeight="1" x14ac:dyDescent="0.3">
      <c r="A482" s="15"/>
      <c r="B482" s="15"/>
      <c r="C482" s="15"/>
      <c r="D482" s="15"/>
      <c r="E482" s="14"/>
    </row>
    <row r="483" spans="1:5" ht="14.25" customHeight="1" x14ac:dyDescent="0.3">
      <c r="A483" s="15"/>
      <c r="B483" s="15"/>
      <c r="C483" s="15"/>
      <c r="D483" s="15"/>
      <c r="E483" s="14"/>
    </row>
    <row r="484" spans="1:5" ht="14.25" customHeight="1" x14ac:dyDescent="0.3">
      <c r="A484" s="15"/>
      <c r="B484" s="15"/>
      <c r="C484" s="15"/>
      <c r="D484" s="15"/>
      <c r="E484" s="14"/>
    </row>
    <row r="485" spans="1:5" ht="14.25" customHeight="1" x14ac:dyDescent="0.3">
      <c r="A485" s="15"/>
      <c r="B485" s="15"/>
      <c r="C485" s="15"/>
      <c r="D485" s="15"/>
      <c r="E485" s="14"/>
    </row>
    <row r="486" spans="1:5" ht="14.25" customHeight="1" x14ac:dyDescent="0.3">
      <c r="A486" s="15"/>
      <c r="B486" s="15"/>
      <c r="C486" s="15"/>
      <c r="D486" s="15"/>
      <c r="E486" s="14"/>
    </row>
    <row r="487" spans="1:5" ht="14.25" customHeight="1" x14ac:dyDescent="0.3">
      <c r="A487" s="15"/>
      <c r="B487" s="15"/>
      <c r="C487" s="15"/>
      <c r="D487" s="15"/>
      <c r="E487" s="14"/>
    </row>
    <row r="488" spans="1:5" ht="14.25" customHeight="1" x14ac:dyDescent="0.3">
      <c r="A488" s="15"/>
      <c r="B488" s="15"/>
      <c r="C488" s="15"/>
      <c r="D488" s="15"/>
      <c r="E488" s="14"/>
    </row>
    <row r="489" spans="1:5" ht="14.25" customHeight="1" x14ac:dyDescent="0.3">
      <c r="A489" s="15"/>
      <c r="B489" s="15"/>
      <c r="C489" s="15"/>
      <c r="D489" s="15"/>
      <c r="E489" s="14"/>
    </row>
    <row r="490" spans="1:5" ht="14.25" customHeight="1" x14ac:dyDescent="0.3">
      <c r="A490" s="15"/>
      <c r="B490" s="15"/>
      <c r="C490" s="15"/>
      <c r="D490" s="15"/>
      <c r="E490" s="14"/>
    </row>
    <row r="491" spans="1:5" ht="14.25" customHeight="1" x14ac:dyDescent="0.3">
      <c r="A491" s="15"/>
      <c r="B491" s="15"/>
      <c r="C491" s="15"/>
      <c r="D491" s="15"/>
      <c r="E491" s="14"/>
    </row>
    <row r="492" spans="1:5" ht="14.25" customHeight="1" x14ac:dyDescent="0.3">
      <c r="A492" s="15"/>
      <c r="B492" s="15"/>
      <c r="C492" s="15"/>
      <c r="D492" s="15"/>
      <c r="E492" s="14"/>
    </row>
    <row r="493" spans="1:5" ht="14.25" customHeight="1" x14ac:dyDescent="0.3">
      <c r="A493" s="15"/>
      <c r="B493" s="15"/>
      <c r="C493" s="15"/>
      <c r="D493" s="15"/>
      <c r="E493" s="14"/>
    </row>
    <row r="494" spans="1:5" ht="14.25" customHeight="1" x14ac:dyDescent="0.3">
      <c r="A494" s="15"/>
      <c r="B494" s="15"/>
      <c r="C494" s="15"/>
      <c r="D494" s="15"/>
      <c r="E494" s="14"/>
    </row>
    <row r="495" spans="1:5" ht="14.25" customHeight="1" x14ac:dyDescent="0.3">
      <c r="A495" s="15"/>
      <c r="B495" s="15"/>
      <c r="C495" s="15"/>
      <c r="D495" s="15"/>
      <c r="E495" s="14"/>
    </row>
    <row r="496" spans="1:5" ht="14.25" customHeight="1" x14ac:dyDescent="0.3">
      <c r="A496" s="15"/>
      <c r="B496" s="15"/>
      <c r="C496" s="15"/>
      <c r="D496" s="15"/>
      <c r="E496" s="14"/>
    </row>
    <row r="497" spans="1:5" ht="14.25" customHeight="1" x14ac:dyDescent="0.3">
      <c r="A497" s="15"/>
      <c r="B497" s="15"/>
      <c r="C497" s="15"/>
      <c r="D497" s="15"/>
      <c r="E497" s="14"/>
    </row>
    <row r="498" spans="1:5" ht="14.25" customHeight="1" x14ac:dyDescent="0.3">
      <c r="A498" s="15"/>
      <c r="B498" s="15"/>
      <c r="C498" s="15"/>
      <c r="D498" s="15"/>
      <c r="E498" s="14"/>
    </row>
    <row r="499" spans="1:5" ht="14.25" customHeight="1" x14ac:dyDescent="0.3">
      <c r="A499" s="15"/>
      <c r="B499" s="15"/>
      <c r="C499" s="15"/>
      <c r="D499" s="15"/>
      <c r="E499" s="14"/>
    </row>
    <row r="500" spans="1:5" ht="14.25" customHeight="1" x14ac:dyDescent="0.3">
      <c r="A500" s="15"/>
      <c r="B500" s="15"/>
      <c r="C500" s="15"/>
      <c r="D500" s="15"/>
      <c r="E500" s="14"/>
    </row>
    <row r="501" spans="1:5" ht="14.25" customHeight="1" x14ac:dyDescent="0.3"/>
    <row r="502" spans="1:5" ht="14.25" customHeight="1" x14ac:dyDescent="0.3"/>
    <row r="503" spans="1:5" ht="14.25" customHeight="1" x14ac:dyDescent="0.3"/>
    <row r="504" spans="1:5" ht="14.25" customHeight="1" x14ac:dyDescent="0.3"/>
    <row r="505" spans="1:5" ht="14.25" customHeight="1" x14ac:dyDescent="0.3"/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conditionalFormatting sqref="A2:D100">
    <cfRule type="expression" dxfId="18" priority="2">
      <formula>AND(COUNTA($A2:$D2)&gt;0,A2="")</formula>
    </cfRule>
    <cfRule type="expression" dxfId="17" priority="3">
      <formula>AND($E2&lt;&gt;"",$E2&lt;&gt;"OK")</formula>
    </cfRule>
  </conditionalFormatting>
  <conditionalFormatting sqref="E2:E100">
    <cfRule type="expression" dxfId="16" priority="4">
      <formula>AND($E2&lt;&gt;"",$E2&lt;&gt;"OK")</formula>
    </cfRule>
  </conditionalFormatting>
  <dataValidations count="1">
    <dataValidation type="list" errorStyle="information" allowBlank="1" showInputMessage="1" errorTitle="Custom value accepted" error="A custom value is allowed. Choose an existing option or continue with your typed value." promptTitle="Search or add custom value" prompt="Type to search an existing option, or enter a new custom value if no match exists." sqref="B2:B100" xr:uid="{00000000-0002-0000-0500-000000000000}">
      <formula1>dv_CreditType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showGridLines="0" zoomScaleNormal="100" workbookViewId="0">
      <pane ySplit="1" topLeftCell="A20" activePane="bottomLeft" state="frozen"/>
      <selection pane="bottomLeft" activeCell="A43" sqref="A43"/>
    </sheetView>
  </sheetViews>
  <sheetFormatPr defaultColWidth="14.44140625" defaultRowHeight="14.4" x14ac:dyDescent="0.3"/>
  <cols>
    <col min="1" max="1" width="14" customWidth="1"/>
    <col min="2" max="2" width="43.5546875" customWidth="1"/>
    <col min="3" max="5" width="18" customWidth="1"/>
    <col min="6" max="6" width="20" customWidth="1"/>
    <col min="7" max="7" width="32" customWidth="1"/>
    <col min="8" max="8" width="20.33203125" customWidth="1"/>
    <col min="9" max="9" width="19.109375" customWidth="1"/>
    <col min="10" max="26" width="32" customWidth="1"/>
  </cols>
  <sheetData>
    <row r="1" spans="1:7" ht="27" customHeight="1" x14ac:dyDescent="0.3">
      <c r="A1" s="2" t="s">
        <v>176</v>
      </c>
      <c r="B1" s="2" t="s">
        <v>177</v>
      </c>
      <c r="C1" s="2" t="s">
        <v>172</v>
      </c>
      <c r="D1" s="2" t="s">
        <v>178</v>
      </c>
      <c r="E1" s="2" t="s">
        <v>139</v>
      </c>
      <c r="F1" s="2" t="s">
        <v>179</v>
      </c>
      <c r="G1" s="2" t="s">
        <v>2</v>
      </c>
    </row>
    <row r="2" spans="1:7" ht="14.25" customHeight="1" x14ac:dyDescent="0.3">
      <c r="A2" s="7" t="s">
        <v>180</v>
      </c>
      <c r="B2" s="7" t="s">
        <v>181</v>
      </c>
      <c r="C2" s="21" t="s">
        <v>182</v>
      </c>
      <c r="D2" s="7" t="s">
        <v>75</v>
      </c>
      <c r="E2" s="16" t="s">
        <v>135</v>
      </c>
      <c r="F2" s="7" t="s">
        <v>163</v>
      </c>
      <c r="G2" s="3" t="str">
        <f t="shared" ref="G2:G65" si="0">IF(COUNTA(A2:F2)=0,"",IF(COUNTIF($A$2:$A$1000,A2)&gt;1,"DUPLICATE COURSE CODE","OK"))</f>
        <v>OK</v>
      </c>
    </row>
    <row r="3" spans="1:7" ht="14.25" customHeight="1" x14ac:dyDescent="0.3">
      <c r="A3" s="7" t="s">
        <v>183</v>
      </c>
      <c r="B3" s="7" t="s">
        <v>184</v>
      </c>
      <c r="C3" s="21" t="s">
        <v>185</v>
      </c>
      <c r="D3" s="7" t="s">
        <v>75</v>
      </c>
      <c r="E3" s="16" t="s">
        <v>135</v>
      </c>
      <c r="F3" s="7" t="s">
        <v>163</v>
      </c>
      <c r="G3" s="3" t="str">
        <f t="shared" si="0"/>
        <v>OK</v>
      </c>
    </row>
    <row r="4" spans="1:7" ht="27" customHeight="1" x14ac:dyDescent="0.3">
      <c r="A4" s="7" t="s">
        <v>186</v>
      </c>
      <c r="B4" s="7" t="s">
        <v>187</v>
      </c>
      <c r="C4" s="21" t="s">
        <v>182</v>
      </c>
      <c r="D4" s="7" t="s">
        <v>75</v>
      </c>
      <c r="E4" s="16" t="s">
        <v>135</v>
      </c>
      <c r="F4" s="7" t="s">
        <v>161</v>
      </c>
      <c r="G4" s="3" t="str">
        <f t="shared" si="0"/>
        <v>OK</v>
      </c>
    </row>
    <row r="5" spans="1:7" ht="14.25" customHeight="1" x14ac:dyDescent="0.3">
      <c r="A5" s="7" t="s">
        <v>188</v>
      </c>
      <c r="B5" s="7" t="s">
        <v>189</v>
      </c>
      <c r="C5" s="21" t="s">
        <v>185</v>
      </c>
      <c r="D5" s="7" t="s">
        <v>75</v>
      </c>
      <c r="E5" s="16" t="s">
        <v>135</v>
      </c>
      <c r="F5" s="7" t="s">
        <v>161</v>
      </c>
      <c r="G5" s="3" t="str">
        <f t="shared" si="0"/>
        <v>OK</v>
      </c>
    </row>
    <row r="6" spans="1:7" ht="14.25" customHeight="1" x14ac:dyDescent="0.3">
      <c r="A6" s="7" t="s">
        <v>190</v>
      </c>
      <c r="B6" s="7" t="s">
        <v>191</v>
      </c>
      <c r="C6" s="21">
        <v>3</v>
      </c>
      <c r="D6" s="7" t="s">
        <v>75</v>
      </c>
      <c r="E6" s="16" t="s">
        <v>135</v>
      </c>
      <c r="F6" s="7" t="s">
        <v>151</v>
      </c>
      <c r="G6" s="3" t="str">
        <f t="shared" si="0"/>
        <v>OK</v>
      </c>
    </row>
    <row r="7" spans="1:7" ht="14.25" customHeight="1" x14ac:dyDescent="0.3">
      <c r="A7" s="7" t="s">
        <v>192</v>
      </c>
      <c r="B7" s="7" t="s">
        <v>193</v>
      </c>
      <c r="C7" s="21" t="s">
        <v>194</v>
      </c>
      <c r="D7" s="7" t="s">
        <v>75</v>
      </c>
      <c r="E7" s="16" t="s">
        <v>135</v>
      </c>
      <c r="F7" s="7" t="s">
        <v>151</v>
      </c>
      <c r="G7" s="3" t="str">
        <f t="shared" si="0"/>
        <v>OK</v>
      </c>
    </row>
    <row r="8" spans="1:7" ht="14.25" customHeight="1" x14ac:dyDescent="0.3">
      <c r="A8" s="7" t="s">
        <v>195</v>
      </c>
      <c r="B8" s="7" t="s">
        <v>196</v>
      </c>
      <c r="C8" s="21" t="s">
        <v>182</v>
      </c>
      <c r="D8" s="7" t="s">
        <v>75</v>
      </c>
      <c r="E8" s="16" t="s">
        <v>135</v>
      </c>
      <c r="F8" s="7" t="s">
        <v>155</v>
      </c>
      <c r="G8" s="3" t="str">
        <f t="shared" si="0"/>
        <v>OK</v>
      </c>
    </row>
    <row r="9" spans="1:7" ht="27" customHeight="1" x14ac:dyDescent="0.3">
      <c r="A9" s="7" t="s">
        <v>197</v>
      </c>
      <c r="B9" s="7" t="s">
        <v>196</v>
      </c>
      <c r="C9" s="21" t="s">
        <v>198</v>
      </c>
      <c r="D9" s="7" t="s">
        <v>75</v>
      </c>
      <c r="E9" s="16" t="s">
        <v>135</v>
      </c>
      <c r="F9" s="7" t="s">
        <v>155</v>
      </c>
      <c r="G9" s="3" t="str">
        <f t="shared" si="0"/>
        <v>OK</v>
      </c>
    </row>
    <row r="10" spans="1:7" ht="14.25" customHeight="1" x14ac:dyDescent="0.3">
      <c r="A10" s="7" t="s">
        <v>199</v>
      </c>
      <c r="B10" s="7" t="s">
        <v>200</v>
      </c>
      <c r="C10" s="21">
        <v>3</v>
      </c>
      <c r="D10" s="7" t="s">
        <v>75</v>
      </c>
      <c r="E10" s="16" t="s">
        <v>131</v>
      </c>
      <c r="F10" s="7" t="s">
        <v>153</v>
      </c>
      <c r="G10" s="3" t="str">
        <f t="shared" si="0"/>
        <v>OK</v>
      </c>
    </row>
    <row r="11" spans="1:7" ht="14.25" customHeight="1" x14ac:dyDescent="0.3">
      <c r="A11" s="7" t="s">
        <v>201</v>
      </c>
      <c r="B11" s="7" t="s">
        <v>202</v>
      </c>
      <c r="C11" s="21" t="s">
        <v>185</v>
      </c>
      <c r="D11" s="7" t="s">
        <v>75</v>
      </c>
      <c r="E11" s="16" t="s">
        <v>131</v>
      </c>
      <c r="F11" s="7" t="s">
        <v>153</v>
      </c>
      <c r="G11" s="3" t="str">
        <f t="shared" si="0"/>
        <v>OK</v>
      </c>
    </row>
    <row r="12" spans="1:7" ht="21" customHeight="1" x14ac:dyDescent="0.3">
      <c r="A12" s="17" t="s">
        <v>203</v>
      </c>
      <c r="B12" s="7" t="s">
        <v>204</v>
      </c>
      <c r="C12" s="21" t="s">
        <v>182</v>
      </c>
      <c r="D12" s="7" t="s">
        <v>75</v>
      </c>
      <c r="E12" s="16" t="s">
        <v>131</v>
      </c>
      <c r="F12" s="7" t="s">
        <v>163</v>
      </c>
      <c r="G12" s="3" t="str">
        <f t="shared" si="0"/>
        <v>OK</v>
      </c>
    </row>
    <row r="13" spans="1:7" ht="14.25" customHeight="1" x14ac:dyDescent="0.3">
      <c r="A13" s="7" t="s">
        <v>205</v>
      </c>
      <c r="B13" s="7" t="s">
        <v>206</v>
      </c>
      <c r="C13" s="21" t="s">
        <v>185</v>
      </c>
      <c r="D13" s="7" t="s">
        <v>75</v>
      </c>
      <c r="E13" s="16" t="s">
        <v>131</v>
      </c>
      <c r="F13" s="7" t="s">
        <v>163</v>
      </c>
      <c r="G13" s="3" t="str">
        <f t="shared" si="0"/>
        <v>OK</v>
      </c>
    </row>
    <row r="14" spans="1:7" ht="14.25" customHeight="1" x14ac:dyDescent="0.3">
      <c r="A14" s="7" t="s">
        <v>207</v>
      </c>
      <c r="B14" s="7" t="s">
        <v>208</v>
      </c>
      <c r="C14" s="21">
        <v>3</v>
      </c>
      <c r="D14" s="7" t="s">
        <v>75</v>
      </c>
      <c r="E14" s="16" t="s">
        <v>131</v>
      </c>
      <c r="F14" s="7" t="s">
        <v>151</v>
      </c>
      <c r="G14" s="3" t="str">
        <f t="shared" si="0"/>
        <v>OK</v>
      </c>
    </row>
    <row r="15" spans="1:7" ht="14.25" customHeight="1" x14ac:dyDescent="0.3">
      <c r="A15" s="7" t="s">
        <v>209</v>
      </c>
      <c r="B15" s="7" t="s">
        <v>210</v>
      </c>
      <c r="C15" s="21" t="s">
        <v>185</v>
      </c>
      <c r="D15" s="7" t="s">
        <v>75</v>
      </c>
      <c r="E15" s="16" t="s">
        <v>131</v>
      </c>
      <c r="F15" s="7" t="s">
        <v>151</v>
      </c>
      <c r="G15" s="3" t="str">
        <f t="shared" si="0"/>
        <v>OK</v>
      </c>
    </row>
    <row r="16" spans="1:7" ht="14.25" customHeight="1" x14ac:dyDescent="0.3">
      <c r="A16" s="7" t="s">
        <v>211</v>
      </c>
      <c r="B16" s="7" t="s">
        <v>212</v>
      </c>
      <c r="C16" s="21" t="s">
        <v>182</v>
      </c>
      <c r="D16" s="7" t="s">
        <v>75</v>
      </c>
      <c r="E16" s="16" t="s">
        <v>131</v>
      </c>
      <c r="F16" s="7" t="s">
        <v>155</v>
      </c>
      <c r="G16" s="3" t="str">
        <f t="shared" si="0"/>
        <v>OK</v>
      </c>
    </row>
    <row r="17" spans="1:7" ht="14.25" customHeight="1" x14ac:dyDescent="0.3">
      <c r="A17" s="7" t="s">
        <v>213</v>
      </c>
      <c r="B17" s="7" t="s">
        <v>214</v>
      </c>
      <c r="C17" s="21" t="s">
        <v>185</v>
      </c>
      <c r="D17" s="7" t="s">
        <v>75</v>
      </c>
      <c r="E17" s="16" t="s">
        <v>131</v>
      </c>
      <c r="F17" s="7" t="s">
        <v>155</v>
      </c>
      <c r="G17" s="3" t="str">
        <f t="shared" si="0"/>
        <v>OK</v>
      </c>
    </row>
    <row r="18" spans="1:7" ht="14.25" customHeight="1" x14ac:dyDescent="0.3">
      <c r="A18" s="7" t="s">
        <v>215</v>
      </c>
      <c r="B18" s="7" t="s">
        <v>216</v>
      </c>
      <c r="C18" s="21" t="s">
        <v>182</v>
      </c>
      <c r="D18" s="7" t="s">
        <v>75</v>
      </c>
      <c r="E18" s="16" t="s">
        <v>131</v>
      </c>
      <c r="F18" s="7" t="s">
        <v>159</v>
      </c>
      <c r="G18" s="3" t="str">
        <f t="shared" si="0"/>
        <v>OK</v>
      </c>
    </row>
    <row r="19" spans="1:7" ht="14.25" customHeight="1" x14ac:dyDescent="0.3">
      <c r="A19" s="7" t="s">
        <v>217</v>
      </c>
      <c r="B19" s="7" t="s">
        <v>218</v>
      </c>
      <c r="C19" s="21" t="s">
        <v>185</v>
      </c>
      <c r="D19" s="7" t="s">
        <v>75</v>
      </c>
      <c r="E19" s="16" t="s">
        <v>131</v>
      </c>
      <c r="F19" s="7" t="s">
        <v>159</v>
      </c>
      <c r="G19" s="3" t="str">
        <f t="shared" si="0"/>
        <v>OK</v>
      </c>
    </row>
    <row r="20" spans="1:7" ht="14.25" customHeight="1" x14ac:dyDescent="0.3">
      <c r="A20" s="7" t="s">
        <v>219</v>
      </c>
      <c r="B20" s="7" t="s">
        <v>220</v>
      </c>
      <c r="C20" s="21" t="s">
        <v>198</v>
      </c>
      <c r="D20" s="7" t="s">
        <v>75</v>
      </c>
      <c r="E20" s="16" t="s">
        <v>117</v>
      </c>
      <c r="F20" s="7" t="s">
        <v>157</v>
      </c>
      <c r="G20" s="3" t="str">
        <f t="shared" si="0"/>
        <v>OK</v>
      </c>
    </row>
    <row r="21" spans="1:7" ht="14.25" customHeight="1" x14ac:dyDescent="0.3">
      <c r="A21" s="7" t="s">
        <v>221</v>
      </c>
      <c r="B21" s="7" t="s">
        <v>222</v>
      </c>
      <c r="C21" s="21">
        <v>3</v>
      </c>
      <c r="D21" s="7" t="s">
        <v>75</v>
      </c>
      <c r="E21" s="16" t="s">
        <v>117</v>
      </c>
      <c r="F21" s="7" t="s">
        <v>157</v>
      </c>
      <c r="G21" s="3" t="str">
        <f t="shared" si="0"/>
        <v>OK</v>
      </c>
    </row>
    <row r="22" spans="1:7" ht="14.25" customHeight="1" x14ac:dyDescent="0.3">
      <c r="A22" s="7" t="s">
        <v>223</v>
      </c>
      <c r="B22" s="7" t="s">
        <v>224</v>
      </c>
      <c r="C22" s="21" t="s">
        <v>194</v>
      </c>
      <c r="D22" s="7" t="s">
        <v>75</v>
      </c>
      <c r="E22" s="16" t="s">
        <v>117</v>
      </c>
      <c r="F22" s="7" t="s">
        <v>157</v>
      </c>
      <c r="G22" s="3" t="str">
        <f t="shared" si="0"/>
        <v>OK</v>
      </c>
    </row>
    <row r="23" spans="1:7" ht="14.25" customHeight="1" x14ac:dyDescent="0.3">
      <c r="A23" s="7" t="s">
        <v>225</v>
      </c>
      <c r="B23" s="7" t="s">
        <v>226</v>
      </c>
      <c r="C23" s="21">
        <v>3</v>
      </c>
      <c r="D23" s="7" t="s">
        <v>75</v>
      </c>
      <c r="E23" s="16" t="s">
        <v>117</v>
      </c>
      <c r="F23" s="7" t="s">
        <v>163</v>
      </c>
      <c r="G23" s="3" t="str">
        <f t="shared" si="0"/>
        <v>OK</v>
      </c>
    </row>
    <row r="24" spans="1:7" ht="14.25" customHeight="1" x14ac:dyDescent="0.3">
      <c r="A24" s="7" t="s">
        <v>227</v>
      </c>
      <c r="B24" s="7" t="s">
        <v>228</v>
      </c>
      <c r="C24" s="21" t="s">
        <v>185</v>
      </c>
      <c r="D24" s="7" t="s">
        <v>75</v>
      </c>
      <c r="E24" s="16" t="s">
        <v>117</v>
      </c>
      <c r="F24" s="7" t="s">
        <v>163</v>
      </c>
      <c r="G24" s="3" t="str">
        <f t="shared" si="0"/>
        <v>OK</v>
      </c>
    </row>
    <row r="25" spans="1:7" ht="14.25" customHeight="1" x14ac:dyDescent="0.3">
      <c r="A25" s="7" t="s">
        <v>229</v>
      </c>
      <c r="B25" s="7" t="s">
        <v>230</v>
      </c>
      <c r="C25" s="21" t="s">
        <v>182</v>
      </c>
      <c r="D25" s="7" t="s">
        <v>75</v>
      </c>
      <c r="E25" s="16" t="s">
        <v>117</v>
      </c>
      <c r="F25" s="7" t="s">
        <v>159</v>
      </c>
      <c r="G25" s="3" t="str">
        <f t="shared" si="0"/>
        <v>OK</v>
      </c>
    </row>
    <row r="26" spans="1:7" ht="14.25" customHeight="1" x14ac:dyDescent="0.3">
      <c r="A26" s="7" t="s">
        <v>231</v>
      </c>
      <c r="B26" s="7" t="s">
        <v>232</v>
      </c>
      <c r="C26" s="21" t="s">
        <v>185</v>
      </c>
      <c r="D26" s="7" t="s">
        <v>75</v>
      </c>
      <c r="E26" s="16" t="s">
        <v>117</v>
      </c>
      <c r="F26" s="7" t="s">
        <v>159</v>
      </c>
      <c r="G26" s="3" t="str">
        <f t="shared" si="0"/>
        <v>OK</v>
      </c>
    </row>
    <row r="27" spans="1:7" ht="14.25" customHeight="1" x14ac:dyDescent="0.3">
      <c r="A27" s="7" t="s">
        <v>233</v>
      </c>
      <c r="B27" s="7" t="s">
        <v>234</v>
      </c>
      <c r="C27" s="21" t="s">
        <v>235</v>
      </c>
      <c r="D27" s="7" t="s">
        <v>75</v>
      </c>
      <c r="E27" s="16" t="s">
        <v>117</v>
      </c>
      <c r="F27" s="7" t="s">
        <v>157</v>
      </c>
      <c r="G27" s="3" t="str">
        <f t="shared" si="0"/>
        <v>OK</v>
      </c>
    </row>
    <row r="28" spans="1:7" ht="14.25" customHeight="1" x14ac:dyDescent="0.3">
      <c r="A28" s="7" t="s">
        <v>236</v>
      </c>
      <c r="B28" s="7" t="s">
        <v>237</v>
      </c>
      <c r="C28" s="21" t="s">
        <v>182</v>
      </c>
      <c r="D28" s="7" t="s">
        <v>109</v>
      </c>
      <c r="E28" s="16" t="s">
        <v>117</v>
      </c>
      <c r="F28" s="7" t="s">
        <v>165</v>
      </c>
      <c r="G28" s="3" t="str">
        <f t="shared" si="0"/>
        <v>OK</v>
      </c>
    </row>
    <row r="29" spans="1:7" ht="14.25" customHeight="1" x14ac:dyDescent="0.3">
      <c r="A29" s="7" t="s">
        <v>238</v>
      </c>
      <c r="B29" s="7" t="s">
        <v>239</v>
      </c>
      <c r="C29" s="21">
        <v>3</v>
      </c>
      <c r="D29" s="7" t="s">
        <v>75</v>
      </c>
      <c r="E29" s="16" t="s">
        <v>107</v>
      </c>
      <c r="F29" s="7" t="s">
        <v>159</v>
      </c>
      <c r="G29" s="3" t="str">
        <f t="shared" si="0"/>
        <v>OK</v>
      </c>
    </row>
    <row r="30" spans="1:7" ht="14.25" customHeight="1" x14ac:dyDescent="0.3">
      <c r="A30" s="7" t="s">
        <v>240</v>
      </c>
      <c r="B30" s="7" t="s">
        <v>241</v>
      </c>
      <c r="C30" s="21" t="s">
        <v>185</v>
      </c>
      <c r="D30" s="7" t="s">
        <v>75</v>
      </c>
      <c r="E30" s="16" t="s">
        <v>107</v>
      </c>
      <c r="F30" s="7" t="s">
        <v>159</v>
      </c>
      <c r="G30" s="3" t="str">
        <f t="shared" si="0"/>
        <v>OK</v>
      </c>
    </row>
    <row r="31" spans="1:7" ht="14.25" customHeight="1" x14ac:dyDescent="0.3">
      <c r="A31" s="7" t="s">
        <v>242</v>
      </c>
      <c r="B31" s="7" t="s">
        <v>243</v>
      </c>
      <c r="C31" s="21" t="s">
        <v>182</v>
      </c>
      <c r="D31" s="7" t="s">
        <v>75</v>
      </c>
      <c r="E31" s="16" t="s">
        <v>107</v>
      </c>
      <c r="F31" s="7" t="s">
        <v>157</v>
      </c>
      <c r="G31" s="3" t="str">
        <f t="shared" si="0"/>
        <v>OK</v>
      </c>
    </row>
    <row r="32" spans="1:7" ht="14.25" customHeight="1" x14ac:dyDescent="0.3">
      <c r="A32" s="7" t="s">
        <v>244</v>
      </c>
      <c r="B32" s="7" t="s">
        <v>245</v>
      </c>
      <c r="C32" s="21" t="s">
        <v>185</v>
      </c>
      <c r="D32" s="7" t="s">
        <v>75</v>
      </c>
      <c r="E32" s="16" t="s">
        <v>107</v>
      </c>
      <c r="F32" s="7" t="s">
        <v>157</v>
      </c>
      <c r="G32" s="3" t="str">
        <f t="shared" si="0"/>
        <v>OK</v>
      </c>
    </row>
    <row r="33" spans="1:7" ht="14.25" customHeight="1" x14ac:dyDescent="0.3">
      <c r="A33" s="7" t="s">
        <v>246</v>
      </c>
      <c r="B33" s="7" t="s">
        <v>247</v>
      </c>
      <c r="C33" s="21" t="s">
        <v>182</v>
      </c>
      <c r="D33" s="7" t="s">
        <v>75</v>
      </c>
      <c r="E33" s="16" t="s">
        <v>107</v>
      </c>
      <c r="F33" s="7" t="s">
        <v>153</v>
      </c>
      <c r="G33" s="3" t="str">
        <f t="shared" si="0"/>
        <v>OK</v>
      </c>
    </row>
    <row r="34" spans="1:7" ht="14.25" customHeight="1" x14ac:dyDescent="0.3">
      <c r="A34" s="7" t="s">
        <v>248</v>
      </c>
      <c r="B34" s="7" t="s">
        <v>249</v>
      </c>
      <c r="C34" s="21" t="s">
        <v>185</v>
      </c>
      <c r="D34" s="7" t="s">
        <v>75</v>
      </c>
      <c r="E34" s="16" t="s">
        <v>107</v>
      </c>
      <c r="F34" s="7" t="s">
        <v>153</v>
      </c>
      <c r="G34" s="3" t="str">
        <f t="shared" si="0"/>
        <v>OK</v>
      </c>
    </row>
    <row r="35" spans="1:7" ht="14.25" customHeight="1" x14ac:dyDescent="0.3">
      <c r="A35" s="7" t="s">
        <v>250</v>
      </c>
      <c r="B35" s="7" t="s">
        <v>251</v>
      </c>
      <c r="C35" s="21" t="s">
        <v>182</v>
      </c>
      <c r="D35" s="7" t="s">
        <v>91</v>
      </c>
      <c r="E35" s="16" t="s">
        <v>107</v>
      </c>
      <c r="F35" s="7" t="s">
        <v>171</v>
      </c>
      <c r="G35" s="3" t="str">
        <f t="shared" si="0"/>
        <v>OK</v>
      </c>
    </row>
    <row r="36" spans="1:7" ht="14.25" customHeight="1" x14ac:dyDescent="0.3">
      <c r="A36" s="7" t="s">
        <v>252</v>
      </c>
      <c r="B36" s="7" t="s">
        <v>253</v>
      </c>
      <c r="C36" s="21" t="s">
        <v>185</v>
      </c>
      <c r="D36" s="7" t="s">
        <v>85</v>
      </c>
      <c r="E36" s="16" t="s">
        <v>77</v>
      </c>
      <c r="F36" s="7" t="s">
        <v>169</v>
      </c>
      <c r="G36" s="3" t="str">
        <f t="shared" si="0"/>
        <v>OK</v>
      </c>
    </row>
    <row r="37" spans="1:7" ht="14.25" customHeight="1" x14ac:dyDescent="0.3">
      <c r="A37" s="7" t="s">
        <v>254</v>
      </c>
      <c r="B37" s="7" t="s">
        <v>255</v>
      </c>
      <c r="C37" s="21" t="s">
        <v>235</v>
      </c>
      <c r="D37" s="7" t="s">
        <v>85</v>
      </c>
      <c r="E37" s="16" t="s">
        <v>77</v>
      </c>
      <c r="F37" s="7" t="s">
        <v>169</v>
      </c>
      <c r="G37" s="3" t="str">
        <f t="shared" si="0"/>
        <v>OK</v>
      </c>
    </row>
    <row r="38" spans="1:7" ht="14.25" customHeight="1" x14ac:dyDescent="0.3">
      <c r="A38" s="7" t="s">
        <v>256</v>
      </c>
      <c r="B38" s="7" t="s">
        <v>257</v>
      </c>
      <c r="C38" s="21" t="s">
        <v>182</v>
      </c>
      <c r="D38" s="7" t="s">
        <v>109</v>
      </c>
      <c r="E38" s="16" t="s">
        <v>77</v>
      </c>
      <c r="F38" s="7" t="s">
        <v>165</v>
      </c>
      <c r="G38" s="3" t="str">
        <f t="shared" si="0"/>
        <v>OK</v>
      </c>
    </row>
    <row r="39" spans="1:7" ht="14.25" customHeight="1" x14ac:dyDescent="0.3">
      <c r="A39" s="7" t="s">
        <v>258</v>
      </c>
      <c r="B39" s="7" t="s">
        <v>259</v>
      </c>
      <c r="C39" s="21">
        <v>1</v>
      </c>
      <c r="D39" s="7" t="s">
        <v>91</v>
      </c>
      <c r="E39" s="16" t="s">
        <v>77</v>
      </c>
      <c r="F39" s="7" t="s">
        <v>167</v>
      </c>
      <c r="G39" s="3" t="str">
        <f t="shared" si="0"/>
        <v>OK</v>
      </c>
    </row>
    <row r="40" spans="1:7" ht="14.25" customHeight="1" x14ac:dyDescent="0.3">
      <c r="A40" s="7" t="s">
        <v>260</v>
      </c>
      <c r="B40" s="7" t="s">
        <v>261</v>
      </c>
      <c r="C40" s="21" t="s">
        <v>235</v>
      </c>
      <c r="D40" s="7" t="s">
        <v>91</v>
      </c>
      <c r="E40" s="16" t="s">
        <v>77</v>
      </c>
      <c r="F40" s="7" t="s">
        <v>171</v>
      </c>
      <c r="G40" s="3" t="str">
        <f t="shared" si="0"/>
        <v>OK</v>
      </c>
    </row>
    <row r="41" spans="1:7" ht="14.25" customHeight="1" x14ac:dyDescent="0.3">
      <c r="A41" s="7" t="s">
        <v>262</v>
      </c>
      <c r="B41" s="7" t="s">
        <v>263</v>
      </c>
      <c r="C41" s="21" t="s">
        <v>182</v>
      </c>
      <c r="D41" s="7" t="s">
        <v>75</v>
      </c>
      <c r="E41" s="16" t="s">
        <v>77</v>
      </c>
      <c r="F41" s="7" t="s">
        <v>151</v>
      </c>
      <c r="G41" s="3" t="str">
        <f t="shared" si="0"/>
        <v>OK</v>
      </c>
    </row>
    <row r="42" spans="1:7" ht="18.75" customHeight="1" x14ac:dyDescent="0.3">
      <c r="A42" s="7" t="s">
        <v>264</v>
      </c>
      <c r="B42" s="7" t="s">
        <v>265</v>
      </c>
      <c r="C42" s="7">
        <v>2</v>
      </c>
      <c r="D42" s="7" t="s">
        <v>75</v>
      </c>
      <c r="E42" s="16" t="s">
        <v>77</v>
      </c>
      <c r="F42" s="7" t="s">
        <v>161</v>
      </c>
      <c r="G42" s="3" t="str">
        <f t="shared" si="0"/>
        <v>OK</v>
      </c>
    </row>
    <row r="43" spans="1:7" ht="14.25" customHeight="1" x14ac:dyDescent="0.3">
      <c r="A43" s="7" t="s">
        <v>266</v>
      </c>
      <c r="B43" s="7" t="s">
        <v>267</v>
      </c>
      <c r="C43" s="7">
        <v>3</v>
      </c>
      <c r="D43" s="7" t="s">
        <v>75</v>
      </c>
      <c r="E43" s="16" t="s">
        <v>77</v>
      </c>
      <c r="F43" s="7" t="s">
        <v>161</v>
      </c>
      <c r="G43" s="3" t="str">
        <f t="shared" si="0"/>
        <v>OK</v>
      </c>
    </row>
    <row r="44" spans="1:7" ht="14.25" customHeight="1" x14ac:dyDescent="0.3">
      <c r="A44" s="7" t="s">
        <v>268</v>
      </c>
      <c r="B44" s="7" t="s">
        <v>269</v>
      </c>
      <c r="C44" s="7">
        <v>1</v>
      </c>
      <c r="D44" s="7" t="s">
        <v>75</v>
      </c>
      <c r="E44" s="16" t="s">
        <v>77</v>
      </c>
      <c r="F44" s="7" t="s">
        <v>161</v>
      </c>
      <c r="G44" s="3" t="str">
        <f t="shared" si="0"/>
        <v>OK</v>
      </c>
    </row>
    <row r="45" spans="1:7" ht="14.25" customHeight="1" x14ac:dyDescent="0.3">
      <c r="A45" s="7"/>
      <c r="B45" s="7"/>
      <c r="C45" s="7"/>
      <c r="D45" s="7"/>
      <c r="E45" s="7"/>
      <c r="F45" s="7"/>
      <c r="G45" s="3" t="str">
        <f t="shared" si="0"/>
        <v/>
      </c>
    </row>
    <row r="46" spans="1:7" ht="14.25" customHeight="1" x14ac:dyDescent="0.3">
      <c r="A46" s="7"/>
      <c r="B46" s="7"/>
      <c r="C46" s="7"/>
      <c r="D46" s="7"/>
      <c r="E46" s="7"/>
      <c r="F46" s="7"/>
      <c r="G46" s="3" t="str">
        <f t="shared" si="0"/>
        <v/>
      </c>
    </row>
    <row r="47" spans="1:7" ht="14.25" customHeight="1" x14ac:dyDescent="0.3">
      <c r="A47" s="7"/>
      <c r="B47" s="7"/>
      <c r="C47" s="7"/>
      <c r="D47" s="7"/>
      <c r="E47" s="7"/>
      <c r="F47" s="7"/>
      <c r="G47" s="3" t="str">
        <f t="shared" si="0"/>
        <v/>
      </c>
    </row>
    <row r="48" spans="1:7" ht="14.25" customHeight="1" x14ac:dyDescent="0.3">
      <c r="A48" s="7"/>
      <c r="B48" s="7"/>
      <c r="C48" s="7"/>
      <c r="D48" s="7"/>
      <c r="E48" s="7"/>
      <c r="F48" s="7"/>
      <c r="G48" s="3" t="str">
        <f t="shared" si="0"/>
        <v/>
      </c>
    </row>
    <row r="49" spans="1:7" ht="14.25" customHeight="1" x14ac:dyDescent="0.3">
      <c r="A49" s="7"/>
      <c r="B49" s="7"/>
      <c r="C49" s="7"/>
      <c r="D49" s="7"/>
      <c r="E49" s="7"/>
      <c r="F49" s="7"/>
      <c r="G49" s="3" t="str">
        <f t="shared" si="0"/>
        <v/>
      </c>
    </row>
    <row r="50" spans="1:7" ht="14.25" customHeight="1" x14ac:dyDescent="0.3">
      <c r="A50" s="7"/>
      <c r="B50" s="7"/>
      <c r="C50" s="7"/>
      <c r="D50" s="7"/>
      <c r="E50" s="7"/>
      <c r="F50" s="7"/>
      <c r="G50" s="3" t="str">
        <f t="shared" si="0"/>
        <v/>
      </c>
    </row>
    <row r="51" spans="1:7" ht="14.25" customHeight="1" x14ac:dyDescent="0.3">
      <c r="A51" s="7"/>
      <c r="B51" s="7"/>
      <c r="C51" s="7"/>
      <c r="D51" s="7"/>
      <c r="E51" s="7"/>
      <c r="F51" s="7"/>
      <c r="G51" s="3" t="str">
        <f t="shared" si="0"/>
        <v/>
      </c>
    </row>
    <row r="52" spans="1:7" ht="14.25" customHeight="1" x14ac:dyDescent="0.3">
      <c r="A52" s="7"/>
      <c r="B52" s="7"/>
      <c r="C52" s="7"/>
      <c r="D52" s="7"/>
      <c r="E52" s="7"/>
      <c r="F52" s="7"/>
      <c r="G52" s="3" t="str">
        <f t="shared" si="0"/>
        <v/>
      </c>
    </row>
    <row r="53" spans="1:7" ht="14.25" customHeight="1" x14ac:dyDescent="0.3">
      <c r="A53" s="7"/>
      <c r="B53" s="7"/>
      <c r="C53" s="7"/>
      <c r="D53" s="7"/>
      <c r="E53" s="7"/>
      <c r="F53" s="7"/>
      <c r="G53" s="3" t="str">
        <f t="shared" si="0"/>
        <v/>
      </c>
    </row>
    <row r="54" spans="1:7" ht="14.25" customHeight="1" x14ac:dyDescent="0.3">
      <c r="A54" s="7"/>
      <c r="B54" s="7"/>
      <c r="C54" s="7"/>
      <c r="D54" s="7"/>
      <c r="E54" s="7"/>
      <c r="F54" s="7"/>
      <c r="G54" s="3" t="str">
        <f t="shared" si="0"/>
        <v/>
      </c>
    </row>
    <row r="55" spans="1:7" ht="14.25" customHeight="1" x14ac:dyDescent="0.3">
      <c r="A55" s="7"/>
      <c r="B55" s="7"/>
      <c r="C55" s="7"/>
      <c r="D55" s="7"/>
      <c r="E55" s="7"/>
      <c r="F55" s="7"/>
      <c r="G55" s="3" t="str">
        <f t="shared" si="0"/>
        <v/>
      </c>
    </row>
    <row r="56" spans="1:7" ht="14.25" customHeight="1" x14ac:dyDescent="0.3">
      <c r="A56" s="7"/>
      <c r="B56" s="7"/>
      <c r="C56" s="7"/>
      <c r="D56" s="7"/>
      <c r="E56" s="7"/>
      <c r="F56" s="7"/>
      <c r="G56" s="3" t="str">
        <f t="shared" si="0"/>
        <v/>
      </c>
    </row>
    <row r="57" spans="1:7" ht="14.25" customHeight="1" x14ac:dyDescent="0.3">
      <c r="A57" s="7"/>
      <c r="B57" s="7"/>
      <c r="C57" s="7"/>
      <c r="D57" s="7"/>
      <c r="E57" s="7"/>
      <c r="F57" s="7"/>
      <c r="G57" s="3" t="str">
        <f t="shared" si="0"/>
        <v/>
      </c>
    </row>
    <row r="58" spans="1:7" ht="14.25" customHeight="1" x14ac:dyDescent="0.3">
      <c r="A58" s="7"/>
      <c r="B58" s="7"/>
      <c r="C58" s="7"/>
      <c r="D58" s="7"/>
      <c r="E58" s="7"/>
      <c r="F58" s="7"/>
      <c r="G58" s="3" t="str">
        <f t="shared" si="0"/>
        <v/>
      </c>
    </row>
    <row r="59" spans="1:7" ht="14.25" customHeight="1" x14ac:dyDescent="0.3">
      <c r="A59" s="7"/>
      <c r="B59" s="7"/>
      <c r="C59" s="7"/>
      <c r="D59" s="7"/>
      <c r="E59" s="7"/>
      <c r="F59" s="7"/>
      <c r="G59" s="3" t="str">
        <f t="shared" si="0"/>
        <v/>
      </c>
    </row>
    <row r="60" spans="1:7" ht="14.25" customHeight="1" x14ac:dyDescent="0.3">
      <c r="A60" s="7"/>
      <c r="B60" s="7"/>
      <c r="C60" s="7"/>
      <c r="D60" s="7"/>
      <c r="E60" s="7"/>
      <c r="F60" s="7"/>
      <c r="G60" s="3" t="str">
        <f t="shared" si="0"/>
        <v/>
      </c>
    </row>
    <row r="61" spans="1:7" ht="14.25" customHeight="1" x14ac:dyDescent="0.3">
      <c r="A61" s="7"/>
      <c r="B61" s="7"/>
      <c r="C61" s="7"/>
      <c r="D61" s="7"/>
      <c r="E61" s="7"/>
      <c r="F61" s="7"/>
      <c r="G61" s="3" t="str">
        <f t="shared" si="0"/>
        <v/>
      </c>
    </row>
    <row r="62" spans="1:7" ht="14.25" customHeight="1" x14ac:dyDescent="0.3">
      <c r="A62" s="7"/>
      <c r="B62" s="7"/>
      <c r="C62" s="7"/>
      <c r="D62" s="7"/>
      <c r="E62" s="7"/>
      <c r="F62" s="7"/>
      <c r="G62" s="3" t="str">
        <f t="shared" si="0"/>
        <v/>
      </c>
    </row>
    <row r="63" spans="1:7" ht="14.25" customHeight="1" x14ac:dyDescent="0.3">
      <c r="A63" s="7"/>
      <c r="B63" s="7"/>
      <c r="C63" s="7"/>
      <c r="D63" s="7"/>
      <c r="E63" s="7"/>
      <c r="F63" s="7"/>
      <c r="G63" s="3" t="str">
        <f t="shared" si="0"/>
        <v/>
      </c>
    </row>
    <row r="64" spans="1:7" ht="14.25" customHeight="1" x14ac:dyDescent="0.3">
      <c r="A64" s="7"/>
      <c r="B64" s="7"/>
      <c r="C64" s="7"/>
      <c r="D64" s="7"/>
      <c r="E64" s="7"/>
      <c r="F64" s="7"/>
      <c r="G64" s="3" t="str">
        <f t="shared" si="0"/>
        <v/>
      </c>
    </row>
    <row r="65" spans="1:7" ht="14.25" customHeight="1" x14ac:dyDescent="0.3">
      <c r="A65" s="7"/>
      <c r="B65" s="7"/>
      <c r="C65" s="7"/>
      <c r="D65" s="7"/>
      <c r="E65" s="7"/>
      <c r="F65" s="7"/>
      <c r="G65" s="3" t="str">
        <f t="shared" si="0"/>
        <v/>
      </c>
    </row>
    <row r="66" spans="1:7" ht="14.25" customHeight="1" x14ac:dyDescent="0.3">
      <c r="A66" s="7"/>
      <c r="B66" s="7"/>
      <c r="C66" s="7"/>
      <c r="D66" s="7"/>
      <c r="E66" s="7"/>
      <c r="F66" s="7"/>
      <c r="G66" s="3" t="str">
        <f t="shared" ref="G66:G129" si="1">IF(COUNTA(A66:F66)=0,"",IF(COUNTIF($A$2:$A$1000,A66)&gt;1,"DUPLICATE COURSE CODE","OK"))</f>
        <v/>
      </c>
    </row>
    <row r="67" spans="1:7" ht="14.25" customHeight="1" x14ac:dyDescent="0.3">
      <c r="A67" s="7"/>
      <c r="B67" s="7"/>
      <c r="C67" s="7"/>
      <c r="D67" s="7"/>
      <c r="E67" s="7"/>
      <c r="F67" s="7"/>
      <c r="G67" s="3" t="str">
        <f t="shared" si="1"/>
        <v/>
      </c>
    </row>
    <row r="68" spans="1:7" ht="14.25" customHeight="1" x14ac:dyDescent="0.3">
      <c r="A68" s="7"/>
      <c r="B68" s="7"/>
      <c r="C68" s="7"/>
      <c r="D68" s="7"/>
      <c r="E68" s="7"/>
      <c r="F68" s="7"/>
      <c r="G68" s="3" t="str">
        <f t="shared" si="1"/>
        <v/>
      </c>
    </row>
    <row r="69" spans="1:7" ht="14.25" customHeight="1" x14ac:dyDescent="0.3">
      <c r="A69" s="7"/>
      <c r="B69" s="7"/>
      <c r="C69" s="7"/>
      <c r="D69" s="7"/>
      <c r="E69" s="7"/>
      <c r="F69" s="7"/>
      <c r="G69" s="3" t="str">
        <f t="shared" si="1"/>
        <v/>
      </c>
    </row>
    <row r="70" spans="1:7" ht="14.25" customHeight="1" x14ac:dyDescent="0.3">
      <c r="A70" s="7"/>
      <c r="B70" s="7"/>
      <c r="C70" s="7"/>
      <c r="D70" s="7"/>
      <c r="E70" s="7"/>
      <c r="F70" s="7"/>
      <c r="G70" s="3" t="str">
        <f t="shared" si="1"/>
        <v/>
      </c>
    </row>
    <row r="71" spans="1:7" ht="14.25" customHeight="1" x14ac:dyDescent="0.3">
      <c r="A71" s="7"/>
      <c r="B71" s="7"/>
      <c r="C71" s="7"/>
      <c r="D71" s="7"/>
      <c r="E71" s="7"/>
      <c r="F71" s="7"/>
      <c r="G71" s="3" t="str">
        <f t="shared" si="1"/>
        <v/>
      </c>
    </row>
    <row r="72" spans="1:7" ht="14.25" customHeight="1" x14ac:dyDescent="0.3">
      <c r="A72" s="7"/>
      <c r="B72" s="7"/>
      <c r="C72" s="7"/>
      <c r="D72" s="7"/>
      <c r="E72" s="7"/>
      <c r="F72" s="7"/>
      <c r="G72" s="3" t="str">
        <f t="shared" si="1"/>
        <v/>
      </c>
    </row>
    <row r="73" spans="1:7" ht="14.25" customHeight="1" x14ac:dyDescent="0.3">
      <c r="A73" s="7"/>
      <c r="B73" s="7"/>
      <c r="C73" s="7"/>
      <c r="D73" s="7"/>
      <c r="E73" s="7"/>
      <c r="F73" s="7"/>
      <c r="G73" s="3" t="str">
        <f t="shared" si="1"/>
        <v/>
      </c>
    </row>
    <row r="74" spans="1:7" ht="14.25" customHeight="1" x14ac:dyDescent="0.3">
      <c r="A74" s="7"/>
      <c r="B74" s="7"/>
      <c r="C74" s="7"/>
      <c r="D74" s="7"/>
      <c r="E74" s="7"/>
      <c r="F74" s="7"/>
      <c r="G74" s="3" t="str">
        <f t="shared" si="1"/>
        <v/>
      </c>
    </row>
    <row r="75" spans="1:7" ht="14.25" customHeight="1" x14ac:dyDescent="0.3">
      <c r="A75" s="7"/>
      <c r="B75" s="7"/>
      <c r="C75" s="7"/>
      <c r="D75" s="7"/>
      <c r="E75" s="7"/>
      <c r="F75" s="7"/>
      <c r="G75" s="3" t="str">
        <f t="shared" si="1"/>
        <v/>
      </c>
    </row>
    <row r="76" spans="1:7" ht="14.25" customHeight="1" x14ac:dyDescent="0.3">
      <c r="A76" s="7"/>
      <c r="B76" s="7"/>
      <c r="C76" s="7"/>
      <c r="D76" s="7"/>
      <c r="E76" s="7"/>
      <c r="F76" s="7"/>
      <c r="G76" s="3" t="str">
        <f t="shared" si="1"/>
        <v/>
      </c>
    </row>
    <row r="77" spans="1:7" ht="14.25" customHeight="1" x14ac:dyDescent="0.3">
      <c r="A77" s="7"/>
      <c r="B77" s="7"/>
      <c r="C77" s="7"/>
      <c r="D77" s="7"/>
      <c r="E77" s="7"/>
      <c r="F77" s="7"/>
      <c r="G77" s="3" t="str">
        <f t="shared" si="1"/>
        <v/>
      </c>
    </row>
    <row r="78" spans="1:7" ht="14.25" customHeight="1" x14ac:dyDescent="0.3">
      <c r="A78" s="7"/>
      <c r="B78" s="7"/>
      <c r="C78" s="7"/>
      <c r="D78" s="7"/>
      <c r="E78" s="7"/>
      <c r="F78" s="7"/>
      <c r="G78" s="3" t="str">
        <f t="shared" si="1"/>
        <v/>
      </c>
    </row>
    <row r="79" spans="1:7" ht="14.25" customHeight="1" x14ac:dyDescent="0.3">
      <c r="A79" s="7"/>
      <c r="B79" s="7"/>
      <c r="C79" s="7"/>
      <c r="D79" s="7"/>
      <c r="E79" s="7"/>
      <c r="F79" s="7"/>
      <c r="G79" s="3" t="str">
        <f t="shared" si="1"/>
        <v/>
      </c>
    </row>
    <row r="80" spans="1:7" ht="14.25" customHeight="1" x14ac:dyDescent="0.3">
      <c r="A80" s="7"/>
      <c r="B80" s="7"/>
      <c r="C80" s="7"/>
      <c r="D80" s="7"/>
      <c r="E80" s="7"/>
      <c r="F80" s="7"/>
      <c r="G80" s="3" t="str">
        <f t="shared" si="1"/>
        <v/>
      </c>
    </row>
    <row r="81" spans="1:7" ht="14.25" customHeight="1" x14ac:dyDescent="0.3">
      <c r="A81" s="7"/>
      <c r="B81" s="7"/>
      <c r="C81" s="7"/>
      <c r="D81" s="7"/>
      <c r="E81" s="7"/>
      <c r="F81" s="7"/>
      <c r="G81" s="3" t="str">
        <f t="shared" si="1"/>
        <v/>
      </c>
    </row>
    <row r="82" spans="1:7" ht="14.25" customHeight="1" x14ac:dyDescent="0.3">
      <c r="A82" s="7"/>
      <c r="B82" s="7"/>
      <c r="C82" s="7"/>
      <c r="D82" s="7"/>
      <c r="E82" s="7"/>
      <c r="F82" s="7"/>
      <c r="G82" s="3" t="str">
        <f t="shared" si="1"/>
        <v/>
      </c>
    </row>
    <row r="83" spans="1:7" ht="14.25" customHeight="1" x14ac:dyDescent="0.3">
      <c r="A83" s="7"/>
      <c r="B83" s="7"/>
      <c r="C83" s="7"/>
      <c r="D83" s="7"/>
      <c r="E83" s="7"/>
      <c r="F83" s="7"/>
      <c r="G83" s="3" t="str">
        <f t="shared" si="1"/>
        <v/>
      </c>
    </row>
    <row r="84" spans="1:7" ht="14.25" customHeight="1" x14ac:dyDescent="0.3">
      <c r="A84" s="7"/>
      <c r="B84" s="7"/>
      <c r="C84" s="7"/>
      <c r="D84" s="7"/>
      <c r="E84" s="7"/>
      <c r="F84" s="7"/>
      <c r="G84" s="3" t="str">
        <f t="shared" si="1"/>
        <v/>
      </c>
    </row>
    <row r="85" spans="1:7" ht="14.25" customHeight="1" x14ac:dyDescent="0.3">
      <c r="A85" s="7"/>
      <c r="B85" s="7"/>
      <c r="C85" s="7"/>
      <c r="D85" s="7"/>
      <c r="E85" s="7"/>
      <c r="F85" s="7"/>
      <c r="G85" s="3" t="str">
        <f t="shared" si="1"/>
        <v/>
      </c>
    </row>
    <row r="86" spans="1:7" ht="14.25" customHeight="1" x14ac:dyDescent="0.3">
      <c r="A86" s="7"/>
      <c r="B86" s="7"/>
      <c r="C86" s="7"/>
      <c r="D86" s="7"/>
      <c r="E86" s="7"/>
      <c r="F86" s="7"/>
      <c r="G86" s="3" t="str">
        <f t="shared" si="1"/>
        <v/>
      </c>
    </row>
    <row r="87" spans="1:7" ht="14.25" customHeight="1" x14ac:dyDescent="0.3">
      <c r="A87" s="7"/>
      <c r="B87" s="7"/>
      <c r="C87" s="7"/>
      <c r="D87" s="7"/>
      <c r="E87" s="7"/>
      <c r="F87" s="7"/>
      <c r="G87" s="3" t="str">
        <f t="shared" si="1"/>
        <v/>
      </c>
    </row>
    <row r="88" spans="1:7" ht="14.25" customHeight="1" x14ac:dyDescent="0.3">
      <c r="A88" s="7"/>
      <c r="B88" s="7"/>
      <c r="C88" s="7"/>
      <c r="D88" s="7"/>
      <c r="E88" s="7"/>
      <c r="F88" s="7"/>
      <c r="G88" s="3" t="str">
        <f t="shared" si="1"/>
        <v/>
      </c>
    </row>
    <row r="89" spans="1:7" ht="14.25" customHeight="1" x14ac:dyDescent="0.3">
      <c r="A89" s="7"/>
      <c r="B89" s="7"/>
      <c r="C89" s="7"/>
      <c r="D89" s="7"/>
      <c r="E89" s="7"/>
      <c r="F89" s="7"/>
      <c r="G89" s="3" t="str">
        <f t="shared" si="1"/>
        <v/>
      </c>
    </row>
    <row r="90" spans="1:7" ht="14.25" customHeight="1" x14ac:dyDescent="0.3">
      <c r="A90" s="7"/>
      <c r="B90" s="7"/>
      <c r="C90" s="7"/>
      <c r="D90" s="7"/>
      <c r="E90" s="7"/>
      <c r="F90" s="7"/>
      <c r="G90" s="3" t="str">
        <f t="shared" si="1"/>
        <v/>
      </c>
    </row>
    <row r="91" spans="1:7" ht="14.25" customHeight="1" x14ac:dyDescent="0.3">
      <c r="A91" s="7"/>
      <c r="B91" s="7"/>
      <c r="C91" s="7"/>
      <c r="D91" s="7"/>
      <c r="E91" s="7"/>
      <c r="F91" s="7"/>
      <c r="G91" s="3" t="str">
        <f t="shared" si="1"/>
        <v/>
      </c>
    </row>
    <row r="92" spans="1:7" ht="14.25" customHeight="1" x14ac:dyDescent="0.3">
      <c r="A92" s="7"/>
      <c r="B92" s="7"/>
      <c r="C92" s="7"/>
      <c r="D92" s="7"/>
      <c r="E92" s="7"/>
      <c r="F92" s="7"/>
      <c r="G92" s="3" t="str">
        <f t="shared" si="1"/>
        <v/>
      </c>
    </row>
    <row r="93" spans="1:7" ht="14.25" customHeight="1" x14ac:dyDescent="0.3">
      <c r="A93" s="7"/>
      <c r="B93" s="7"/>
      <c r="C93" s="7"/>
      <c r="D93" s="7"/>
      <c r="E93" s="7"/>
      <c r="F93" s="7"/>
      <c r="G93" s="3" t="str">
        <f t="shared" si="1"/>
        <v/>
      </c>
    </row>
    <row r="94" spans="1:7" ht="14.25" customHeight="1" x14ac:dyDescent="0.3">
      <c r="A94" s="7"/>
      <c r="B94" s="7"/>
      <c r="C94" s="7"/>
      <c r="D94" s="7"/>
      <c r="E94" s="7"/>
      <c r="F94" s="7"/>
      <c r="G94" s="3" t="str">
        <f t="shared" si="1"/>
        <v/>
      </c>
    </row>
    <row r="95" spans="1:7" ht="14.25" customHeight="1" x14ac:dyDescent="0.3">
      <c r="A95" s="7"/>
      <c r="B95" s="7"/>
      <c r="C95" s="7"/>
      <c r="D95" s="7"/>
      <c r="E95" s="7"/>
      <c r="F95" s="7"/>
      <c r="G95" s="3" t="str">
        <f t="shared" si="1"/>
        <v/>
      </c>
    </row>
    <row r="96" spans="1:7" ht="14.25" customHeight="1" x14ac:dyDescent="0.3">
      <c r="A96" s="7"/>
      <c r="B96" s="7"/>
      <c r="C96" s="7"/>
      <c r="D96" s="7"/>
      <c r="E96" s="7"/>
      <c r="F96" s="7"/>
      <c r="G96" s="3" t="str">
        <f t="shared" si="1"/>
        <v/>
      </c>
    </row>
    <row r="97" spans="1:7" ht="14.25" customHeight="1" x14ac:dyDescent="0.3">
      <c r="A97" s="7"/>
      <c r="B97" s="7"/>
      <c r="C97" s="7"/>
      <c r="D97" s="7"/>
      <c r="E97" s="7"/>
      <c r="F97" s="7"/>
      <c r="G97" s="3" t="str">
        <f t="shared" si="1"/>
        <v/>
      </c>
    </row>
    <row r="98" spans="1:7" ht="14.25" customHeight="1" x14ac:dyDescent="0.3">
      <c r="A98" s="7"/>
      <c r="B98" s="7"/>
      <c r="C98" s="7"/>
      <c r="D98" s="7"/>
      <c r="E98" s="7"/>
      <c r="F98" s="7"/>
      <c r="G98" s="3" t="str">
        <f t="shared" si="1"/>
        <v/>
      </c>
    </row>
    <row r="99" spans="1:7" ht="14.25" customHeight="1" x14ac:dyDescent="0.3">
      <c r="A99" s="7"/>
      <c r="B99" s="7"/>
      <c r="C99" s="7"/>
      <c r="D99" s="7"/>
      <c r="E99" s="7"/>
      <c r="F99" s="7"/>
      <c r="G99" s="3" t="str">
        <f t="shared" si="1"/>
        <v/>
      </c>
    </row>
    <row r="100" spans="1:7" ht="14.25" customHeight="1" x14ac:dyDescent="0.3">
      <c r="A100" s="7"/>
      <c r="B100" s="7"/>
      <c r="C100" s="7"/>
      <c r="D100" s="7"/>
      <c r="E100" s="7"/>
      <c r="F100" s="7"/>
      <c r="G100" s="3" t="str">
        <f t="shared" si="1"/>
        <v/>
      </c>
    </row>
    <row r="101" spans="1:7" ht="14.25" customHeight="1" x14ac:dyDescent="0.3">
      <c r="A101" s="7"/>
      <c r="B101" s="7"/>
      <c r="C101" s="7"/>
      <c r="D101" s="7"/>
      <c r="E101" s="7"/>
      <c r="F101" s="7"/>
      <c r="G101" s="3" t="str">
        <f t="shared" si="1"/>
        <v/>
      </c>
    </row>
    <row r="102" spans="1:7" ht="14.25" customHeight="1" x14ac:dyDescent="0.3">
      <c r="A102" s="7"/>
      <c r="B102" s="7"/>
      <c r="C102" s="7"/>
      <c r="D102" s="7"/>
      <c r="E102" s="7"/>
      <c r="F102" s="7"/>
      <c r="G102" s="3" t="str">
        <f t="shared" si="1"/>
        <v/>
      </c>
    </row>
    <row r="103" spans="1:7" ht="14.25" customHeight="1" x14ac:dyDescent="0.3">
      <c r="A103" s="7"/>
      <c r="B103" s="7"/>
      <c r="C103" s="7"/>
      <c r="D103" s="7"/>
      <c r="E103" s="7"/>
      <c r="F103" s="7"/>
      <c r="G103" s="3" t="str">
        <f t="shared" si="1"/>
        <v/>
      </c>
    </row>
    <row r="104" spans="1:7" ht="14.25" customHeight="1" x14ac:dyDescent="0.3">
      <c r="A104" s="7"/>
      <c r="B104" s="7"/>
      <c r="C104" s="7"/>
      <c r="D104" s="7"/>
      <c r="E104" s="7"/>
      <c r="F104" s="7"/>
      <c r="G104" s="3" t="str">
        <f t="shared" si="1"/>
        <v/>
      </c>
    </row>
    <row r="105" spans="1:7" ht="14.25" customHeight="1" x14ac:dyDescent="0.3">
      <c r="A105" s="7"/>
      <c r="B105" s="7"/>
      <c r="C105" s="7"/>
      <c r="D105" s="7"/>
      <c r="E105" s="7"/>
      <c r="F105" s="7"/>
      <c r="G105" s="3" t="str">
        <f t="shared" si="1"/>
        <v/>
      </c>
    </row>
    <row r="106" spans="1:7" ht="14.25" customHeight="1" x14ac:dyDescent="0.3">
      <c r="A106" s="7"/>
      <c r="B106" s="7"/>
      <c r="C106" s="7"/>
      <c r="D106" s="7"/>
      <c r="E106" s="7"/>
      <c r="F106" s="7"/>
      <c r="G106" s="3" t="str">
        <f t="shared" si="1"/>
        <v/>
      </c>
    </row>
    <row r="107" spans="1:7" ht="14.25" customHeight="1" x14ac:dyDescent="0.3">
      <c r="A107" s="7"/>
      <c r="B107" s="7"/>
      <c r="C107" s="7"/>
      <c r="D107" s="7"/>
      <c r="E107" s="7"/>
      <c r="F107" s="7"/>
      <c r="G107" s="3" t="str">
        <f t="shared" si="1"/>
        <v/>
      </c>
    </row>
    <row r="108" spans="1:7" ht="14.25" customHeight="1" x14ac:dyDescent="0.3">
      <c r="A108" s="7"/>
      <c r="B108" s="7"/>
      <c r="C108" s="7"/>
      <c r="D108" s="7"/>
      <c r="E108" s="7"/>
      <c r="F108" s="7"/>
      <c r="G108" s="3" t="str">
        <f t="shared" si="1"/>
        <v/>
      </c>
    </row>
    <row r="109" spans="1:7" ht="14.25" customHeight="1" x14ac:dyDescent="0.3">
      <c r="A109" s="7"/>
      <c r="B109" s="7"/>
      <c r="C109" s="7"/>
      <c r="D109" s="7"/>
      <c r="E109" s="7"/>
      <c r="F109" s="7"/>
      <c r="G109" s="3" t="str">
        <f t="shared" si="1"/>
        <v/>
      </c>
    </row>
    <row r="110" spans="1:7" ht="14.25" customHeight="1" x14ac:dyDescent="0.3">
      <c r="A110" s="7"/>
      <c r="B110" s="7"/>
      <c r="C110" s="7"/>
      <c r="D110" s="7"/>
      <c r="E110" s="7"/>
      <c r="F110" s="7"/>
      <c r="G110" s="3" t="str">
        <f t="shared" si="1"/>
        <v/>
      </c>
    </row>
    <row r="111" spans="1:7" ht="14.25" customHeight="1" x14ac:dyDescent="0.3">
      <c r="A111" s="7"/>
      <c r="B111" s="7"/>
      <c r="C111" s="7"/>
      <c r="D111" s="7"/>
      <c r="E111" s="7"/>
      <c r="F111" s="7"/>
      <c r="G111" s="3" t="str">
        <f t="shared" si="1"/>
        <v/>
      </c>
    </row>
    <row r="112" spans="1:7" ht="14.25" customHeight="1" x14ac:dyDescent="0.3">
      <c r="A112" s="7"/>
      <c r="B112" s="7"/>
      <c r="C112" s="7"/>
      <c r="D112" s="7"/>
      <c r="E112" s="7"/>
      <c r="F112" s="7"/>
      <c r="G112" s="3" t="str">
        <f t="shared" si="1"/>
        <v/>
      </c>
    </row>
    <row r="113" spans="1:7" ht="14.25" customHeight="1" x14ac:dyDescent="0.3">
      <c r="A113" s="7"/>
      <c r="B113" s="7"/>
      <c r="C113" s="7"/>
      <c r="D113" s="7"/>
      <c r="E113" s="7"/>
      <c r="F113" s="7"/>
      <c r="G113" s="3" t="str">
        <f t="shared" si="1"/>
        <v/>
      </c>
    </row>
    <row r="114" spans="1:7" ht="14.25" customHeight="1" x14ac:dyDescent="0.3">
      <c r="A114" s="7"/>
      <c r="B114" s="7"/>
      <c r="C114" s="7"/>
      <c r="D114" s="7"/>
      <c r="E114" s="7"/>
      <c r="F114" s="7"/>
      <c r="G114" s="3" t="str">
        <f t="shared" si="1"/>
        <v/>
      </c>
    </row>
    <row r="115" spans="1:7" ht="14.25" customHeight="1" x14ac:dyDescent="0.3">
      <c r="A115" s="7"/>
      <c r="B115" s="7"/>
      <c r="C115" s="7"/>
      <c r="D115" s="7"/>
      <c r="E115" s="7"/>
      <c r="F115" s="7"/>
      <c r="G115" s="3" t="str">
        <f t="shared" si="1"/>
        <v/>
      </c>
    </row>
    <row r="116" spans="1:7" ht="14.25" customHeight="1" x14ac:dyDescent="0.3">
      <c r="A116" s="7"/>
      <c r="B116" s="7"/>
      <c r="C116" s="7"/>
      <c r="D116" s="7"/>
      <c r="E116" s="7"/>
      <c r="F116" s="7"/>
      <c r="G116" s="3" t="str">
        <f t="shared" si="1"/>
        <v/>
      </c>
    </row>
    <row r="117" spans="1:7" ht="14.25" customHeight="1" x14ac:dyDescent="0.3">
      <c r="A117" s="7"/>
      <c r="B117" s="7"/>
      <c r="C117" s="7"/>
      <c r="D117" s="7"/>
      <c r="E117" s="7"/>
      <c r="F117" s="7"/>
      <c r="G117" s="3" t="str">
        <f t="shared" si="1"/>
        <v/>
      </c>
    </row>
    <row r="118" spans="1:7" ht="14.25" customHeight="1" x14ac:dyDescent="0.3">
      <c r="A118" s="7"/>
      <c r="B118" s="7"/>
      <c r="C118" s="7"/>
      <c r="D118" s="7"/>
      <c r="E118" s="7"/>
      <c r="F118" s="7"/>
      <c r="G118" s="3" t="str">
        <f t="shared" si="1"/>
        <v/>
      </c>
    </row>
    <row r="119" spans="1:7" ht="14.25" customHeight="1" x14ac:dyDescent="0.3">
      <c r="A119" s="7"/>
      <c r="B119" s="7"/>
      <c r="C119" s="7"/>
      <c r="D119" s="7"/>
      <c r="E119" s="7"/>
      <c r="F119" s="7"/>
      <c r="G119" s="3" t="str">
        <f t="shared" si="1"/>
        <v/>
      </c>
    </row>
    <row r="120" spans="1:7" ht="14.25" customHeight="1" x14ac:dyDescent="0.3">
      <c r="A120" s="7"/>
      <c r="B120" s="7"/>
      <c r="C120" s="7"/>
      <c r="D120" s="7"/>
      <c r="E120" s="7"/>
      <c r="F120" s="7"/>
      <c r="G120" s="3" t="str">
        <f t="shared" si="1"/>
        <v/>
      </c>
    </row>
    <row r="121" spans="1:7" ht="14.25" customHeight="1" x14ac:dyDescent="0.3">
      <c r="A121" s="7"/>
      <c r="B121" s="7"/>
      <c r="C121" s="7"/>
      <c r="D121" s="7"/>
      <c r="E121" s="7"/>
      <c r="F121" s="7"/>
      <c r="G121" s="3" t="str">
        <f t="shared" si="1"/>
        <v/>
      </c>
    </row>
    <row r="122" spans="1:7" ht="14.25" customHeight="1" x14ac:dyDescent="0.3">
      <c r="A122" s="7"/>
      <c r="B122" s="7"/>
      <c r="C122" s="7"/>
      <c r="D122" s="7"/>
      <c r="E122" s="7"/>
      <c r="F122" s="7"/>
      <c r="G122" s="3" t="str">
        <f t="shared" si="1"/>
        <v/>
      </c>
    </row>
    <row r="123" spans="1:7" ht="14.25" customHeight="1" x14ac:dyDescent="0.3">
      <c r="A123" s="7"/>
      <c r="B123" s="7"/>
      <c r="C123" s="7"/>
      <c r="D123" s="7"/>
      <c r="E123" s="7"/>
      <c r="F123" s="7"/>
      <c r="G123" s="3" t="str">
        <f t="shared" si="1"/>
        <v/>
      </c>
    </row>
    <row r="124" spans="1:7" ht="14.25" customHeight="1" x14ac:dyDescent="0.3">
      <c r="A124" s="7"/>
      <c r="B124" s="7"/>
      <c r="C124" s="7"/>
      <c r="D124" s="7"/>
      <c r="E124" s="7"/>
      <c r="F124" s="7"/>
      <c r="G124" s="3" t="str">
        <f t="shared" si="1"/>
        <v/>
      </c>
    </row>
    <row r="125" spans="1:7" ht="14.25" customHeight="1" x14ac:dyDescent="0.3">
      <c r="A125" s="7"/>
      <c r="B125" s="7"/>
      <c r="C125" s="7"/>
      <c r="D125" s="7"/>
      <c r="E125" s="7"/>
      <c r="F125" s="7"/>
      <c r="G125" s="3" t="str">
        <f t="shared" si="1"/>
        <v/>
      </c>
    </row>
    <row r="126" spans="1:7" ht="14.25" customHeight="1" x14ac:dyDescent="0.3">
      <c r="A126" s="7"/>
      <c r="B126" s="7"/>
      <c r="C126" s="7"/>
      <c r="D126" s="7"/>
      <c r="E126" s="7"/>
      <c r="F126" s="7"/>
      <c r="G126" s="3" t="str">
        <f t="shared" si="1"/>
        <v/>
      </c>
    </row>
    <row r="127" spans="1:7" ht="14.25" customHeight="1" x14ac:dyDescent="0.3">
      <c r="A127" s="7"/>
      <c r="B127" s="7"/>
      <c r="C127" s="7"/>
      <c r="D127" s="7"/>
      <c r="E127" s="7"/>
      <c r="F127" s="7"/>
      <c r="G127" s="3" t="str">
        <f t="shared" si="1"/>
        <v/>
      </c>
    </row>
    <row r="128" spans="1:7" ht="14.25" customHeight="1" x14ac:dyDescent="0.3">
      <c r="A128" s="7"/>
      <c r="B128" s="7"/>
      <c r="C128" s="7"/>
      <c r="D128" s="7"/>
      <c r="E128" s="7"/>
      <c r="F128" s="7"/>
      <c r="G128" s="3" t="str">
        <f t="shared" si="1"/>
        <v/>
      </c>
    </row>
    <row r="129" spans="1:7" ht="14.25" customHeight="1" x14ac:dyDescent="0.3">
      <c r="A129" s="7"/>
      <c r="B129" s="7"/>
      <c r="C129" s="7"/>
      <c r="D129" s="7"/>
      <c r="E129" s="7"/>
      <c r="F129" s="7"/>
      <c r="G129" s="3" t="str">
        <f t="shared" si="1"/>
        <v/>
      </c>
    </row>
    <row r="130" spans="1:7" ht="14.25" customHeight="1" x14ac:dyDescent="0.3">
      <c r="A130" s="7"/>
      <c r="B130" s="7"/>
      <c r="C130" s="7"/>
      <c r="D130" s="7"/>
      <c r="E130" s="7"/>
      <c r="F130" s="7"/>
      <c r="G130" s="3" t="str">
        <f t="shared" ref="G130:G193" si="2">IF(COUNTA(A130:F130)=0,"",IF(COUNTIF($A$2:$A$1000,A130)&gt;1,"DUPLICATE COURSE CODE","OK"))</f>
        <v/>
      </c>
    </row>
    <row r="131" spans="1:7" ht="14.25" customHeight="1" x14ac:dyDescent="0.3">
      <c r="A131" s="7"/>
      <c r="B131" s="7"/>
      <c r="C131" s="7"/>
      <c r="D131" s="7"/>
      <c r="E131" s="7"/>
      <c r="F131" s="7"/>
      <c r="G131" s="3" t="str">
        <f t="shared" si="2"/>
        <v/>
      </c>
    </row>
    <row r="132" spans="1:7" ht="14.25" customHeight="1" x14ac:dyDescent="0.3">
      <c r="A132" s="7"/>
      <c r="B132" s="7"/>
      <c r="C132" s="7"/>
      <c r="D132" s="7"/>
      <c r="E132" s="7"/>
      <c r="F132" s="7"/>
      <c r="G132" s="3" t="str">
        <f t="shared" si="2"/>
        <v/>
      </c>
    </row>
    <row r="133" spans="1:7" ht="14.25" customHeight="1" x14ac:dyDescent="0.3">
      <c r="A133" s="7"/>
      <c r="B133" s="7"/>
      <c r="C133" s="7"/>
      <c r="D133" s="7"/>
      <c r="E133" s="7"/>
      <c r="F133" s="7"/>
      <c r="G133" s="3" t="str">
        <f t="shared" si="2"/>
        <v/>
      </c>
    </row>
    <row r="134" spans="1:7" ht="14.25" customHeight="1" x14ac:dyDescent="0.3">
      <c r="A134" s="7"/>
      <c r="B134" s="7"/>
      <c r="C134" s="7"/>
      <c r="D134" s="7"/>
      <c r="E134" s="7"/>
      <c r="F134" s="7"/>
      <c r="G134" s="3" t="str">
        <f t="shared" si="2"/>
        <v/>
      </c>
    </row>
    <row r="135" spans="1:7" ht="14.25" customHeight="1" x14ac:dyDescent="0.3">
      <c r="A135" s="7"/>
      <c r="B135" s="7"/>
      <c r="C135" s="7"/>
      <c r="D135" s="7"/>
      <c r="E135" s="7"/>
      <c r="F135" s="7"/>
      <c r="G135" s="3" t="str">
        <f t="shared" si="2"/>
        <v/>
      </c>
    </row>
    <row r="136" spans="1:7" ht="14.25" customHeight="1" x14ac:dyDescent="0.3">
      <c r="A136" s="7"/>
      <c r="B136" s="7"/>
      <c r="C136" s="7"/>
      <c r="D136" s="7"/>
      <c r="E136" s="7"/>
      <c r="F136" s="7"/>
      <c r="G136" s="3" t="str">
        <f t="shared" si="2"/>
        <v/>
      </c>
    </row>
    <row r="137" spans="1:7" ht="14.25" customHeight="1" x14ac:dyDescent="0.3">
      <c r="A137" s="7"/>
      <c r="B137" s="7"/>
      <c r="C137" s="7"/>
      <c r="D137" s="7"/>
      <c r="E137" s="7"/>
      <c r="F137" s="7"/>
      <c r="G137" s="3" t="str">
        <f t="shared" si="2"/>
        <v/>
      </c>
    </row>
    <row r="138" spans="1:7" ht="14.25" customHeight="1" x14ac:dyDescent="0.3">
      <c r="A138" s="7"/>
      <c r="B138" s="7"/>
      <c r="C138" s="7"/>
      <c r="D138" s="7"/>
      <c r="E138" s="7"/>
      <c r="F138" s="7"/>
      <c r="G138" s="3" t="str">
        <f t="shared" si="2"/>
        <v/>
      </c>
    </row>
    <row r="139" spans="1:7" ht="14.25" customHeight="1" x14ac:dyDescent="0.3">
      <c r="A139" s="7"/>
      <c r="B139" s="7"/>
      <c r="C139" s="7"/>
      <c r="D139" s="7"/>
      <c r="E139" s="7"/>
      <c r="F139" s="7"/>
      <c r="G139" s="3" t="str">
        <f t="shared" si="2"/>
        <v/>
      </c>
    </row>
    <row r="140" spans="1:7" ht="14.25" customHeight="1" x14ac:dyDescent="0.3">
      <c r="A140" s="7"/>
      <c r="B140" s="7"/>
      <c r="C140" s="7"/>
      <c r="D140" s="7"/>
      <c r="E140" s="7"/>
      <c r="F140" s="7"/>
      <c r="G140" s="3" t="str">
        <f t="shared" si="2"/>
        <v/>
      </c>
    </row>
    <row r="141" spans="1:7" ht="14.25" customHeight="1" x14ac:dyDescent="0.3">
      <c r="A141" s="7"/>
      <c r="B141" s="7"/>
      <c r="C141" s="7"/>
      <c r="D141" s="7"/>
      <c r="E141" s="7"/>
      <c r="F141" s="7"/>
      <c r="G141" s="3" t="str">
        <f t="shared" si="2"/>
        <v/>
      </c>
    </row>
    <row r="142" spans="1:7" ht="14.25" customHeight="1" x14ac:dyDescent="0.3">
      <c r="A142" s="7"/>
      <c r="B142" s="7"/>
      <c r="C142" s="7"/>
      <c r="D142" s="7"/>
      <c r="E142" s="7"/>
      <c r="F142" s="7"/>
      <c r="G142" s="3" t="str">
        <f t="shared" si="2"/>
        <v/>
      </c>
    </row>
    <row r="143" spans="1:7" ht="14.25" customHeight="1" x14ac:dyDescent="0.3">
      <c r="A143" s="7"/>
      <c r="B143" s="7"/>
      <c r="C143" s="7"/>
      <c r="D143" s="7"/>
      <c r="E143" s="7"/>
      <c r="F143" s="7"/>
      <c r="G143" s="3" t="str">
        <f t="shared" si="2"/>
        <v/>
      </c>
    </row>
    <row r="144" spans="1:7" ht="14.25" customHeight="1" x14ac:dyDescent="0.3">
      <c r="A144" s="7"/>
      <c r="B144" s="7"/>
      <c r="C144" s="7"/>
      <c r="D144" s="7"/>
      <c r="E144" s="7"/>
      <c r="F144" s="7"/>
      <c r="G144" s="3" t="str">
        <f t="shared" si="2"/>
        <v/>
      </c>
    </row>
    <row r="145" spans="1:7" ht="14.25" customHeight="1" x14ac:dyDescent="0.3">
      <c r="A145" s="7"/>
      <c r="B145" s="7"/>
      <c r="C145" s="7"/>
      <c r="D145" s="7"/>
      <c r="E145" s="7"/>
      <c r="F145" s="7"/>
      <c r="G145" s="3" t="str">
        <f t="shared" si="2"/>
        <v/>
      </c>
    </row>
    <row r="146" spans="1:7" ht="14.25" customHeight="1" x14ac:dyDescent="0.3">
      <c r="A146" s="7"/>
      <c r="B146" s="7"/>
      <c r="C146" s="7"/>
      <c r="D146" s="7"/>
      <c r="E146" s="7"/>
      <c r="F146" s="7"/>
      <c r="G146" s="3" t="str">
        <f t="shared" si="2"/>
        <v/>
      </c>
    </row>
    <row r="147" spans="1:7" ht="14.25" customHeight="1" x14ac:dyDescent="0.3">
      <c r="A147" s="7"/>
      <c r="B147" s="7"/>
      <c r="C147" s="7"/>
      <c r="D147" s="7"/>
      <c r="E147" s="7"/>
      <c r="F147" s="7"/>
      <c r="G147" s="3" t="str">
        <f t="shared" si="2"/>
        <v/>
      </c>
    </row>
    <row r="148" spans="1:7" ht="14.25" customHeight="1" x14ac:dyDescent="0.3">
      <c r="A148" s="7"/>
      <c r="B148" s="7"/>
      <c r="C148" s="7"/>
      <c r="D148" s="7"/>
      <c r="E148" s="7"/>
      <c r="F148" s="7"/>
      <c r="G148" s="3" t="str">
        <f t="shared" si="2"/>
        <v/>
      </c>
    </row>
    <row r="149" spans="1:7" ht="14.25" customHeight="1" x14ac:dyDescent="0.3">
      <c r="A149" s="7"/>
      <c r="B149" s="7"/>
      <c r="C149" s="7"/>
      <c r="D149" s="7"/>
      <c r="E149" s="7"/>
      <c r="F149" s="7"/>
      <c r="G149" s="3" t="str">
        <f t="shared" si="2"/>
        <v/>
      </c>
    </row>
    <row r="150" spans="1:7" ht="14.25" customHeight="1" x14ac:dyDescent="0.3">
      <c r="A150" s="7"/>
      <c r="B150" s="7"/>
      <c r="C150" s="7"/>
      <c r="D150" s="7"/>
      <c r="E150" s="7"/>
      <c r="F150" s="7"/>
      <c r="G150" s="3" t="str">
        <f t="shared" si="2"/>
        <v/>
      </c>
    </row>
    <row r="151" spans="1:7" ht="14.25" customHeight="1" x14ac:dyDescent="0.3">
      <c r="A151" s="7"/>
      <c r="B151" s="7"/>
      <c r="C151" s="7"/>
      <c r="D151" s="7"/>
      <c r="E151" s="7"/>
      <c r="F151" s="7"/>
      <c r="G151" s="3" t="str">
        <f t="shared" si="2"/>
        <v/>
      </c>
    </row>
    <row r="152" spans="1:7" ht="14.25" customHeight="1" x14ac:dyDescent="0.3">
      <c r="A152" s="7"/>
      <c r="B152" s="7"/>
      <c r="C152" s="7"/>
      <c r="D152" s="7"/>
      <c r="E152" s="7"/>
      <c r="F152" s="7"/>
      <c r="G152" s="3" t="str">
        <f t="shared" si="2"/>
        <v/>
      </c>
    </row>
    <row r="153" spans="1:7" ht="14.25" customHeight="1" x14ac:dyDescent="0.3">
      <c r="A153" s="7"/>
      <c r="B153" s="7"/>
      <c r="C153" s="7"/>
      <c r="D153" s="7"/>
      <c r="E153" s="7"/>
      <c r="F153" s="7"/>
      <c r="G153" s="3" t="str">
        <f t="shared" si="2"/>
        <v/>
      </c>
    </row>
    <row r="154" spans="1:7" ht="14.25" customHeight="1" x14ac:dyDescent="0.3">
      <c r="A154" s="7"/>
      <c r="B154" s="7"/>
      <c r="C154" s="7"/>
      <c r="D154" s="7"/>
      <c r="E154" s="7"/>
      <c r="F154" s="7"/>
      <c r="G154" s="3" t="str">
        <f t="shared" si="2"/>
        <v/>
      </c>
    </row>
    <row r="155" spans="1:7" ht="14.25" customHeight="1" x14ac:dyDescent="0.3">
      <c r="A155" s="7"/>
      <c r="B155" s="7"/>
      <c r="C155" s="7"/>
      <c r="D155" s="7"/>
      <c r="E155" s="7"/>
      <c r="F155" s="7"/>
      <c r="G155" s="3" t="str">
        <f t="shared" si="2"/>
        <v/>
      </c>
    </row>
    <row r="156" spans="1:7" ht="14.25" customHeight="1" x14ac:dyDescent="0.3">
      <c r="A156" s="7"/>
      <c r="B156" s="7"/>
      <c r="C156" s="7"/>
      <c r="D156" s="7"/>
      <c r="E156" s="7"/>
      <c r="F156" s="7"/>
      <c r="G156" s="3" t="str">
        <f t="shared" si="2"/>
        <v/>
      </c>
    </row>
    <row r="157" spans="1:7" ht="14.25" customHeight="1" x14ac:dyDescent="0.3">
      <c r="A157" s="7"/>
      <c r="B157" s="7"/>
      <c r="C157" s="7"/>
      <c r="D157" s="7"/>
      <c r="E157" s="7"/>
      <c r="F157" s="7"/>
      <c r="G157" s="3" t="str">
        <f t="shared" si="2"/>
        <v/>
      </c>
    </row>
    <row r="158" spans="1:7" ht="14.25" customHeight="1" x14ac:dyDescent="0.3">
      <c r="A158" s="7"/>
      <c r="B158" s="7"/>
      <c r="C158" s="7"/>
      <c r="D158" s="7"/>
      <c r="E158" s="7"/>
      <c r="F158" s="7"/>
      <c r="G158" s="3" t="str">
        <f t="shared" si="2"/>
        <v/>
      </c>
    </row>
    <row r="159" spans="1:7" ht="14.25" customHeight="1" x14ac:dyDescent="0.3">
      <c r="A159" s="7"/>
      <c r="B159" s="7"/>
      <c r="C159" s="7"/>
      <c r="D159" s="7"/>
      <c r="E159" s="7"/>
      <c r="F159" s="7"/>
      <c r="G159" s="3" t="str">
        <f t="shared" si="2"/>
        <v/>
      </c>
    </row>
    <row r="160" spans="1:7" ht="14.25" customHeight="1" x14ac:dyDescent="0.3">
      <c r="A160" s="7"/>
      <c r="B160" s="7"/>
      <c r="C160" s="7"/>
      <c r="D160" s="7"/>
      <c r="E160" s="7"/>
      <c r="F160" s="7"/>
      <c r="G160" s="3" t="str">
        <f t="shared" si="2"/>
        <v/>
      </c>
    </row>
    <row r="161" spans="1:7" ht="14.25" customHeight="1" x14ac:dyDescent="0.3">
      <c r="A161" s="7"/>
      <c r="B161" s="7"/>
      <c r="C161" s="7"/>
      <c r="D161" s="7"/>
      <c r="E161" s="7"/>
      <c r="F161" s="7"/>
      <c r="G161" s="3" t="str">
        <f t="shared" si="2"/>
        <v/>
      </c>
    </row>
    <row r="162" spans="1:7" ht="14.25" customHeight="1" x14ac:dyDescent="0.3">
      <c r="A162" s="7"/>
      <c r="B162" s="7"/>
      <c r="C162" s="7"/>
      <c r="D162" s="7"/>
      <c r="E162" s="7"/>
      <c r="F162" s="7"/>
      <c r="G162" s="3" t="str">
        <f t="shared" si="2"/>
        <v/>
      </c>
    </row>
    <row r="163" spans="1:7" ht="14.25" customHeight="1" x14ac:dyDescent="0.3">
      <c r="A163" s="7"/>
      <c r="B163" s="7"/>
      <c r="C163" s="7"/>
      <c r="D163" s="7"/>
      <c r="E163" s="7"/>
      <c r="F163" s="7"/>
      <c r="G163" s="3" t="str">
        <f t="shared" si="2"/>
        <v/>
      </c>
    </row>
    <row r="164" spans="1:7" ht="14.25" customHeight="1" x14ac:dyDescent="0.3">
      <c r="A164" s="7"/>
      <c r="B164" s="7"/>
      <c r="C164" s="7"/>
      <c r="D164" s="7"/>
      <c r="E164" s="7"/>
      <c r="F164" s="7"/>
      <c r="G164" s="3" t="str">
        <f t="shared" si="2"/>
        <v/>
      </c>
    </row>
    <row r="165" spans="1:7" ht="14.25" customHeight="1" x14ac:dyDescent="0.3">
      <c r="A165" s="7"/>
      <c r="B165" s="7"/>
      <c r="C165" s="7"/>
      <c r="D165" s="7"/>
      <c r="E165" s="7"/>
      <c r="F165" s="7"/>
      <c r="G165" s="3" t="str">
        <f t="shared" si="2"/>
        <v/>
      </c>
    </row>
    <row r="166" spans="1:7" ht="14.25" customHeight="1" x14ac:dyDescent="0.3">
      <c r="A166" s="7"/>
      <c r="B166" s="7"/>
      <c r="C166" s="7"/>
      <c r="D166" s="7"/>
      <c r="E166" s="7"/>
      <c r="F166" s="7"/>
      <c r="G166" s="3" t="str">
        <f t="shared" si="2"/>
        <v/>
      </c>
    </row>
    <row r="167" spans="1:7" ht="14.25" customHeight="1" x14ac:dyDescent="0.3">
      <c r="A167" s="7"/>
      <c r="B167" s="7"/>
      <c r="C167" s="7"/>
      <c r="D167" s="7"/>
      <c r="E167" s="7"/>
      <c r="F167" s="7"/>
      <c r="G167" s="3" t="str">
        <f t="shared" si="2"/>
        <v/>
      </c>
    </row>
    <row r="168" spans="1:7" ht="14.25" customHeight="1" x14ac:dyDescent="0.3">
      <c r="A168" s="7"/>
      <c r="B168" s="7"/>
      <c r="C168" s="7"/>
      <c r="D168" s="7"/>
      <c r="E168" s="7"/>
      <c r="F168" s="7"/>
      <c r="G168" s="3" t="str">
        <f t="shared" si="2"/>
        <v/>
      </c>
    </row>
    <row r="169" spans="1:7" ht="14.25" customHeight="1" x14ac:dyDescent="0.3">
      <c r="A169" s="7"/>
      <c r="B169" s="7"/>
      <c r="C169" s="7"/>
      <c r="D169" s="7"/>
      <c r="E169" s="7"/>
      <c r="F169" s="7"/>
      <c r="G169" s="3" t="str">
        <f t="shared" si="2"/>
        <v/>
      </c>
    </row>
    <row r="170" spans="1:7" ht="14.25" customHeight="1" x14ac:dyDescent="0.3">
      <c r="A170" s="7"/>
      <c r="B170" s="7"/>
      <c r="C170" s="7"/>
      <c r="D170" s="7"/>
      <c r="E170" s="7"/>
      <c r="F170" s="7"/>
      <c r="G170" s="3" t="str">
        <f t="shared" si="2"/>
        <v/>
      </c>
    </row>
    <row r="171" spans="1:7" ht="14.25" customHeight="1" x14ac:dyDescent="0.3">
      <c r="A171" s="7"/>
      <c r="B171" s="7"/>
      <c r="C171" s="7"/>
      <c r="D171" s="7"/>
      <c r="E171" s="7"/>
      <c r="F171" s="7"/>
      <c r="G171" s="3" t="str">
        <f t="shared" si="2"/>
        <v/>
      </c>
    </row>
    <row r="172" spans="1:7" ht="14.25" customHeight="1" x14ac:dyDescent="0.3">
      <c r="A172" s="7"/>
      <c r="B172" s="7"/>
      <c r="C172" s="7"/>
      <c r="D172" s="7"/>
      <c r="E172" s="7"/>
      <c r="F172" s="7"/>
      <c r="G172" s="3" t="str">
        <f t="shared" si="2"/>
        <v/>
      </c>
    </row>
    <row r="173" spans="1:7" ht="14.25" customHeight="1" x14ac:dyDescent="0.3">
      <c r="A173" s="7"/>
      <c r="B173" s="7"/>
      <c r="C173" s="7"/>
      <c r="D173" s="7"/>
      <c r="E173" s="7"/>
      <c r="F173" s="7"/>
      <c r="G173" s="3" t="str">
        <f t="shared" si="2"/>
        <v/>
      </c>
    </row>
    <row r="174" spans="1:7" ht="14.25" customHeight="1" x14ac:dyDescent="0.3">
      <c r="A174" s="7"/>
      <c r="B174" s="7"/>
      <c r="C174" s="7"/>
      <c r="D174" s="7"/>
      <c r="E174" s="7"/>
      <c r="F174" s="7"/>
      <c r="G174" s="3" t="str">
        <f t="shared" si="2"/>
        <v/>
      </c>
    </row>
    <row r="175" spans="1:7" ht="14.25" customHeight="1" x14ac:dyDescent="0.3">
      <c r="A175" s="7"/>
      <c r="B175" s="7"/>
      <c r="C175" s="7"/>
      <c r="D175" s="7"/>
      <c r="E175" s="7"/>
      <c r="F175" s="7"/>
      <c r="G175" s="3" t="str">
        <f t="shared" si="2"/>
        <v/>
      </c>
    </row>
    <row r="176" spans="1:7" ht="14.25" customHeight="1" x14ac:dyDescent="0.3">
      <c r="A176" s="7"/>
      <c r="B176" s="7"/>
      <c r="C176" s="7"/>
      <c r="D176" s="7"/>
      <c r="E176" s="7"/>
      <c r="F176" s="7"/>
      <c r="G176" s="3" t="str">
        <f t="shared" si="2"/>
        <v/>
      </c>
    </row>
    <row r="177" spans="1:7" ht="14.25" customHeight="1" x14ac:dyDescent="0.3">
      <c r="A177" s="7"/>
      <c r="B177" s="7"/>
      <c r="C177" s="7"/>
      <c r="D177" s="7"/>
      <c r="E177" s="7"/>
      <c r="F177" s="7"/>
      <c r="G177" s="3" t="str">
        <f t="shared" si="2"/>
        <v/>
      </c>
    </row>
    <row r="178" spans="1:7" ht="14.25" customHeight="1" x14ac:dyDescent="0.3">
      <c r="A178" s="7"/>
      <c r="B178" s="7"/>
      <c r="C178" s="7"/>
      <c r="D178" s="7"/>
      <c r="E178" s="7"/>
      <c r="F178" s="7"/>
      <c r="G178" s="3" t="str">
        <f t="shared" si="2"/>
        <v/>
      </c>
    </row>
    <row r="179" spans="1:7" ht="14.25" customHeight="1" x14ac:dyDescent="0.3">
      <c r="A179" s="7"/>
      <c r="B179" s="7"/>
      <c r="C179" s="7"/>
      <c r="D179" s="7"/>
      <c r="E179" s="7"/>
      <c r="F179" s="7"/>
      <c r="G179" s="3" t="str">
        <f t="shared" si="2"/>
        <v/>
      </c>
    </row>
    <row r="180" spans="1:7" ht="14.25" customHeight="1" x14ac:dyDescent="0.3">
      <c r="A180" s="7"/>
      <c r="B180" s="7"/>
      <c r="C180" s="7"/>
      <c r="D180" s="7"/>
      <c r="E180" s="7"/>
      <c r="F180" s="7"/>
      <c r="G180" s="3" t="str">
        <f t="shared" si="2"/>
        <v/>
      </c>
    </row>
    <row r="181" spans="1:7" ht="14.25" customHeight="1" x14ac:dyDescent="0.3">
      <c r="A181" s="7"/>
      <c r="B181" s="7"/>
      <c r="C181" s="7"/>
      <c r="D181" s="7"/>
      <c r="E181" s="7"/>
      <c r="F181" s="7"/>
      <c r="G181" s="3" t="str">
        <f t="shared" si="2"/>
        <v/>
      </c>
    </row>
    <row r="182" spans="1:7" ht="14.25" customHeight="1" x14ac:dyDescent="0.3">
      <c r="A182" s="7"/>
      <c r="B182" s="7"/>
      <c r="C182" s="7"/>
      <c r="D182" s="7"/>
      <c r="E182" s="7"/>
      <c r="F182" s="7"/>
      <c r="G182" s="3" t="str">
        <f t="shared" si="2"/>
        <v/>
      </c>
    </row>
    <row r="183" spans="1:7" ht="14.25" customHeight="1" x14ac:dyDescent="0.3">
      <c r="A183" s="7"/>
      <c r="B183" s="7"/>
      <c r="C183" s="7"/>
      <c r="D183" s="7"/>
      <c r="E183" s="7"/>
      <c r="F183" s="7"/>
      <c r="G183" s="3" t="str">
        <f t="shared" si="2"/>
        <v/>
      </c>
    </row>
    <row r="184" spans="1:7" ht="14.25" customHeight="1" x14ac:dyDescent="0.3">
      <c r="A184" s="7"/>
      <c r="B184" s="7"/>
      <c r="C184" s="7"/>
      <c r="D184" s="7"/>
      <c r="E184" s="7"/>
      <c r="F184" s="7"/>
      <c r="G184" s="3" t="str">
        <f t="shared" si="2"/>
        <v/>
      </c>
    </row>
    <row r="185" spans="1:7" ht="14.25" customHeight="1" x14ac:dyDescent="0.3">
      <c r="A185" s="7"/>
      <c r="B185" s="7"/>
      <c r="C185" s="7"/>
      <c r="D185" s="7"/>
      <c r="E185" s="7"/>
      <c r="F185" s="7"/>
      <c r="G185" s="3" t="str">
        <f t="shared" si="2"/>
        <v/>
      </c>
    </row>
    <row r="186" spans="1:7" ht="14.25" customHeight="1" x14ac:dyDescent="0.3">
      <c r="A186" s="7"/>
      <c r="B186" s="7"/>
      <c r="C186" s="7"/>
      <c r="D186" s="7"/>
      <c r="E186" s="7"/>
      <c r="F186" s="7"/>
      <c r="G186" s="3" t="str">
        <f t="shared" si="2"/>
        <v/>
      </c>
    </row>
    <row r="187" spans="1:7" ht="14.25" customHeight="1" x14ac:dyDescent="0.3">
      <c r="A187" s="7"/>
      <c r="B187" s="7"/>
      <c r="C187" s="7"/>
      <c r="D187" s="7"/>
      <c r="E187" s="7"/>
      <c r="F187" s="7"/>
      <c r="G187" s="3" t="str">
        <f t="shared" si="2"/>
        <v/>
      </c>
    </row>
    <row r="188" spans="1:7" ht="14.25" customHeight="1" x14ac:dyDescent="0.3">
      <c r="A188" s="7"/>
      <c r="B188" s="7"/>
      <c r="C188" s="7"/>
      <c r="D188" s="7"/>
      <c r="E188" s="7"/>
      <c r="F188" s="7"/>
      <c r="G188" s="3" t="str">
        <f t="shared" si="2"/>
        <v/>
      </c>
    </row>
    <row r="189" spans="1:7" ht="14.25" customHeight="1" x14ac:dyDescent="0.3">
      <c r="A189" s="7"/>
      <c r="B189" s="7"/>
      <c r="C189" s="7"/>
      <c r="D189" s="7"/>
      <c r="E189" s="7"/>
      <c r="F189" s="7"/>
      <c r="G189" s="3" t="str">
        <f t="shared" si="2"/>
        <v/>
      </c>
    </row>
    <row r="190" spans="1:7" ht="14.25" customHeight="1" x14ac:dyDescent="0.3">
      <c r="A190" s="7"/>
      <c r="B190" s="7"/>
      <c r="C190" s="7"/>
      <c r="D190" s="7"/>
      <c r="E190" s="7"/>
      <c r="F190" s="7"/>
      <c r="G190" s="3" t="str">
        <f t="shared" si="2"/>
        <v/>
      </c>
    </row>
    <row r="191" spans="1:7" ht="14.25" customHeight="1" x14ac:dyDescent="0.3">
      <c r="A191" s="7"/>
      <c r="B191" s="7"/>
      <c r="C191" s="7"/>
      <c r="D191" s="7"/>
      <c r="E191" s="7"/>
      <c r="F191" s="7"/>
      <c r="G191" s="3" t="str">
        <f t="shared" si="2"/>
        <v/>
      </c>
    </row>
    <row r="192" spans="1:7" ht="14.25" customHeight="1" x14ac:dyDescent="0.3">
      <c r="A192" s="7"/>
      <c r="B192" s="7"/>
      <c r="C192" s="7"/>
      <c r="D192" s="7"/>
      <c r="E192" s="7"/>
      <c r="F192" s="7"/>
      <c r="G192" s="3" t="str">
        <f t="shared" si="2"/>
        <v/>
      </c>
    </row>
    <row r="193" spans="1:7" ht="14.25" customHeight="1" x14ac:dyDescent="0.3">
      <c r="A193" s="7"/>
      <c r="B193" s="7"/>
      <c r="C193" s="7"/>
      <c r="D193" s="7"/>
      <c r="E193" s="7"/>
      <c r="F193" s="7"/>
      <c r="G193" s="3" t="str">
        <f t="shared" si="2"/>
        <v/>
      </c>
    </row>
    <row r="194" spans="1:7" ht="14.25" customHeight="1" x14ac:dyDescent="0.3">
      <c r="A194" s="7"/>
      <c r="B194" s="7"/>
      <c r="C194" s="7"/>
      <c r="D194" s="7"/>
      <c r="E194" s="7"/>
      <c r="F194" s="7"/>
      <c r="G194" s="3" t="str">
        <f t="shared" ref="G194:G257" si="3">IF(COUNTA(A194:F194)=0,"",IF(COUNTIF($A$2:$A$1000,A194)&gt;1,"DUPLICATE COURSE CODE","OK"))</f>
        <v/>
      </c>
    </row>
    <row r="195" spans="1:7" ht="14.25" customHeight="1" x14ac:dyDescent="0.3">
      <c r="A195" s="7"/>
      <c r="B195" s="7"/>
      <c r="C195" s="7"/>
      <c r="D195" s="7"/>
      <c r="E195" s="7"/>
      <c r="F195" s="7"/>
      <c r="G195" s="3" t="str">
        <f t="shared" si="3"/>
        <v/>
      </c>
    </row>
    <row r="196" spans="1:7" ht="14.25" customHeight="1" x14ac:dyDescent="0.3">
      <c r="A196" s="7"/>
      <c r="B196" s="7"/>
      <c r="C196" s="7"/>
      <c r="D196" s="7"/>
      <c r="E196" s="7"/>
      <c r="F196" s="7"/>
      <c r="G196" s="3" t="str">
        <f t="shared" si="3"/>
        <v/>
      </c>
    </row>
    <row r="197" spans="1:7" ht="14.25" customHeight="1" x14ac:dyDescent="0.3">
      <c r="A197" s="7"/>
      <c r="B197" s="7"/>
      <c r="C197" s="7"/>
      <c r="D197" s="7"/>
      <c r="E197" s="7"/>
      <c r="F197" s="7"/>
      <c r="G197" s="3" t="str">
        <f t="shared" si="3"/>
        <v/>
      </c>
    </row>
    <row r="198" spans="1:7" ht="14.25" customHeight="1" x14ac:dyDescent="0.3">
      <c r="A198" s="7"/>
      <c r="B198" s="7"/>
      <c r="C198" s="7"/>
      <c r="D198" s="7"/>
      <c r="E198" s="7"/>
      <c r="F198" s="7"/>
      <c r="G198" s="3" t="str">
        <f t="shared" si="3"/>
        <v/>
      </c>
    </row>
    <row r="199" spans="1:7" ht="14.25" customHeight="1" x14ac:dyDescent="0.3">
      <c r="A199" s="7"/>
      <c r="B199" s="7"/>
      <c r="C199" s="7"/>
      <c r="D199" s="7"/>
      <c r="E199" s="7"/>
      <c r="F199" s="7"/>
      <c r="G199" s="3" t="str">
        <f t="shared" si="3"/>
        <v/>
      </c>
    </row>
    <row r="200" spans="1:7" ht="14.25" customHeight="1" x14ac:dyDescent="0.3">
      <c r="A200" s="7"/>
      <c r="B200" s="7"/>
      <c r="C200" s="7"/>
      <c r="D200" s="7"/>
      <c r="E200" s="7"/>
      <c r="F200" s="7"/>
      <c r="G200" s="3" t="str">
        <f t="shared" si="3"/>
        <v/>
      </c>
    </row>
    <row r="201" spans="1:7" ht="14.25" customHeight="1" x14ac:dyDescent="0.3">
      <c r="A201" s="7"/>
      <c r="B201" s="7"/>
      <c r="C201" s="7"/>
      <c r="D201" s="7"/>
      <c r="E201" s="7"/>
      <c r="F201" s="7"/>
      <c r="G201" s="3" t="str">
        <f t="shared" si="3"/>
        <v/>
      </c>
    </row>
    <row r="202" spans="1:7" ht="14.25" customHeight="1" x14ac:dyDescent="0.3">
      <c r="A202" s="7"/>
      <c r="B202" s="7"/>
      <c r="C202" s="7"/>
      <c r="D202" s="7"/>
      <c r="E202" s="7"/>
      <c r="F202" s="7"/>
      <c r="G202" s="3" t="str">
        <f t="shared" si="3"/>
        <v/>
      </c>
    </row>
    <row r="203" spans="1:7" ht="14.25" customHeight="1" x14ac:dyDescent="0.3">
      <c r="A203" s="7"/>
      <c r="B203" s="7"/>
      <c r="C203" s="7"/>
      <c r="D203" s="7"/>
      <c r="E203" s="7"/>
      <c r="F203" s="7"/>
      <c r="G203" s="3" t="str">
        <f t="shared" si="3"/>
        <v/>
      </c>
    </row>
    <row r="204" spans="1:7" ht="14.25" customHeight="1" x14ac:dyDescent="0.3">
      <c r="A204" s="7"/>
      <c r="B204" s="7"/>
      <c r="C204" s="7"/>
      <c r="D204" s="7"/>
      <c r="E204" s="7"/>
      <c r="F204" s="7"/>
      <c r="G204" s="3" t="str">
        <f t="shared" si="3"/>
        <v/>
      </c>
    </row>
    <row r="205" spans="1:7" ht="14.25" customHeight="1" x14ac:dyDescent="0.3">
      <c r="A205" s="7"/>
      <c r="B205" s="7"/>
      <c r="C205" s="7"/>
      <c r="D205" s="7"/>
      <c r="E205" s="7"/>
      <c r="F205" s="7"/>
      <c r="G205" s="3" t="str">
        <f t="shared" si="3"/>
        <v/>
      </c>
    </row>
    <row r="206" spans="1:7" ht="14.25" customHeight="1" x14ac:dyDescent="0.3">
      <c r="A206" s="7"/>
      <c r="B206" s="7"/>
      <c r="C206" s="7"/>
      <c r="D206" s="7"/>
      <c r="E206" s="7"/>
      <c r="F206" s="7"/>
      <c r="G206" s="3" t="str">
        <f t="shared" si="3"/>
        <v/>
      </c>
    </row>
    <row r="207" spans="1:7" ht="14.25" customHeight="1" x14ac:dyDescent="0.3">
      <c r="A207" s="7"/>
      <c r="B207" s="7"/>
      <c r="C207" s="7"/>
      <c r="D207" s="7"/>
      <c r="E207" s="7"/>
      <c r="F207" s="7"/>
      <c r="G207" s="3" t="str">
        <f t="shared" si="3"/>
        <v/>
      </c>
    </row>
    <row r="208" spans="1:7" ht="14.25" customHeight="1" x14ac:dyDescent="0.3">
      <c r="A208" s="7"/>
      <c r="B208" s="7"/>
      <c r="C208" s="7"/>
      <c r="D208" s="7"/>
      <c r="E208" s="7"/>
      <c r="F208" s="7"/>
      <c r="G208" s="3" t="str">
        <f t="shared" si="3"/>
        <v/>
      </c>
    </row>
    <row r="209" spans="1:7" ht="14.25" customHeight="1" x14ac:dyDescent="0.3">
      <c r="A209" s="7"/>
      <c r="B209" s="7"/>
      <c r="C209" s="7"/>
      <c r="D209" s="7"/>
      <c r="E209" s="7"/>
      <c r="F209" s="7"/>
      <c r="G209" s="3" t="str">
        <f t="shared" si="3"/>
        <v/>
      </c>
    </row>
    <row r="210" spans="1:7" ht="14.25" customHeight="1" x14ac:dyDescent="0.3">
      <c r="A210" s="7"/>
      <c r="B210" s="7"/>
      <c r="C210" s="7"/>
      <c r="D210" s="7"/>
      <c r="E210" s="7"/>
      <c r="F210" s="7"/>
      <c r="G210" s="3" t="str">
        <f t="shared" si="3"/>
        <v/>
      </c>
    </row>
    <row r="211" spans="1:7" ht="14.25" customHeight="1" x14ac:dyDescent="0.3">
      <c r="A211" s="7"/>
      <c r="B211" s="7"/>
      <c r="C211" s="7"/>
      <c r="D211" s="7"/>
      <c r="E211" s="7"/>
      <c r="F211" s="7"/>
      <c r="G211" s="3" t="str">
        <f t="shared" si="3"/>
        <v/>
      </c>
    </row>
    <row r="212" spans="1:7" ht="14.25" customHeight="1" x14ac:dyDescent="0.3">
      <c r="A212" s="7"/>
      <c r="B212" s="7"/>
      <c r="C212" s="7"/>
      <c r="D212" s="7"/>
      <c r="E212" s="7"/>
      <c r="F212" s="7"/>
      <c r="G212" s="3" t="str">
        <f t="shared" si="3"/>
        <v/>
      </c>
    </row>
    <row r="213" spans="1:7" ht="14.25" customHeight="1" x14ac:dyDescent="0.3">
      <c r="A213" s="7"/>
      <c r="B213" s="7"/>
      <c r="C213" s="7"/>
      <c r="D213" s="7"/>
      <c r="E213" s="7"/>
      <c r="F213" s="7"/>
      <c r="G213" s="3" t="str">
        <f t="shared" si="3"/>
        <v/>
      </c>
    </row>
    <row r="214" spans="1:7" ht="14.25" customHeight="1" x14ac:dyDescent="0.3">
      <c r="A214" s="7"/>
      <c r="B214" s="7"/>
      <c r="C214" s="7"/>
      <c r="D214" s="7"/>
      <c r="E214" s="7"/>
      <c r="F214" s="7"/>
      <c r="G214" s="3" t="str">
        <f t="shared" si="3"/>
        <v/>
      </c>
    </row>
    <row r="215" spans="1:7" ht="14.25" customHeight="1" x14ac:dyDescent="0.3">
      <c r="A215" s="7"/>
      <c r="B215" s="7"/>
      <c r="C215" s="7"/>
      <c r="D215" s="7"/>
      <c r="E215" s="7"/>
      <c r="F215" s="7"/>
      <c r="G215" s="3" t="str">
        <f t="shared" si="3"/>
        <v/>
      </c>
    </row>
    <row r="216" spans="1:7" ht="14.25" customHeight="1" x14ac:dyDescent="0.3">
      <c r="A216" s="7"/>
      <c r="B216" s="7"/>
      <c r="C216" s="7"/>
      <c r="D216" s="7"/>
      <c r="E216" s="7"/>
      <c r="F216" s="7"/>
      <c r="G216" s="3" t="str">
        <f t="shared" si="3"/>
        <v/>
      </c>
    </row>
    <row r="217" spans="1:7" ht="14.25" customHeight="1" x14ac:dyDescent="0.3">
      <c r="A217" s="7"/>
      <c r="B217" s="7"/>
      <c r="C217" s="7"/>
      <c r="D217" s="7"/>
      <c r="E217" s="7"/>
      <c r="F217" s="7"/>
      <c r="G217" s="3" t="str">
        <f t="shared" si="3"/>
        <v/>
      </c>
    </row>
    <row r="218" spans="1:7" ht="14.25" customHeight="1" x14ac:dyDescent="0.3">
      <c r="A218" s="7"/>
      <c r="B218" s="7"/>
      <c r="C218" s="7"/>
      <c r="D218" s="7"/>
      <c r="E218" s="7"/>
      <c r="F218" s="7"/>
      <c r="G218" s="3" t="str">
        <f t="shared" si="3"/>
        <v/>
      </c>
    </row>
    <row r="219" spans="1:7" ht="14.25" customHeight="1" x14ac:dyDescent="0.3">
      <c r="A219" s="7"/>
      <c r="B219" s="7"/>
      <c r="C219" s="7"/>
      <c r="D219" s="7"/>
      <c r="E219" s="7"/>
      <c r="F219" s="7"/>
      <c r="G219" s="3" t="str">
        <f t="shared" si="3"/>
        <v/>
      </c>
    </row>
    <row r="220" spans="1:7" ht="14.25" customHeight="1" x14ac:dyDescent="0.3">
      <c r="A220" s="7"/>
      <c r="B220" s="7"/>
      <c r="C220" s="7"/>
      <c r="D220" s="7"/>
      <c r="E220" s="7"/>
      <c r="F220" s="7"/>
      <c r="G220" s="3" t="str">
        <f t="shared" si="3"/>
        <v/>
      </c>
    </row>
    <row r="221" spans="1:7" ht="14.25" customHeight="1" x14ac:dyDescent="0.3">
      <c r="A221" s="7"/>
      <c r="B221" s="7"/>
      <c r="C221" s="7"/>
      <c r="D221" s="7"/>
      <c r="E221" s="7"/>
      <c r="F221" s="7"/>
      <c r="G221" s="3" t="str">
        <f t="shared" si="3"/>
        <v/>
      </c>
    </row>
    <row r="222" spans="1:7" ht="14.25" customHeight="1" x14ac:dyDescent="0.3">
      <c r="A222" s="7"/>
      <c r="B222" s="7"/>
      <c r="C222" s="7"/>
      <c r="D222" s="7"/>
      <c r="E222" s="7"/>
      <c r="F222" s="7"/>
      <c r="G222" s="3" t="str">
        <f t="shared" si="3"/>
        <v/>
      </c>
    </row>
    <row r="223" spans="1:7" ht="14.25" customHeight="1" x14ac:dyDescent="0.3">
      <c r="A223" s="7"/>
      <c r="B223" s="7"/>
      <c r="C223" s="7"/>
      <c r="D223" s="7"/>
      <c r="E223" s="7"/>
      <c r="F223" s="7"/>
      <c r="G223" s="3" t="str">
        <f t="shared" si="3"/>
        <v/>
      </c>
    </row>
    <row r="224" spans="1:7" ht="14.25" customHeight="1" x14ac:dyDescent="0.3">
      <c r="A224" s="7"/>
      <c r="B224" s="7"/>
      <c r="C224" s="7"/>
      <c r="D224" s="7"/>
      <c r="E224" s="7"/>
      <c r="F224" s="7"/>
      <c r="G224" s="3" t="str">
        <f t="shared" si="3"/>
        <v/>
      </c>
    </row>
    <row r="225" spans="1:7" ht="14.25" customHeight="1" x14ac:dyDescent="0.3">
      <c r="A225" s="7"/>
      <c r="B225" s="7"/>
      <c r="C225" s="7"/>
      <c r="D225" s="7"/>
      <c r="E225" s="7"/>
      <c r="F225" s="7"/>
      <c r="G225" s="3" t="str">
        <f t="shared" si="3"/>
        <v/>
      </c>
    </row>
    <row r="226" spans="1:7" ht="14.25" customHeight="1" x14ac:dyDescent="0.3">
      <c r="A226" s="7"/>
      <c r="B226" s="7"/>
      <c r="C226" s="7"/>
      <c r="D226" s="7"/>
      <c r="E226" s="7"/>
      <c r="F226" s="7"/>
      <c r="G226" s="3" t="str">
        <f t="shared" si="3"/>
        <v/>
      </c>
    </row>
    <row r="227" spans="1:7" ht="14.25" customHeight="1" x14ac:dyDescent="0.3">
      <c r="A227" s="7"/>
      <c r="B227" s="7"/>
      <c r="C227" s="7"/>
      <c r="D227" s="7"/>
      <c r="E227" s="7"/>
      <c r="F227" s="7"/>
      <c r="G227" s="3" t="str">
        <f t="shared" si="3"/>
        <v/>
      </c>
    </row>
    <row r="228" spans="1:7" ht="14.25" customHeight="1" x14ac:dyDescent="0.3">
      <c r="A228" s="7"/>
      <c r="B228" s="7"/>
      <c r="C228" s="7"/>
      <c r="D228" s="7"/>
      <c r="E228" s="7"/>
      <c r="F228" s="7"/>
      <c r="G228" s="3" t="str">
        <f t="shared" si="3"/>
        <v/>
      </c>
    </row>
    <row r="229" spans="1:7" ht="14.25" customHeight="1" x14ac:dyDescent="0.3">
      <c r="A229" s="7"/>
      <c r="B229" s="7"/>
      <c r="C229" s="7"/>
      <c r="D229" s="7"/>
      <c r="E229" s="7"/>
      <c r="F229" s="7"/>
      <c r="G229" s="3" t="str">
        <f t="shared" si="3"/>
        <v/>
      </c>
    </row>
    <row r="230" spans="1:7" ht="14.25" customHeight="1" x14ac:dyDescent="0.3">
      <c r="A230" s="7"/>
      <c r="B230" s="7"/>
      <c r="C230" s="7"/>
      <c r="D230" s="7"/>
      <c r="E230" s="7"/>
      <c r="F230" s="7"/>
      <c r="G230" s="3" t="str">
        <f t="shared" si="3"/>
        <v/>
      </c>
    </row>
    <row r="231" spans="1:7" ht="14.25" customHeight="1" x14ac:dyDescent="0.3">
      <c r="A231" s="7"/>
      <c r="B231" s="7"/>
      <c r="C231" s="7"/>
      <c r="D231" s="7"/>
      <c r="E231" s="7"/>
      <c r="F231" s="7"/>
      <c r="G231" s="3" t="str">
        <f t="shared" si="3"/>
        <v/>
      </c>
    </row>
    <row r="232" spans="1:7" ht="14.25" customHeight="1" x14ac:dyDescent="0.3">
      <c r="A232" s="7"/>
      <c r="B232" s="7"/>
      <c r="C232" s="7"/>
      <c r="D232" s="7"/>
      <c r="E232" s="7"/>
      <c r="F232" s="7"/>
      <c r="G232" s="3" t="str">
        <f t="shared" si="3"/>
        <v/>
      </c>
    </row>
    <row r="233" spans="1:7" ht="14.25" customHeight="1" x14ac:dyDescent="0.3">
      <c r="A233" s="7"/>
      <c r="B233" s="7"/>
      <c r="C233" s="7"/>
      <c r="D233" s="7"/>
      <c r="E233" s="7"/>
      <c r="F233" s="7"/>
      <c r="G233" s="3" t="str">
        <f t="shared" si="3"/>
        <v/>
      </c>
    </row>
    <row r="234" spans="1:7" ht="14.25" customHeight="1" x14ac:dyDescent="0.3">
      <c r="A234" s="7"/>
      <c r="B234" s="7"/>
      <c r="C234" s="7"/>
      <c r="D234" s="7"/>
      <c r="E234" s="7"/>
      <c r="F234" s="7"/>
      <c r="G234" s="3" t="str">
        <f t="shared" si="3"/>
        <v/>
      </c>
    </row>
    <row r="235" spans="1:7" ht="14.25" customHeight="1" x14ac:dyDescent="0.3">
      <c r="A235" s="7"/>
      <c r="B235" s="7"/>
      <c r="C235" s="7"/>
      <c r="D235" s="7"/>
      <c r="E235" s="7"/>
      <c r="F235" s="7"/>
      <c r="G235" s="3" t="str">
        <f t="shared" si="3"/>
        <v/>
      </c>
    </row>
    <row r="236" spans="1:7" ht="14.25" customHeight="1" x14ac:dyDescent="0.3">
      <c r="A236" s="7"/>
      <c r="B236" s="7"/>
      <c r="C236" s="7"/>
      <c r="D236" s="7"/>
      <c r="E236" s="7"/>
      <c r="F236" s="7"/>
      <c r="G236" s="3" t="str">
        <f t="shared" si="3"/>
        <v/>
      </c>
    </row>
    <row r="237" spans="1:7" ht="14.25" customHeight="1" x14ac:dyDescent="0.3">
      <c r="A237" s="7"/>
      <c r="B237" s="7"/>
      <c r="C237" s="7"/>
      <c r="D237" s="7"/>
      <c r="E237" s="7"/>
      <c r="F237" s="7"/>
      <c r="G237" s="3" t="str">
        <f t="shared" si="3"/>
        <v/>
      </c>
    </row>
    <row r="238" spans="1:7" ht="14.25" customHeight="1" x14ac:dyDescent="0.3">
      <c r="A238" s="7"/>
      <c r="B238" s="7"/>
      <c r="C238" s="7"/>
      <c r="D238" s="7"/>
      <c r="E238" s="7"/>
      <c r="F238" s="7"/>
      <c r="G238" s="3" t="str">
        <f t="shared" si="3"/>
        <v/>
      </c>
    </row>
    <row r="239" spans="1:7" ht="14.25" customHeight="1" x14ac:dyDescent="0.3">
      <c r="A239" s="7"/>
      <c r="B239" s="7"/>
      <c r="C239" s="7"/>
      <c r="D239" s="7"/>
      <c r="E239" s="7"/>
      <c r="F239" s="7"/>
      <c r="G239" s="3" t="str">
        <f t="shared" si="3"/>
        <v/>
      </c>
    </row>
    <row r="240" spans="1:7" ht="14.25" customHeight="1" x14ac:dyDescent="0.3">
      <c r="A240" s="7"/>
      <c r="B240" s="7"/>
      <c r="C240" s="7"/>
      <c r="D240" s="7"/>
      <c r="E240" s="7"/>
      <c r="F240" s="7"/>
      <c r="G240" s="3" t="str">
        <f t="shared" si="3"/>
        <v/>
      </c>
    </row>
    <row r="241" spans="1:7" ht="14.25" customHeight="1" x14ac:dyDescent="0.3">
      <c r="A241" s="7"/>
      <c r="B241" s="7"/>
      <c r="C241" s="7"/>
      <c r="D241" s="7"/>
      <c r="E241" s="7"/>
      <c r="F241" s="7"/>
      <c r="G241" s="3" t="str">
        <f t="shared" si="3"/>
        <v/>
      </c>
    </row>
    <row r="242" spans="1:7" ht="14.25" customHeight="1" x14ac:dyDescent="0.3">
      <c r="A242" s="7"/>
      <c r="B242" s="7"/>
      <c r="C242" s="7"/>
      <c r="D242" s="7"/>
      <c r="E242" s="7"/>
      <c r="F242" s="7"/>
      <c r="G242" s="3" t="str">
        <f t="shared" si="3"/>
        <v/>
      </c>
    </row>
    <row r="243" spans="1:7" ht="14.25" customHeight="1" x14ac:dyDescent="0.3">
      <c r="A243" s="7"/>
      <c r="B243" s="7"/>
      <c r="C243" s="7"/>
      <c r="D243" s="7"/>
      <c r="E243" s="7"/>
      <c r="F243" s="7"/>
      <c r="G243" s="3" t="str">
        <f t="shared" si="3"/>
        <v/>
      </c>
    </row>
    <row r="244" spans="1:7" ht="14.25" customHeight="1" x14ac:dyDescent="0.3">
      <c r="A244" s="7"/>
      <c r="B244" s="7"/>
      <c r="C244" s="7"/>
      <c r="D244" s="7"/>
      <c r="E244" s="7"/>
      <c r="F244" s="7"/>
      <c r="G244" s="3" t="str">
        <f t="shared" si="3"/>
        <v/>
      </c>
    </row>
    <row r="245" spans="1:7" ht="14.25" customHeight="1" x14ac:dyDescent="0.3">
      <c r="A245" s="7"/>
      <c r="B245" s="7"/>
      <c r="C245" s="7"/>
      <c r="D245" s="7"/>
      <c r="E245" s="7"/>
      <c r="F245" s="7"/>
      <c r="G245" s="3" t="str">
        <f t="shared" si="3"/>
        <v/>
      </c>
    </row>
    <row r="246" spans="1:7" ht="14.25" customHeight="1" x14ac:dyDescent="0.3">
      <c r="A246" s="7"/>
      <c r="B246" s="7"/>
      <c r="C246" s="7"/>
      <c r="D246" s="7"/>
      <c r="E246" s="7"/>
      <c r="F246" s="7"/>
      <c r="G246" s="3" t="str">
        <f t="shared" si="3"/>
        <v/>
      </c>
    </row>
    <row r="247" spans="1:7" ht="14.25" customHeight="1" x14ac:dyDescent="0.3">
      <c r="A247" s="7"/>
      <c r="B247" s="7"/>
      <c r="C247" s="7"/>
      <c r="D247" s="7"/>
      <c r="E247" s="7"/>
      <c r="F247" s="7"/>
      <c r="G247" s="3" t="str">
        <f t="shared" si="3"/>
        <v/>
      </c>
    </row>
    <row r="248" spans="1:7" ht="14.25" customHeight="1" x14ac:dyDescent="0.3">
      <c r="A248" s="7"/>
      <c r="B248" s="7"/>
      <c r="C248" s="7"/>
      <c r="D248" s="7"/>
      <c r="E248" s="7"/>
      <c r="F248" s="7"/>
      <c r="G248" s="3" t="str">
        <f t="shared" si="3"/>
        <v/>
      </c>
    </row>
    <row r="249" spans="1:7" ht="14.25" customHeight="1" x14ac:dyDescent="0.3">
      <c r="A249" s="7"/>
      <c r="B249" s="7"/>
      <c r="C249" s="7"/>
      <c r="D249" s="7"/>
      <c r="E249" s="7"/>
      <c r="F249" s="7"/>
      <c r="G249" s="3" t="str">
        <f t="shared" si="3"/>
        <v/>
      </c>
    </row>
    <row r="250" spans="1:7" ht="14.25" customHeight="1" x14ac:dyDescent="0.3">
      <c r="A250" s="7"/>
      <c r="B250" s="7"/>
      <c r="C250" s="7"/>
      <c r="D250" s="7"/>
      <c r="E250" s="7"/>
      <c r="F250" s="7"/>
      <c r="G250" s="3" t="str">
        <f t="shared" si="3"/>
        <v/>
      </c>
    </row>
    <row r="251" spans="1:7" ht="14.25" customHeight="1" x14ac:dyDescent="0.3">
      <c r="A251" s="7"/>
      <c r="B251" s="7"/>
      <c r="C251" s="7"/>
      <c r="D251" s="7"/>
      <c r="E251" s="7"/>
      <c r="F251" s="7"/>
      <c r="G251" s="3" t="str">
        <f t="shared" si="3"/>
        <v/>
      </c>
    </row>
    <row r="252" spans="1:7" ht="14.25" customHeight="1" x14ac:dyDescent="0.3">
      <c r="A252" s="7"/>
      <c r="B252" s="7"/>
      <c r="C252" s="7"/>
      <c r="D252" s="7"/>
      <c r="E252" s="7"/>
      <c r="F252" s="7"/>
      <c r="G252" s="3" t="str">
        <f t="shared" si="3"/>
        <v/>
      </c>
    </row>
    <row r="253" spans="1:7" ht="14.25" customHeight="1" x14ac:dyDescent="0.3">
      <c r="A253" s="7"/>
      <c r="B253" s="7"/>
      <c r="C253" s="7"/>
      <c r="D253" s="7"/>
      <c r="E253" s="7"/>
      <c r="F253" s="7"/>
      <c r="G253" s="3" t="str">
        <f t="shared" si="3"/>
        <v/>
      </c>
    </row>
    <row r="254" spans="1:7" ht="14.25" customHeight="1" x14ac:dyDescent="0.3">
      <c r="A254" s="7"/>
      <c r="B254" s="7"/>
      <c r="C254" s="7"/>
      <c r="D254" s="7"/>
      <c r="E254" s="7"/>
      <c r="F254" s="7"/>
      <c r="G254" s="3" t="str">
        <f t="shared" si="3"/>
        <v/>
      </c>
    </row>
    <row r="255" spans="1:7" ht="14.25" customHeight="1" x14ac:dyDescent="0.3">
      <c r="A255" s="7"/>
      <c r="B255" s="7"/>
      <c r="C255" s="7"/>
      <c r="D255" s="7"/>
      <c r="E255" s="7"/>
      <c r="F255" s="7"/>
      <c r="G255" s="3" t="str">
        <f t="shared" si="3"/>
        <v/>
      </c>
    </row>
    <row r="256" spans="1:7" ht="14.25" customHeight="1" x14ac:dyDescent="0.3">
      <c r="A256" s="7"/>
      <c r="B256" s="7"/>
      <c r="C256" s="7"/>
      <c r="D256" s="7"/>
      <c r="E256" s="7"/>
      <c r="F256" s="7"/>
      <c r="G256" s="3" t="str">
        <f t="shared" si="3"/>
        <v/>
      </c>
    </row>
    <row r="257" spans="1:7" ht="14.25" customHeight="1" x14ac:dyDescent="0.3">
      <c r="A257" s="7"/>
      <c r="B257" s="7"/>
      <c r="C257" s="7"/>
      <c r="D257" s="7"/>
      <c r="E257" s="7"/>
      <c r="F257" s="7"/>
      <c r="G257" s="3" t="str">
        <f t="shared" si="3"/>
        <v/>
      </c>
    </row>
    <row r="258" spans="1:7" ht="14.25" customHeight="1" x14ac:dyDescent="0.3">
      <c r="A258" s="7"/>
      <c r="B258" s="7"/>
      <c r="C258" s="7"/>
      <c r="D258" s="7"/>
      <c r="E258" s="7"/>
      <c r="F258" s="7"/>
      <c r="G258" s="3" t="str">
        <f t="shared" ref="G258:G321" si="4">IF(COUNTA(A258:F258)=0,"",IF(COUNTIF($A$2:$A$1000,A258)&gt;1,"DUPLICATE COURSE CODE","OK"))</f>
        <v/>
      </c>
    </row>
    <row r="259" spans="1:7" ht="14.25" customHeight="1" x14ac:dyDescent="0.3">
      <c r="A259" s="7"/>
      <c r="B259" s="7"/>
      <c r="C259" s="7"/>
      <c r="D259" s="7"/>
      <c r="E259" s="7"/>
      <c r="F259" s="7"/>
      <c r="G259" s="3" t="str">
        <f t="shared" si="4"/>
        <v/>
      </c>
    </row>
    <row r="260" spans="1:7" ht="14.25" customHeight="1" x14ac:dyDescent="0.3">
      <c r="A260" s="7"/>
      <c r="B260" s="7"/>
      <c r="C260" s="7"/>
      <c r="D260" s="7"/>
      <c r="E260" s="7"/>
      <c r="F260" s="7"/>
      <c r="G260" s="3" t="str">
        <f t="shared" si="4"/>
        <v/>
      </c>
    </row>
    <row r="261" spans="1:7" ht="14.25" customHeight="1" x14ac:dyDescent="0.3">
      <c r="A261" s="7"/>
      <c r="B261" s="7"/>
      <c r="C261" s="7"/>
      <c r="D261" s="7"/>
      <c r="E261" s="7"/>
      <c r="F261" s="7"/>
      <c r="G261" s="3" t="str">
        <f t="shared" si="4"/>
        <v/>
      </c>
    </row>
    <row r="262" spans="1:7" ht="14.25" customHeight="1" x14ac:dyDescent="0.3">
      <c r="A262" s="7"/>
      <c r="B262" s="7"/>
      <c r="C262" s="7"/>
      <c r="D262" s="7"/>
      <c r="E262" s="7"/>
      <c r="F262" s="7"/>
      <c r="G262" s="3" t="str">
        <f t="shared" si="4"/>
        <v/>
      </c>
    </row>
    <row r="263" spans="1:7" ht="14.25" customHeight="1" x14ac:dyDescent="0.3">
      <c r="A263" s="7"/>
      <c r="B263" s="7"/>
      <c r="C263" s="7"/>
      <c r="D263" s="7"/>
      <c r="E263" s="7"/>
      <c r="F263" s="7"/>
      <c r="G263" s="3" t="str">
        <f t="shared" si="4"/>
        <v/>
      </c>
    </row>
    <row r="264" spans="1:7" ht="14.25" customHeight="1" x14ac:dyDescent="0.3">
      <c r="A264" s="7"/>
      <c r="B264" s="7"/>
      <c r="C264" s="7"/>
      <c r="D264" s="7"/>
      <c r="E264" s="7"/>
      <c r="F264" s="7"/>
      <c r="G264" s="3" t="str">
        <f t="shared" si="4"/>
        <v/>
      </c>
    </row>
    <row r="265" spans="1:7" ht="14.25" customHeight="1" x14ac:dyDescent="0.3">
      <c r="A265" s="7"/>
      <c r="B265" s="7"/>
      <c r="C265" s="7"/>
      <c r="D265" s="7"/>
      <c r="E265" s="7"/>
      <c r="F265" s="7"/>
      <c r="G265" s="3" t="str">
        <f t="shared" si="4"/>
        <v/>
      </c>
    </row>
    <row r="266" spans="1:7" ht="14.25" customHeight="1" x14ac:dyDescent="0.3">
      <c r="A266" s="7"/>
      <c r="B266" s="7"/>
      <c r="C266" s="7"/>
      <c r="D266" s="7"/>
      <c r="E266" s="7"/>
      <c r="F266" s="7"/>
      <c r="G266" s="3" t="str">
        <f t="shared" si="4"/>
        <v/>
      </c>
    </row>
    <row r="267" spans="1:7" ht="14.25" customHeight="1" x14ac:dyDescent="0.3">
      <c r="A267" s="7"/>
      <c r="B267" s="7"/>
      <c r="C267" s="7"/>
      <c r="D267" s="7"/>
      <c r="E267" s="7"/>
      <c r="F267" s="7"/>
      <c r="G267" s="3" t="str">
        <f t="shared" si="4"/>
        <v/>
      </c>
    </row>
    <row r="268" spans="1:7" ht="14.25" customHeight="1" x14ac:dyDescent="0.3">
      <c r="A268" s="7"/>
      <c r="B268" s="7"/>
      <c r="C268" s="7"/>
      <c r="D268" s="7"/>
      <c r="E268" s="7"/>
      <c r="F268" s="7"/>
      <c r="G268" s="3" t="str">
        <f t="shared" si="4"/>
        <v/>
      </c>
    </row>
    <row r="269" spans="1:7" ht="14.25" customHeight="1" x14ac:dyDescent="0.3">
      <c r="A269" s="7"/>
      <c r="B269" s="7"/>
      <c r="C269" s="7"/>
      <c r="D269" s="7"/>
      <c r="E269" s="7"/>
      <c r="F269" s="7"/>
      <c r="G269" s="3" t="str">
        <f t="shared" si="4"/>
        <v/>
      </c>
    </row>
    <row r="270" spans="1:7" ht="14.25" customHeight="1" x14ac:dyDescent="0.3">
      <c r="A270" s="7"/>
      <c r="B270" s="7"/>
      <c r="C270" s="7"/>
      <c r="D270" s="7"/>
      <c r="E270" s="7"/>
      <c r="F270" s="7"/>
      <c r="G270" s="3" t="str">
        <f t="shared" si="4"/>
        <v/>
      </c>
    </row>
    <row r="271" spans="1:7" ht="14.25" customHeight="1" x14ac:dyDescent="0.3">
      <c r="A271" s="7"/>
      <c r="B271" s="7"/>
      <c r="C271" s="7"/>
      <c r="D271" s="7"/>
      <c r="E271" s="7"/>
      <c r="F271" s="7"/>
      <c r="G271" s="3" t="str">
        <f t="shared" si="4"/>
        <v/>
      </c>
    </row>
    <row r="272" spans="1:7" ht="14.25" customHeight="1" x14ac:dyDescent="0.3">
      <c r="A272" s="7"/>
      <c r="B272" s="7"/>
      <c r="C272" s="7"/>
      <c r="D272" s="7"/>
      <c r="E272" s="7"/>
      <c r="F272" s="7"/>
      <c r="G272" s="3" t="str">
        <f t="shared" si="4"/>
        <v/>
      </c>
    </row>
    <row r="273" spans="1:7" ht="14.25" customHeight="1" x14ac:dyDescent="0.3">
      <c r="A273" s="7"/>
      <c r="B273" s="7"/>
      <c r="C273" s="7"/>
      <c r="D273" s="7"/>
      <c r="E273" s="7"/>
      <c r="F273" s="7"/>
      <c r="G273" s="3" t="str">
        <f t="shared" si="4"/>
        <v/>
      </c>
    </row>
    <row r="274" spans="1:7" ht="14.25" customHeight="1" x14ac:dyDescent="0.3">
      <c r="A274" s="7"/>
      <c r="B274" s="7"/>
      <c r="C274" s="7"/>
      <c r="D274" s="7"/>
      <c r="E274" s="7"/>
      <c r="F274" s="7"/>
      <c r="G274" s="3" t="str">
        <f t="shared" si="4"/>
        <v/>
      </c>
    </row>
    <row r="275" spans="1:7" ht="14.25" customHeight="1" x14ac:dyDescent="0.3">
      <c r="A275" s="7"/>
      <c r="B275" s="7"/>
      <c r="C275" s="7"/>
      <c r="D275" s="7"/>
      <c r="E275" s="7"/>
      <c r="F275" s="7"/>
      <c r="G275" s="3" t="str">
        <f t="shared" si="4"/>
        <v/>
      </c>
    </row>
    <row r="276" spans="1:7" ht="14.25" customHeight="1" x14ac:dyDescent="0.3">
      <c r="A276" s="7"/>
      <c r="B276" s="7"/>
      <c r="C276" s="7"/>
      <c r="D276" s="7"/>
      <c r="E276" s="7"/>
      <c r="F276" s="7"/>
      <c r="G276" s="3" t="str">
        <f t="shared" si="4"/>
        <v/>
      </c>
    </row>
    <row r="277" spans="1:7" ht="14.25" customHeight="1" x14ac:dyDescent="0.3">
      <c r="A277" s="7"/>
      <c r="B277" s="7"/>
      <c r="C277" s="7"/>
      <c r="D277" s="7"/>
      <c r="E277" s="7"/>
      <c r="F277" s="7"/>
      <c r="G277" s="3" t="str">
        <f t="shared" si="4"/>
        <v/>
      </c>
    </row>
    <row r="278" spans="1:7" ht="14.25" customHeight="1" x14ac:dyDescent="0.3">
      <c r="A278" s="7"/>
      <c r="B278" s="7"/>
      <c r="C278" s="7"/>
      <c r="D278" s="7"/>
      <c r="E278" s="7"/>
      <c r="F278" s="7"/>
      <c r="G278" s="3" t="str">
        <f t="shared" si="4"/>
        <v/>
      </c>
    </row>
    <row r="279" spans="1:7" ht="14.25" customHeight="1" x14ac:dyDescent="0.3">
      <c r="A279" s="7"/>
      <c r="B279" s="7"/>
      <c r="C279" s="7"/>
      <c r="D279" s="7"/>
      <c r="E279" s="7"/>
      <c r="F279" s="7"/>
      <c r="G279" s="3" t="str">
        <f t="shared" si="4"/>
        <v/>
      </c>
    </row>
    <row r="280" spans="1:7" ht="14.25" customHeight="1" x14ac:dyDescent="0.3">
      <c r="A280" s="7"/>
      <c r="B280" s="7"/>
      <c r="C280" s="7"/>
      <c r="D280" s="7"/>
      <c r="E280" s="7"/>
      <c r="F280" s="7"/>
      <c r="G280" s="3" t="str">
        <f t="shared" si="4"/>
        <v/>
      </c>
    </row>
    <row r="281" spans="1:7" ht="14.25" customHeight="1" x14ac:dyDescent="0.3">
      <c r="A281" s="7"/>
      <c r="B281" s="7"/>
      <c r="C281" s="7"/>
      <c r="D281" s="7"/>
      <c r="E281" s="7"/>
      <c r="F281" s="7"/>
      <c r="G281" s="3" t="str">
        <f t="shared" si="4"/>
        <v/>
      </c>
    </row>
    <row r="282" spans="1:7" ht="14.25" customHeight="1" x14ac:dyDescent="0.3">
      <c r="A282" s="7"/>
      <c r="B282" s="7"/>
      <c r="C282" s="7"/>
      <c r="D282" s="7"/>
      <c r="E282" s="7"/>
      <c r="F282" s="7"/>
      <c r="G282" s="3" t="str">
        <f t="shared" si="4"/>
        <v/>
      </c>
    </row>
    <row r="283" spans="1:7" ht="14.25" customHeight="1" x14ac:dyDescent="0.3">
      <c r="A283" s="7"/>
      <c r="B283" s="7"/>
      <c r="C283" s="7"/>
      <c r="D283" s="7"/>
      <c r="E283" s="7"/>
      <c r="F283" s="7"/>
      <c r="G283" s="3" t="str">
        <f t="shared" si="4"/>
        <v/>
      </c>
    </row>
    <row r="284" spans="1:7" ht="14.25" customHeight="1" x14ac:dyDescent="0.3">
      <c r="A284" s="7"/>
      <c r="B284" s="7"/>
      <c r="C284" s="7"/>
      <c r="D284" s="7"/>
      <c r="E284" s="7"/>
      <c r="F284" s="7"/>
      <c r="G284" s="3" t="str">
        <f t="shared" si="4"/>
        <v/>
      </c>
    </row>
    <row r="285" spans="1:7" ht="14.25" customHeight="1" x14ac:dyDescent="0.3">
      <c r="A285" s="7"/>
      <c r="B285" s="7"/>
      <c r="C285" s="7"/>
      <c r="D285" s="7"/>
      <c r="E285" s="7"/>
      <c r="F285" s="7"/>
      <c r="G285" s="3" t="str">
        <f t="shared" si="4"/>
        <v/>
      </c>
    </row>
    <row r="286" spans="1:7" ht="14.25" customHeight="1" x14ac:dyDescent="0.3">
      <c r="A286" s="7"/>
      <c r="B286" s="7"/>
      <c r="C286" s="7"/>
      <c r="D286" s="7"/>
      <c r="E286" s="7"/>
      <c r="F286" s="7"/>
      <c r="G286" s="3" t="str">
        <f t="shared" si="4"/>
        <v/>
      </c>
    </row>
    <row r="287" spans="1:7" ht="14.25" customHeight="1" x14ac:dyDescent="0.3">
      <c r="A287" s="7"/>
      <c r="B287" s="7"/>
      <c r="C287" s="7"/>
      <c r="D287" s="7"/>
      <c r="E287" s="7"/>
      <c r="F287" s="7"/>
      <c r="G287" s="3" t="str">
        <f t="shared" si="4"/>
        <v/>
      </c>
    </row>
    <row r="288" spans="1:7" ht="14.25" customHeight="1" x14ac:dyDescent="0.3">
      <c r="A288" s="7"/>
      <c r="B288" s="7"/>
      <c r="C288" s="7"/>
      <c r="D288" s="7"/>
      <c r="E288" s="7"/>
      <c r="F288" s="7"/>
      <c r="G288" s="3" t="str">
        <f t="shared" si="4"/>
        <v/>
      </c>
    </row>
    <row r="289" spans="1:7" ht="14.25" customHeight="1" x14ac:dyDescent="0.3">
      <c r="A289" s="7"/>
      <c r="B289" s="7"/>
      <c r="C289" s="7"/>
      <c r="D289" s="7"/>
      <c r="E289" s="7"/>
      <c r="F289" s="7"/>
      <c r="G289" s="3" t="str">
        <f t="shared" si="4"/>
        <v/>
      </c>
    </row>
    <row r="290" spans="1:7" ht="14.25" customHeight="1" x14ac:dyDescent="0.3">
      <c r="A290" s="7"/>
      <c r="B290" s="7"/>
      <c r="C290" s="7"/>
      <c r="D290" s="7"/>
      <c r="E290" s="7"/>
      <c r="F290" s="7"/>
      <c r="G290" s="3" t="str">
        <f t="shared" si="4"/>
        <v/>
      </c>
    </row>
    <row r="291" spans="1:7" ht="14.25" customHeight="1" x14ac:dyDescent="0.3">
      <c r="A291" s="7"/>
      <c r="B291" s="7"/>
      <c r="C291" s="7"/>
      <c r="D291" s="7"/>
      <c r="E291" s="7"/>
      <c r="F291" s="7"/>
      <c r="G291" s="3" t="str">
        <f t="shared" si="4"/>
        <v/>
      </c>
    </row>
    <row r="292" spans="1:7" ht="14.25" customHeight="1" x14ac:dyDescent="0.3">
      <c r="A292" s="7"/>
      <c r="B292" s="7"/>
      <c r="C292" s="7"/>
      <c r="D292" s="7"/>
      <c r="E292" s="7"/>
      <c r="F292" s="7"/>
      <c r="G292" s="3" t="str">
        <f t="shared" si="4"/>
        <v/>
      </c>
    </row>
    <row r="293" spans="1:7" ht="14.25" customHeight="1" x14ac:dyDescent="0.3">
      <c r="A293" s="7"/>
      <c r="B293" s="7"/>
      <c r="C293" s="7"/>
      <c r="D293" s="7"/>
      <c r="E293" s="7"/>
      <c r="F293" s="7"/>
      <c r="G293" s="3" t="str">
        <f t="shared" si="4"/>
        <v/>
      </c>
    </row>
    <row r="294" spans="1:7" ht="14.25" customHeight="1" x14ac:dyDescent="0.3">
      <c r="A294" s="7"/>
      <c r="B294" s="7"/>
      <c r="C294" s="7"/>
      <c r="D294" s="7"/>
      <c r="E294" s="7"/>
      <c r="F294" s="7"/>
      <c r="G294" s="3" t="str">
        <f t="shared" si="4"/>
        <v/>
      </c>
    </row>
    <row r="295" spans="1:7" ht="14.25" customHeight="1" x14ac:dyDescent="0.3">
      <c r="A295" s="7"/>
      <c r="B295" s="7"/>
      <c r="C295" s="7"/>
      <c r="D295" s="7"/>
      <c r="E295" s="7"/>
      <c r="F295" s="7"/>
      <c r="G295" s="3" t="str">
        <f t="shared" si="4"/>
        <v/>
      </c>
    </row>
    <row r="296" spans="1:7" ht="14.25" customHeight="1" x14ac:dyDescent="0.3">
      <c r="A296" s="7"/>
      <c r="B296" s="7"/>
      <c r="C296" s="7"/>
      <c r="D296" s="7"/>
      <c r="E296" s="7"/>
      <c r="F296" s="7"/>
      <c r="G296" s="3" t="str">
        <f t="shared" si="4"/>
        <v/>
      </c>
    </row>
    <row r="297" spans="1:7" ht="14.25" customHeight="1" x14ac:dyDescent="0.3">
      <c r="A297" s="7"/>
      <c r="B297" s="7"/>
      <c r="C297" s="7"/>
      <c r="D297" s="7"/>
      <c r="E297" s="7"/>
      <c r="F297" s="7"/>
      <c r="G297" s="3" t="str">
        <f t="shared" si="4"/>
        <v/>
      </c>
    </row>
    <row r="298" spans="1:7" ht="14.25" customHeight="1" x14ac:dyDescent="0.3">
      <c r="A298" s="7"/>
      <c r="B298" s="7"/>
      <c r="C298" s="7"/>
      <c r="D298" s="7"/>
      <c r="E298" s="7"/>
      <c r="F298" s="7"/>
      <c r="G298" s="3" t="str">
        <f t="shared" si="4"/>
        <v/>
      </c>
    </row>
    <row r="299" spans="1:7" ht="14.25" customHeight="1" x14ac:dyDescent="0.3">
      <c r="A299" s="7"/>
      <c r="B299" s="7"/>
      <c r="C299" s="7"/>
      <c r="D299" s="7"/>
      <c r="E299" s="7"/>
      <c r="F299" s="7"/>
      <c r="G299" s="3" t="str">
        <f t="shared" si="4"/>
        <v/>
      </c>
    </row>
    <row r="300" spans="1:7" ht="14.25" customHeight="1" x14ac:dyDescent="0.3">
      <c r="A300" s="7"/>
      <c r="B300" s="7"/>
      <c r="C300" s="7"/>
      <c r="D300" s="7"/>
      <c r="E300" s="7"/>
      <c r="F300" s="7"/>
      <c r="G300" s="3" t="str">
        <f t="shared" si="4"/>
        <v/>
      </c>
    </row>
    <row r="301" spans="1:7" ht="14.25" customHeight="1" x14ac:dyDescent="0.3">
      <c r="A301" s="7"/>
      <c r="B301" s="7"/>
      <c r="C301" s="7"/>
      <c r="D301" s="7"/>
      <c r="E301" s="7"/>
      <c r="F301" s="7"/>
      <c r="G301" s="3" t="str">
        <f t="shared" si="4"/>
        <v/>
      </c>
    </row>
    <row r="302" spans="1:7" ht="14.25" customHeight="1" x14ac:dyDescent="0.3">
      <c r="A302" s="7"/>
      <c r="B302" s="7"/>
      <c r="C302" s="7"/>
      <c r="D302" s="7"/>
      <c r="E302" s="7"/>
      <c r="F302" s="7"/>
      <c r="G302" s="3" t="str">
        <f t="shared" si="4"/>
        <v/>
      </c>
    </row>
    <row r="303" spans="1:7" ht="14.25" customHeight="1" x14ac:dyDescent="0.3">
      <c r="A303" s="7"/>
      <c r="B303" s="7"/>
      <c r="C303" s="7"/>
      <c r="D303" s="7"/>
      <c r="E303" s="7"/>
      <c r="F303" s="7"/>
      <c r="G303" s="3" t="str">
        <f t="shared" si="4"/>
        <v/>
      </c>
    </row>
    <row r="304" spans="1:7" ht="14.25" customHeight="1" x14ac:dyDescent="0.3">
      <c r="A304" s="7"/>
      <c r="B304" s="7"/>
      <c r="C304" s="7"/>
      <c r="D304" s="7"/>
      <c r="E304" s="7"/>
      <c r="F304" s="7"/>
      <c r="G304" s="3" t="str">
        <f t="shared" si="4"/>
        <v/>
      </c>
    </row>
    <row r="305" spans="1:7" ht="14.25" customHeight="1" x14ac:dyDescent="0.3">
      <c r="A305" s="7"/>
      <c r="B305" s="7"/>
      <c r="C305" s="7"/>
      <c r="D305" s="7"/>
      <c r="E305" s="7"/>
      <c r="F305" s="7"/>
      <c r="G305" s="3" t="str">
        <f t="shared" si="4"/>
        <v/>
      </c>
    </row>
    <row r="306" spans="1:7" ht="14.25" customHeight="1" x14ac:dyDescent="0.3">
      <c r="A306" s="7"/>
      <c r="B306" s="7"/>
      <c r="C306" s="7"/>
      <c r="D306" s="7"/>
      <c r="E306" s="7"/>
      <c r="F306" s="7"/>
      <c r="G306" s="3" t="str">
        <f t="shared" si="4"/>
        <v/>
      </c>
    </row>
    <row r="307" spans="1:7" ht="14.25" customHeight="1" x14ac:dyDescent="0.3">
      <c r="A307" s="7"/>
      <c r="B307" s="7"/>
      <c r="C307" s="7"/>
      <c r="D307" s="7"/>
      <c r="E307" s="7"/>
      <c r="F307" s="7"/>
      <c r="G307" s="3" t="str">
        <f t="shared" si="4"/>
        <v/>
      </c>
    </row>
    <row r="308" spans="1:7" ht="14.25" customHeight="1" x14ac:dyDescent="0.3">
      <c r="A308" s="7"/>
      <c r="B308" s="7"/>
      <c r="C308" s="7"/>
      <c r="D308" s="7"/>
      <c r="E308" s="7"/>
      <c r="F308" s="7"/>
      <c r="G308" s="3" t="str">
        <f t="shared" si="4"/>
        <v/>
      </c>
    </row>
    <row r="309" spans="1:7" ht="14.25" customHeight="1" x14ac:dyDescent="0.3">
      <c r="A309" s="7"/>
      <c r="B309" s="7"/>
      <c r="C309" s="7"/>
      <c r="D309" s="7"/>
      <c r="E309" s="7"/>
      <c r="F309" s="7"/>
      <c r="G309" s="3" t="str">
        <f t="shared" si="4"/>
        <v/>
      </c>
    </row>
    <row r="310" spans="1:7" ht="14.25" customHeight="1" x14ac:dyDescent="0.3">
      <c r="A310" s="7"/>
      <c r="B310" s="7"/>
      <c r="C310" s="7"/>
      <c r="D310" s="7"/>
      <c r="E310" s="7"/>
      <c r="F310" s="7"/>
      <c r="G310" s="3" t="str">
        <f t="shared" si="4"/>
        <v/>
      </c>
    </row>
    <row r="311" spans="1:7" ht="14.25" customHeight="1" x14ac:dyDescent="0.3">
      <c r="A311" s="7"/>
      <c r="B311" s="7"/>
      <c r="C311" s="7"/>
      <c r="D311" s="7"/>
      <c r="E311" s="7"/>
      <c r="F311" s="7"/>
      <c r="G311" s="3" t="str">
        <f t="shared" si="4"/>
        <v/>
      </c>
    </row>
    <row r="312" spans="1:7" ht="14.25" customHeight="1" x14ac:dyDescent="0.3">
      <c r="A312" s="7"/>
      <c r="B312" s="7"/>
      <c r="C312" s="7"/>
      <c r="D312" s="7"/>
      <c r="E312" s="7"/>
      <c r="F312" s="7"/>
      <c r="G312" s="3" t="str">
        <f t="shared" si="4"/>
        <v/>
      </c>
    </row>
    <row r="313" spans="1:7" ht="14.25" customHeight="1" x14ac:dyDescent="0.3">
      <c r="A313" s="7"/>
      <c r="B313" s="7"/>
      <c r="C313" s="7"/>
      <c r="D313" s="7"/>
      <c r="E313" s="7"/>
      <c r="F313" s="7"/>
      <c r="G313" s="3" t="str">
        <f t="shared" si="4"/>
        <v/>
      </c>
    </row>
    <row r="314" spans="1:7" ht="14.25" customHeight="1" x14ac:dyDescent="0.3">
      <c r="A314" s="7"/>
      <c r="B314" s="7"/>
      <c r="C314" s="7"/>
      <c r="D314" s="7"/>
      <c r="E314" s="7"/>
      <c r="F314" s="7"/>
      <c r="G314" s="3" t="str">
        <f t="shared" si="4"/>
        <v/>
      </c>
    </row>
    <row r="315" spans="1:7" ht="14.25" customHeight="1" x14ac:dyDescent="0.3">
      <c r="A315" s="7"/>
      <c r="B315" s="7"/>
      <c r="C315" s="7"/>
      <c r="D315" s="7"/>
      <c r="E315" s="7"/>
      <c r="F315" s="7"/>
      <c r="G315" s="3" t="str">
        <f t="shared" si="4"/>
        <v/>
      </c>
    </row>
    <row r="316" spans="1:7" ht="14.25" customHeight="1" x14ac:dyDescent="0.3">
      <c r="A316" s="7"/>
      <c r="B316" s="7"/>
      <c r="C316" s="7"/>
      <c r="D316" s="7"/>
      <c r="E316" s="7"/>
      <c r="F316" s="7"/>
      <c r="G316" s="3" t="str">
        <f t="shared" si="4"/>
        <v/>
      </c>
    </row>
    <row r="317" spans="1:7" ht="14.25" customHeight="1" x14ac:dyDescent="0.3">
      <c r="A317" s="7"/>
      <c r="B317" s="7"/>
      <c r="C317" s="7"/>
      <c r="D317" s="7"/>
      <c r="E317" s="7"/>
      <c r="F317" s="7"/>
      <c r="G317" s="3" t="str">
        <f t="shared" si="4"/>
        <v/>
      </c>
    </row>
    <row r="318" spans="1:7" ht="14.25" customHeight="1" x14ac:dyDescent="0.3">
      <c r="A318" s="7"/>
      <c r="B318" s="7"/>
      <c r="C318" s="7"/>
      <c r="D318" s="7"/>
      <c r="E318" s="7"/>
      <c r="F318" s="7"/>
      <c r="G318" s="3" t="str">
        <f t="shared" si="4"/>
        <v/>
      </c>
    </row>
    <row r="319" spans="1:7" ht="14.25" customHeight="1" x14ac:dyDescent="0.3">
      <c r="A319" s="7"/>
      <c r="B319" s="7"/>
      <c r="C319" s="7"/>
      <c r="D319" s="7"/>
      <c r="E319" s="7"/>
      <c r="F319" s="7"/>
      <c r="G319" s="3" t="str">
        <f t="shared" si="4"/>
        <v/>
      </c>
    </row>
    <row r="320" spans="1:7" ht="14.25" customHeight="1" x14ac:dyDescent="0.3">
      <c r="A320" s="7"/>
      <c r="B320" s="7"/>
      <c r="C320" s="7"/>
      <c r="D320" s="7"/>
      <c r="E320" s="7"/>
      <c r="F320" s="7"/>
      <c r="G320" s="3" t="str">
        <f t="shared" si="4"/>
        <v/>
      </c>
    </row>
    <row r="321" spans="1:7" ht="14.25" customHeight="1" x14ac:dyDescent="0.3">
      <c r="A321" s="7"/>
      <c r="B321" s="7"/>
      <c r="C321" s="7"/>
      <c r="D321" s="7"/>
      <c r="E321" s="7"/>
      <c r="F321" s="7"/>
      <c r="G321" s="3" t="str">
        <f t="shared" si="4"/>
        <v/>
      </c>
    </row>
    <row r="322" spans="1:7" ht="14.25" customHeight="1" x14ac:dyDescent="0.3">
      <c r="A322" s="7"/>
      <c r="B322" s="7"/>
      <c r="C322" s="7"/>
      <c r="D322" s="7"/>
      <c r="E322" s="7"/>
      <c r="F322" s="7"/>
      <c r="G322" s="3" t="str">
        <f t="shared" ref="G322:G385" si="5">IF(COUNTA(A322:F322)=0,"",IF(COUNTIF($A$2:$A$1000,A322)&gt;1,"DUPLICATE COURSE CODE","OK"))</f>
        <v/>
      </c>
    </row>
    <row r="323" spans="1:7" ht="14.25" customHeight="1" x14ac:dyDescent="0.3">
      <c r="A323" s="7"/>
      <c r="B323" s="7"/>
      <c r="C323" s="7"/>
      <c r="D323" s="7"/>
      <c r="E323" s="7"/>
      <c r="F323" s="7"/>
      <c r="G323" s="3" t="str">
        <f t="shared" si="5"/>
        <v/>
      </c>
    </row>
    <row r="324" spans="1:7" ht="14.25" customHeight="1" x14ac:dyDescent="0.3">
      <c r="A324" s="7"/>
      <c r="B324" s="7"/>
      <c r="C324" s="7"/>
      <c r="D324" s="7"/>
      <c r="E324" s="7"/>
      <c r="F324" s="7"/>
      <c r="G324" s="3" t="str">
        <f t="shared" si="5"/>
        <v/>
      </c>
    </row>
    <row r="325" spans="1:7" ht="14.25" customHeight="1" x14ac:dyDescent="0.3">
      <c r="A325" s="7"/>
      <c r="B325" s="7"/>
      <c r="C325" s="7"/>
      <c r="D325" s="7"/>
      <c r="E325" s="7"/>
      <c r="F325" s="7"/>
      <c r="G325" s="3" t="str">
        <f t="shared" si="5"/>
        <v/>
      </c>
    </row>
    <row r="326" spans="1:7" ht="14.25" customHeight="1" x14ac:dyDescent="0.3">
      <c r="A326" s="7"/>
      <c r="B326" s="7"/>
      <c r="C326" s="7"/>
      <c r="D326" s="7"/>
      <c r="E326" s="7"/>
      <c r="F326" s="7"/>
      <c r="G326" s="3" t="str">
        <f t="shared" si="5"/>
        <v/>
      </c>
    </row>
    <row r="327" spans="1:7" ht="14.25" customHeight="1" x14ac:dyDescent="0.3">
      <c r="A327" s="7"/>
      <c r="B327" s="7"/>
      <c r="C327" s="7"/>
      <c r="D327" s="7"/>
      <c r="E327" s="7"/>
      <c r="F327" s="7"/>
      <c r="G327" s="3" t="str">
        <f t="shared" si="5"/>
        <v/>
      </c>
    </row>
    <row r="328" spans="1:7" ht="14.25" customHeight="1" x14ac:dyDescent="0.3">
      <c r="A328" s="7"/>
      <c r="B328" s="7"/>
      <c r="C328" s="7"/>
      <c r="D328" s="7"/>
      <c r="E328" s="7"/>
      <c r="F328" s="7"/>
      <c r="G328" s="3" t="str">
        <f t="shared" si="5"/>
        <v/>
      </c>
    </row>
    <row r="329" spans="1:7" ht="14.25" customHeight="1" x14ac:dyDescent="0.3">
      <c r="A329" s="7"/>
      <c r="B329" s="7"/>
      <c r="C329" s="7"/>
      <c r="D329" s="7"/>
      <c r="E329" s="7"/>
      <c r="F329" s="7"/>
      <c r="G329" s="3" t="str">
        <f t="shared" si="5"/>
        <v/>
      </c>
    </row>
    <row r="330" spans="1:7" ht="14.25" customHeight="1" x14ac:dyDescent="0.3">
      <c r="A330" s="7"/>
      <c r="B330" s="7"/>
      <c r="C330" s="7"/>
      <c r="D330" s="7"/>
      <c r="E330" s="7"/>
      <c r="F330" s="7"/>
      <c r="G330" s="3" t="str">
        <f t="shared" si="5"/>
        <v/>
      </c>
    </row>
    <row r="331" spans="1:7" ht="14.25" customHeight="1" x14ac:dyDescent="0.3">
      <c r="A331" s="7"/>
      <c r="B331" s="7"/>
      <c r="C331" s="7"/>
      <c r="D331" s="7"/>
      <c r="E331" s="7"/>
      <c r="F331" s="7"/>
      <c r="G331" s="3" t="str">
        <f t="shared" si="5"/>
        <v/>
      </c>
    </row>
    <row r="332" spans="1:7" ht="14.25" customHeight="1" x14ac:dyDescent="0.3">
      <c r="A332" s="7"/>
      <c r="B332" s="7"/>
      <c r="C332" s="7"/>
      <c r="D332" s="7"/>
      <c r="E332" s="7"/>
      <c r="F332" s="7"/>
      <c r="G332" s="3" t="str">
        <f t="shared" si="5"/>
        <v/>
      </c>
    </row>
    <row r="333" spans="1:7" ht="14.25" customHeight="1" x14ac:dyDescent="0.3">
      <c r="A333" s="7"/>
      <c r="B333" s="7"/>
      <c r="C333" s="7"/>
      <c r="D333" s="7"/>
      <c r="E333" s="7"/>
      <c r="F333" s="7"/>
      <c r="G333" s="3" t="str">
        <f t="shared" si="5"/>
        <v/>
      </c>
    </row>
    <row r="334" spans="1:7" ht="14.25" customHeight="1" x14ac:dyDescent="0.3">
      <c r="A334" s="7"/>
      <c r="B334" s="7"/>
      <c r="C334" s="7"/>
      <c r="D334" s="7"/>
      <c r="E334" s="7"/>
      <c r="F334" s="7"/>
      <c r="G334" s="3" t="str">
        <f t="shared" si="5"/>
        <v/>
      </c>
    </row>
    <row r="335" spans="1:7" ht="14.25" customHeight="1" x14ac:dyDescent="0.3">
      <c r="A335" s="7"/>
      <c r="B335" s="7"/>
      <c r="C335" s="7"/>
      <c r="D335" s="7"/>
      <c r="E335" s="7"/>
      <c r="F335" s="7"/>
      <c r="G335" s="3" t="str">
        <f t="shared" si="5"/>
        <v/>
      </c>
    </row>
    <row r="336" spans="1:7" ht="14.25" customHeight="1" x14ac:dyDescent="0.3">
      <c r="A336" s="7"/>
      <c r="B336" s="7"/>
      <c r="C336" s="7"/>
      <c r="D336" s="7"/>
      <c r="E336" s="7"/>
      <c r="F336" s="7"/>
      <c r="G336" s="3" t="str">
        <f t="shared" si="5"/>
        <v/>
      </c>
    </row>
    <row r="337" spans="1:7" ht="14.25" customHeight="1" x14ac:dyDescent="0.3">
      <c r="A337" s="7"/>
      <c r="B337" s="7"/>
      <c r="C337" s="7"/>
      <c r="D337" s="7"/>
      <c r="E337" s="7"/>
      <c r="F337" s="7"/>
      <c r="G337" s="3" t="str">
        <f t="shared" si="5"/>
        <v/>
      </c>
    </row>
    <row r="338" spans="1:7" ht="14.25" customHeight="1" x14ac:dyDescent="0.3">
      <c r="A338" s="7"/>
      <c r="B338" s="7"/>
      <c r="C338" s="7"/>
      <c r="D338" s="7"/>
      <c r="E338" s="7"/>
      <c r="F338" s="7"/>
      <c r="G338" s="3" t="str">
        <f t="shared" si="5"/>
        <v/>
      </c>
    </row>
    <row r="339" spans="1:7" ht="14.25" customHeight="1" x14ac:dyDescent="0.3">
      <c r="A339" s="7"/>
      <c r="B339" s="7"/>
      <c r="C339" s="7"/>
      <c r="D339" s="7"/>
      <c r="E339" s="7"/>
      <c r="F339" s="7"/>
      <c r="G339" s="3" t="str">
        <f t="shared" si="5"/>
        <v/>
      </c>
    </row>
    <row r="340" spans="1:7" ht="14.25" customHeight="1" x14ac:dyDescent="0.3">
      <c r="A340" s="7"/>
      <c r="B340" s="7"/>
      <c r="C340" s="7"/>
      <c r="D340" s="7"/>
      <c r="E340" s="7"/>
      <c r="F340" s="7"/>
      <c r="G340" s="3" t="str">
        <f t="shared" si="5"/>
        <v/>
      </c>
    </row>
    <row r="341" spans="1:7" ht="14.25" customHeight="1" x14ac:dyDescent="0.3">
      <c r="A341" s="7"/>
      <c r="B341" s="7"/>
      <c r="C341" s="7"/>
      <c r="D341" s="7"/>
      <c r="E341" s="7"/>
      <c r="F341" s="7"/>
      <c r="G341" s="3" t="str">
        <f t="shared" si="5"/>
        <v/>
      </c>
    </row>
    <row r="342" spans="1:7" ht="14.25" customHeight="1" x14ac:dyDescent="0.3">
      <c r="A342" s="7"/>
      <c r="B342" s="7"/>
      <c r="C342" s="7"/>
      <c r="D342" s="7"/>
      <c r="E342" s="7"/>
      <c r="F342" s="7"/>
      <c r="G342" s="3" t="str">
        <f t="shared" si="5"/>
        <v/>
      </c>
    </row>
    <row r="343" spans="1:7" ht="14.25" customHeight="1" x14ac:dyDescent="0.3">
      <c r="A343" s="7"/>
      <c r="B343" s="7"/>
      <c r="C343" s="7"/>
      <c r="D343" s="7"/>
      <c r="E343" s="7"/>
      <c r="F343" s="7"/>
      <c r="G343" s="3" t="str">
        <f t="shared" si="5"/>
        <v/>
      </c>
    </row>
    <row r="344" spans="1:7" ht="14.25" customHeight="1" x14ac:dyDescent="0.3">
      <c r="A344" s="7"/>
      <c r="B344" s="7"/>
      <c r="C344" s="7"/>
      <c r="D344" s="7"/>
      <c r="E344" s="7"/>
      <c r="F344" s="7"/>
      <c r="G344" s="3" t="str">
        <f t="shared" si="5"/>
        <v/>
      </c>
    </row>
    <row r="345" spans="1:7" ht="14.25" customHeight="1" x14ac:dyDescent="0.3">
      <c r="A345" s="7"/>
      <c r="B345" s="7"/>
      <c r="C345" s="7"/>
      <c r="D345" s="7"/>
      <c r="E345" s="7"/>
      <c r="F345" s="7"/>
      <c r="G345" s="3" t="str">
        <f t="shared" si="5"/>
        <v/>
      </c>
    </row>
    <row r="346" spans="1:7" ht="14.25" customHeight="1" x14ac:dyDescent="0.3">
      <c r="A346" s="7"/>
      <c r="B346" s="7"/>
      <c r="C346" s="7"/>
      <c r="D346" s="7"/>
      <c r="E346" s="7"/>
      <c r="F346" s="7"/>
      <c r="G346" s="3" t="str">
        <f t="shared" si="5"/>
        <v/>
      </c>
    </row>
    <row r="347" spans="1:7" ht="14.25" customHeight="1" x14ac:dyDescent="0.3">
      <c r="A347" s="7"/>
      <c r="B347" s="7"/>
      <c r="C347" s="7"/>
      <c r="D347" s="7"/>
      <c r="E347" s="7"/>
      <c r="F347" s="7"/>
      <c r="G347" s="3" t="str">
        <f t="shared" si="5"/>
        <v/>
      </c>
    </row>
    <row r="348" spans="1:7" ht="14.25" customHeight="1" x14ac:dyDescent="0.3">
      <c r="A348" s="7"/>
      <c r="B348" s="7"/>
      <c r="C348" s="7"/>
      <c r="D348" s="7"/>
      <c r="E348" s="7"/>
      <c r="F348" s="7"/>
      <c r="G348" s="3" t="str">
        <f t="shared" si="5"/>
        <v/>
      </c>
    </row>
    <row r="349" spans="1:7" ht="14.25" customHeight="1" x14ac:dyDescent="0.3">
      <c r="A349" s="7"/>
      <c r="B349" s="7"/>
      <c r="C349" s="7"/>
      <c r="D349" s="7"/>
      <c r="E349" s="7"/>
      <c r="F349" s="7"/>
      <c r="G349" s="3" t="str">
        <f t="shared" si="5"/>
        <v/>
      </c>
    </row>
    <row r="350" spans="1:7" ht="14.25" customHeight="1" x14ac:dyDescent="0.3">
      <c r="A350" s="7"/>
      <c r="B350" s="7"/>
      <c r="C350" s="7"/>
      <c r="D350" s="7"/>
      <c r="E350" s="7"/>
      <c r="F350" s="7"/>
      <c r="G350" s="3" t="str">
        <f t="shared" si="5"/>
        <v/>
      </c>
    </row>
    <row r="351" spans="1:7" ht="14.25" customHeight="1" x14ac:dyDescent="0.3">
      <c r="A351" s="7"/>
      <c r="B351" s="7"/>
      <c r="C351" s="7"/>
      <c r="D351" s="7"/>
      <c r="E351" s="7"/>
      <c r="F351" s="7"/>
      <c r="G351" s="3" t="str">
        <f t="shared" si="5"/>
        <v/>
      </c>
    </row>
    <row r="352" spans="1:7" ht="14.25" customHeight="1" x14ac:dyDescent="0.3">
      <c r="A352" s="7"/>
      <c r="B352" s="7"/>
      <c r="C352" s="7"/>
      <c r="D352" s="7"/>
      <c r="E352" s="7"/>
      <c r="F352" s="7"/>
      <c r="G352" s="3" t="str">
        <f t="shared" si="5"/>
        <v/>
      </c>
    </row>
    <row r="353" spans="1:7" ht="14.25" customHeight="1" x14ac:dyDescent="0.3">
      <c r="A353" s="7"/>
      <c r="B353" s="7"/>
      <c r="C353" s="7"/>
      <c r="D353" s="7"/>
      <c r="E353" s="7"/>
      <c r="F353" s="7"/>
      <c r="G353" s="3" t="str">
        <f t="shared" si="5"/>
        <v/>
      </c>
    </row>
    <row r="354" spans="1:7" ht="14.25" customHeight="1" x14ac:dyDescent="0.3">
      <c r="A354" s="7"/>
      <c r="B354" s="7"/>
      <c r="C354" s="7"/>
      <c r="D354" s="7"/>
      <c r="E354" s="7"/>
      <c r="F354" s="7"/>
      <c r="G354" s="3" t="str">
        <f t="shared" si="5"/>
        <v/>
      </c>
    </row>
    <row r="355" spans="1:7" ht="14.25" customHeight="1" x14ac:dyDescent="0.3">
      <c r="A355" s="7"/>
      <c r="B355" s="7"/>
      <c r="C355" s="7"/>
      <c r="D355" s="7"/>
      <c r="E355" s="7"/>
      <c r="F355" s="7"/>
      <c r="G355" s="3" t="str">
        <f t="shared" si="5"/>
        <v/>
      </c>
    </row>
    <row r="356" spans="1:7" ht="14.25" customHeight="1" x14ac:dyDescent="0.3">
      <c r="A356" s="7"/>
      <c r="B356" s="7"/>
      <c r="C356" s="7"/>
      <c r="D356" s="7"/>
      <c r="E356" s="7"/>
      <c r="F356" s="7"/>
      <c r="G356" s="3" t="str">
        <f t="shared" si="5"/>
        <v/>
      </c>
    </row>
    <row r="357" spans="1:7" ht="14.25" customHeight="1" x14ac:dyDescent="0.3">
      <c r="A357" s="7"/>
      <c r="B357" s="7"/>
      <c r="C357" s="7"/>
      <c r="D357" s="7"/>
      <c r="E357" s="7"/>
      <c r="F357" s="7"/>
      <c r="G357" s="3" t="str">
        <f t="shared" si="5"/>
        <v/>
      </c>
    </row>
    <row r="358" spans="1:7" ht="14.25" customHeight="1" x14ac:dyDescent="0.3">
      <c r="A358" s="7"/>
      <c r="B358" s="7"/>
      <c r="C358" s="7"/>
      <c r="D358" s="7"/>
      <c r="E358" s="7"/>
      <c r="F358" s="7"/>
      <c r="G358" s="3" t="str">
        <f t="shared" si="5"/>
        <v/>
      </c>
    </row>
    <row r="359" spans="1:7" ht="14.25" customHeight="1" x14ac:dyDescent="0.3">
      <c r="A359" s="7"/>
      <c r="B359" s="7"/>
      <c r="C359" s="7"/>
      <c r="D359" s="7"/>
      <c r="E359" s="7"/>
      <c r="F359" s="7"/>
      <c r="G359" s="3" t="str">
        <f t="shared" si="5"/>
        <v/>
      </c>
    </row>
    <row r="360" spans="1:7" ht="14.25" customHeight="1" x14ac:dyDescent="0.3">
      <c r="A360" s="7"/>
      <c r="B360" s="7"/>
      <c r="C360" s="7"/>
      <c r="D360" s="7"/>
      <c r="E360" s="7"/>
      <c r="F360" s="7"/>
      <c r="G360" s="3" t="str">
        <f t="shared" si="5"/>
        <v/>
      </c>
    </row>
    <row r="361" spans="1:7" ht="14.25" customHeight="1" x14ac:dyDescent="0.3">
      <c r="A361" s="7"/>
      <c r="B361" s="7"/>
      <c r="C361" s="7"/>
      <c r="D361" s="7"/>
      <c r="E361" s="7"/>
      <c r="F361" s="7"/>
      <c r="G361" s="3" t="str">
        <f t="shared" si="5"/>
        <v/>
      </c>
    </row>
    <row r="362" spans="1:7" ht="14.25" customHeight="1" x14ac:dyDescent="0.3">
      <c r="A362" s="7"/>
      <c r="B362" s="7"/>
      <c r="C362" s="7"/>
      <c r="D362" s="7"/>
      <c r="E362" s="7"/>
      <c r="F362" s="7"/>
      <c r="G362" s="3" t="str">
        <f t="shared" si="5"/>
        <v/>
      </c>
    </row>
    <row r="363" spans="1:7" ht="14.25" customHeight="1" x14ac:dyDescent="0.3">
      <c r="A363" s="7"/>
      <c r="B363" s="7"/>
      <c r="C363" s="7"/>
      <c r="D363" s="7"/>
      <c r="E363" s="7"/>
      <c r="F363" s="7"/>
      <c r="G363" s="3" t="str">
        <f t="shared" si="5"/>
        <v/>
      </c>
    </row>
    <row r="364" spans="1:7" ht="14.25" customHeight="1" x14ac:dyDescent="0.3">
      <c r="A364" s="7"/>
      <c r="B364" s="7"/>
      <c r="C364" s="7"/>
      <c r="D364" s="7"/>
      <c r="E364" s="7"/>
      <c r="F364" s="7"/>
      <c r="G364" s="3" t="str">
        <f t="shared" si="5"/>
        <v/>
      </c>
    </row>
    <row r="365" spans="1:7" ht="14.25" customHeight="1" x14ac:dyDescent="0.3">
      <c r="A365" s="7"/>
      <c r="B365" s="7"/>
      <c r="C365" s="7"/>
      <c r="D365" s="7"/>
      <c r="E365" s="7"/>
      <c r="F365" s="7"/>
      <c r="G365" s="3" t="str">
        <f t="shared" si="5"/>
        <v/>
      </c>
    </row>
    <row r="366" spans="1:7" ht="14.25" customHeight="1" x14ac:dyDescent="0.3">
      <c r="A366" s="7"/>
      <c r="B366" s="7"/>
      <c r="C366" s="7"/>
      <c r="D366" s="7"/>
      <c r="E366" s="7"/>
      <c r="F366" s="7"/>
      <c r="G366" s="3" t="str">
        <f t="shared" si="5"/>
        <v/>
      </c>
    </row>
    <row r="367" spans="1:7" ht="14.25" customHeight="1" x14ac:dyDescent="0.3">
      <c r="A367" s="7"/>
      <c r="B367" s="7"/>
      <c r="C367" s="7"/>
      <c r="D367" s="7"/>
      <c r="E367" s="7"/>
      <c r="F367" s="7"/>
      <c r="G367" s="3" t="str">
        <f t="shared" si="5"/>
        <v/>
      </c>
    </row>
    <row r="368" spans="1:7" ht="14.25" customHeight="1" x14ac:dyDescent="0.3">
      <c r="A368" s="7"/>
      <c r="B368" s="7"/>
      <c r="C368" s="7"/>
      <c r="D368" s="7"/>
      <c r="E368" s="7"/>
      <c r="F368" s="7"/>
      <c r="G368" s="3" t="str">
        <f t="shared" si="5"/>
        <v/>
      </c>
    </row>
    <row r="369" spans="1:7" ht="14.25" customHeight="1" x14ac:dyDescent="0.3">
      <c r="A369" s="7"/>
      <c r="B369" s="7"/>
      <c r="C369" s="7"/>
      <c r="D369" s="7"/>
      <c r="E369" s="7"/>
      <c r="F369" s="7"/>
      <c r="G369" s="3" t="str">
        <f t="shared" si="5"/>
        <v/>
      </c>
    </row>
    <row r="370" spans="1:7" ht="14.25" customHeight="1" x14ac:dyDescent="0.3">
      <c r="A370" s="7"/>
      <c r="B370" s="7"/>
      <c r="C370" s="7"/>
      <c r="D370" s="7"/>
      <c r="E370" s="7"/>
      <c r="F370" s="7"/>
      <c r="G370" s="3" t="str">
        <f t="shared" si="5"/>
        <v/>
      </c>
    </row>
    <row r="371" spans="1:7" ht="14.25" customHeight="1" x14ac:dyDescent="0.3">
      <c r="A371" s="7"/>
      <c r="B371" s="7"/>
      <c r="C371" s="7"/>
      <c r="D371" s="7"/>
      <c r="E371" s="7"/>
      <c r="F371" s="7"/>
      <c r="G371" s="3" t="str">
        <f t="shared" si="5"/>
        <v/>
      </c>
    </row>
    <row r="372" spans="1:7" ht="14.25" customHeight="1" x14ac:dyDescent="0.3">
      <c r="A372" s="7"/>
      <c r="B372" s="7"/>
      <c r="C372" s="7"/>
      <c r="D372" s="7"/>
      <c r="E372" s="7"/>
      <c r="F372" s="7"/>
      <c r="G372" s="3" t="str">
        <f t="shared" si="5"/>
        <v/>
      </c>
    </row>
    <row r="373" spans="1:7" ht="14.25" customHeight="1" x14ac:dyDescent="0.3">
      <c r="A373" s="7"/>
      <c r="B373" s="7"/>
      <c r="C373" s="7"/>
      <c r="D373" s="7"/>
      <c r="E373" s="7"/>
      <c r="F373" s="7"/>
      <c r="G373" s="3" t="str">
        <f t="shared" si="5"/>
        <v/>
      </c>
    </row>
    <row r="374" spans="1:7" ht="14.25" customHeight="1" x14ac:dyDescent="0.3">
      <c r="A374" s="7"/>
      <c r="B374" s="7"/>
      <c r="C374" s="7"/>
      <c r="D374" s="7"/>
      <c r="E374" s="7"/>
      <c r="F374" s="7"/>
      <c r="G374" s="3" t="str">
        <f t="shared" si="5"/>
        <v/>
      </c>
    </row>
    <row r="375" spans="1:7" ht="14.25" customHeight="1" x14ac:dyDescent="0.3">
      <c r="A375" s="7"/>
      <c r="B375" s="7"/>
      <c r="C375" s="7"/>
      <c r="D375" s="7"/>
      <c r="E375" s="7"/>
      <c r="F375" s="7"/>
      <c r="G375" s="3" t="str">
        <f t="shared" si="5"/>
        <v/>
      </c>
    </row>
    <row r="376" spans="1:7" ht="14.25" customHeight="1" x14ac:dyDescent="0.3">
      <c r="A376" s="7"/>
      <c r="B376" s="7"/>
      <c r="C376" s="7"/>
      <c r="D376" s="7"/>
      <c r="E376" s="7"/>
      <c r="F376" s="7"/>
      <c r="G376" s="3" t="str">
        <f t="shared" si="5"/>
        <v/>
      </c>
    </row>
    <row r="377" spans="1:7" ht="14.25" customHeight="1" x14ac:dyDescent="0.3">
      <c r="A377" s="7"/>
      <c r="B377" s="7"/>
      <c r="C377" s="7"/>
      <c r="D377" s="7"/>
      <c r="E377" s="7"/>
      <c r="F377" s="7"/>
      <c r="G377" s="3" t="str">
        <f t="shared" si="5"/>
        <v/>
      </c>
    </row>
    <row r="378" spans="1:7" ht="14.25" customHeight="1" x14ac:dyDescent="0.3">
      <c r="A378" s="7"/>
      <c r="B378" s="7"/>
      <c r="C378" s="7"/>
      <c r="D378" s="7"/>
      <c r="E378" s="7"/>
      <c r="F378" s="7"/>
      <c r="G378" s="3" t="str">
        <f t="shared" si="5"/>
        <v/>
      </c>
    </row>
    <row r="379" spans="1:7" ht="14.25" customHeight="1" x14ac:dyDescent="0.3">
      <c r="A379" s="7"/>
      <c r="B379" s="7"/>
      <c r="C379" s="7"/>
      <c r="D379" s="7"/>
      <c r="E379" s="7"/>
      <c r="F379" s="7"/>
      <c r="G379" s="3" t="str">
        <f t="shared" si="5"/>
        <v/>
      </c>
    </row>
    <row r="380" spans="1:7" ht="14.25" customHeight="1" x14ac:dyDescent="0.3">
      <c r="A380" s="7"/>
      <c r="B380" s="7"/>
      <c r="C380" s="7"/>
      <c r="D380" s="7"/>
      <c r="E380" s="7"/>
      <c r="F380" s="7"/>
      <c r="G380" s="3" t="str">
        <f t="shared" si="5"/>
        <v/>
      </c>
    </row>
    <row r="381" spans="1:7" ht="14.25" customHeight="1" x14ac:dyDescent="0.3">
      <c r="A381" s="7"/>
      <c r="B381" s="7"/>
      <c r="C381" s="7"/>
      <c r="D381" s="7"/>
      <c r="E381" s="7"/>
      <c r="F381" s="7"/>
      <c r="G381" s="3" t="str">
        <f t="shared" si="5"/>
        <v/>
      </c>
    </row>
    <row r="382" spans="1:7" ht="14.25" customHeight="1" x14ac:dyDescent="0.3">
      <c r="A382" s="7"/>
      <c r="B382" s="7"/>
      <c r="C382" s="7"/>
      <c r="D382" s="7"/>
      <c r="E382" s="7"/>
      <c r="F382" s="7"/>
      <c r="G382" s="3" t="str">
        <f t="shared" si="5"/>
        <v/>
      </c>
    </row>
    <row r="383" spans="1:7" ht="14.25" customHeight="1" x14ac:dyDescent="0.3">
      <c r="A383" s="7"/>
      <c r="B383" s="7"/>
      <c r="C383" s="7"/>
      <c r="D383" s="7"/>
      <c r="E383" s="7"/>
      <c r="F383" s="7"/>
      <c r="G383" s="3" t="str">
        <f t="shared" si="5"/>
        <v/>
      </c>
    </row>
    <row r="384" spans="1:7" ht="14.25" customHeight="1" x14ac:dyDescent="0.3">
      <c r="A384" s="7"/>
      <c r="B384" s="7"/>
      <c r="C384" s="7"/>
      <c r="D384" s="7"/>
      <c r="E384" s="7"/>
      <c r="F384" s="7"/>
      <c r="G384" s="3" t="str">
        <f t="shared" si="5"/>
        <v/>
      </c>
    </row>
    <row r="385" spans="1:7" ht="14.25" customHeight="1" x14ac:dyDescent="0.3">
      <c r="A385" s="7"/>
      <c r="B385" s="7"/>
      <c r="C385" s="7"/>
      <c r="D385" s="7"/>
      <c r="E385" s="7"/>
      <c r="F385" s="7"/>
      <c r="G385" s="3" t="str">
        <f t="shared" si="5"/>
        <v/>
      </c>
    </row>
    <row r="386" spans="1:7" ht="14.25" customHeight="1" x14ac:dyDescent="0.3">
      <c r="A386" s="7"/>
      <c r="B386" s="7"/>
      <c r="C386" s="7"/>
      <c r="D386" s="7"/>
      <c r="E386" s="7"/>
      <c r="F386" s="7"/>
      <c r="G386" s="3" t="str">
        <f t="shared" ref="G386:G449" si="6">IF(COUNTA(A386:F386)=0,"",IF(COUNTIF($A$2:$A$1000,A386)&gt;1,"DUPLICATE COURSE CODE","OK"))</f>
        <v/>
      </c>
    </row>
    <row r="387" spans="1:7" ht="14.25" customHeight="1" x14ac:dyDescent="0.3">
      <c r="A387" s="7"/>
      <c r="B387" s="7"/>
      <c r="C387" s="7"/>
      <c r="D387" s="7"/>
      <c r="E387" s="7"/>
      <c r="F387" s="7"/>
      <c r="G387" s="3" t="str">
        <f t="shared" si="6"/>
        <v/>
      </c>
    </row>
    <row r="388" spans="1:7" ht="14.25" customHeight="1" x14ac:dyDescent="0.3">
      <c r="A388" s="7"/>
      <c r="B388" s="7"/>
      <c r="C388" s="7"/>
      <c r="D388" s="7"/>
      <c r="E388" s="7"/>
      <c r="F388" s="7"/>
      <c r="G388" s="3" t="str">
        <f t="shared" si="6"/>
        <v/>
      </c>
    </row>
    <row r="389" spans="1:7" ht="14.25" customHeight="1" x14ac:dyDescent="0.3">
      <c r="A389" s="7"/>
      <c r="B389" s="7"/>
      <c r="C389" s="7"/>
      <c r="D389" s="7"/>
      <c r="E389" s="7"/>
      <c r="F389" s="7"/>
      <c r="G389" s="3" t="str">
        <f t="shared" si="6"/>
        <v/>
      </c>
    </row>
    <row r="390" spans="1:7" ht="14.25" customHeight="1" x14ac:dyDescent="0.3">
      <c r="A390" s="7"/>
      <c r="B390" s="7"/>
      <c r="C390" s="7"/>
      <c r="D390" s="7"/>
      <c r="E390" s="7"/>
      <c r="F390" s="7"/>
      <c r="G390" s="3" t="str">
        <f t="shared" si="6"/>
        <v/>
      </c>
    </row>
    <row r="391" spans="1:7" ht="14.25" customHeight="1" x14ac:dyDescent="0.3">
      <c r="A391" s="7"/>
      <c r="B391" s="7"/>
      <c r="C391" s="7"/>
      <c r="D391" s="7"/>
      <c r="E391" s="7"/>
      <c r="F391" s="7"/>
      <c r="G391" s="3" t="str">
        <f t="shared" si="6"/>
        <v/>
      </c>
    </row>
    <row r="392" spans="1:7" ht="14.25" customHeight="1" x14ac:dyDescent="0.3">
      <c r="A392" s="7"/>
      <c r="B392" s="7"/>
      <c r="C392" s="7"/>
      <c r="D392" s="7"/>
      <c r="E392" s="7"/>
      <c r="F392" s="7"/>
      <c r="G392" s="3" t="str">
        <f t="shared" si="6"/>
        <v/>
      </c>
    </row>
    <row r="393" spans="1:7" ht="14.25" customHeight="1" x14ac:dyDescent="0.3">
      <c r="A393" s="7"/>
      <c r="B393" s="7"/>
      <c r="C393" s="7"/>
      <c r="D393" s="7"/>
      <c r="E393" s="7"/>
      <c r="F393" s="7"/>
      <c r="G393" s="3" t="str">
        <f t="shared" si="6"/>
        <v/>
      </c>
    </row>
    <row r="394" spans="1:7" ht="14.25" customHeight="1" x14ac:dyDescent="0.3">
      <c r="A394" s="7"/>
      <c r="B394" s="7"/>
      <c r="C394" s="7"/>
      <c r="D394" s="7"/>
      <c r="E394" s="7"/>
      <c r="F394" s="7"/>
      <c r="G394" s="3" t="str">
        <f t="shared" si="6"/>
        <v/>
      </c>
    </row>
    <row r="395" spans="1:7" ht="14.25" customHeight="1" x14ac:dyDescent="0.3">
      <c r="A395" s="7"/>
      <c r="B395" s="7"/>
      <c r="C395" s="7"/>
      <c r="D395" s="7"/>
      <c r="E395" s="7"/>
      <c r="F395" s="7"/>
      <c r="G395" s="3" t="str">
        <f t="shared" si="6"/>
        <v/>
      </c>
    </row>
    <row r="396" spans="1:7" ht="14.25" customHeight="1" x14ac:dyDescent="0.3">
      <c r="A396" s="7"/>
      <c r="B396" s="7"/>
      <c r="C396" s="7"/>
      <c r="D396" s="7"/>
      <c r="E396" s="7"/>
      <c r="F396" s="7"/>
      <c r="G396" s="3" t="str">
        <f t="shared" si="6"/>
        <v/>
      </c>
    </row>
    <row r="397" spans="1:7" ht="14.25" customHeight="1" x14ac:dyDescent="0.3">
      <c r="A397" s="7"/>
      <c r="B397" s="7"/>
      <c r="C397" s="7"/>
      <c r="D397" s="7"/>
      <c r="E397" s="7"/>
      <c r="F397" s="7"/>
      <c r="G397" s="3" t="str">
        <f t="shared" si="6"/>
        <v/>
      </c>
    </row>
    <row r="398" spans="1:7" ht="14.25" customHeight="1" x14ac:dyDescent="0.3">
      <c r="A398" s="7"/>
      <c r="B398" s="7"/>
      <c r="C398" s="7"/>
      <c r="D398" s="7"/>
      <c r="E398" s="7"/>
      <c r="F398" s="7"/>
      <c r="G398" s="3" t="str">
        <f t="shared" si="6"/>
        <v/>
      </c>
    </row>
    <row r="399" spans="1:7" ht="14.25" customHeight="1" x14ac:dyDescent="0.3">
      <c r="A399" s="7"/>
      <c r="B399" s="7"/>
      <c r="C399" s="7"/>
      <c r="D399" s="7"/>
      <c r="E399" s="7"/>
      <c r="F399" s="7"/>
      <c r="G399" s="3" t="str">
        <f t="shared" si="6"/>
        <v/>
      </c>
    </row>
    <row r="400" spans="1:7" ht="14.25" customHeight="1" x14ac:dyDescent="0.3">
      <c r="A400" s="7"/>
      <c r="B400" s="7"/>
      <c r="C400" s="7"/>
      <c r="D400" s="7"/>
      <c r="E400" s="7"/>
      <c r="F400" s="7"/>
      <c r="G400" s="3" t="str">
        <f t="shared" si="6"/>
        <v/>
      </c>
    </row>
    <row r="401" spans="1:7" ht="14.25" customHeight="1" x14ac:dyDescent="0.3">
      <c r="A401" s="7"/>
      <c r="B401" s="7"/>
      <c r="C401" s="7"/>
      <c r="D401" s="7"/>
      <c r="E401" s="7"/>
      <c r="F401" s="7"/>
      <c r="G401" s="3" t="str">
        <f t="shared" si="6"/>
        <v/>
      </c>
    </row>
    <row r="402" spans="1:7" ht="14.25" customHeight="1" x14ac:dyDescent="0.3">
      <c r="A402" s="7"/>
      <c r="B402" s="7"/>
      <c r="C402" s="7"/>
      <c r="D402" s="7"/>
      <c r="E402" s="7"/>
      <c r="F402" s="7"/>
      <c r="G402" s="3" t="str">
        <f t="shared" si="6"/>
        <v/>
      </c>
    </row>
    <row r="403" spans="1:7" ht="14.25" customHeight="1" x14ac:dyDescent="0.3">
      <c r="A403" s="7"/>
      <c r="B403" s="7"/>
      <c r="C403" s="7"/>
      <c r="D403" s="7"/>
      <c r="E403" s="7"/>
      <c r="F403" s="7"/>
      <c r="G403" s="3" t="str">
        <f t="shared" si="6"/>
        <v/>
      </c>
    </row>
    <row r="404" spans="1:7" ht="14.25" customHeight="1" x14ac:dyDescent="0.3">
      <c r="A404" s="7"/>
      <c r="B404" s="7"/>
      <c r="C404" s="7"/>
      <c r="D404" s="7"/>
      <c r="E404" s="7"/>
      <c r="F404" s="7"/>
      <c r="G404" s="3" t="str">
        <f t="shared" si="6"/>
        <v/>
      </c>
    </row>
    <row r="405" spans="1:7" ht="14.25" customHeight="1" x14ac:dyDescent="0.3">
      <c r="A405" s="7"/>
      <c r="B405" s="7"/>
      <c r="C405" s="7"/>
      <c r="D405" s="7"/>
      <c r="E405" s="7"/>
      <c r="F405" s="7"/>
      <c r="G405" s="3" t="str">
        <f t="shared" si="6"/>
        <v/>
      </c>
    </row>
    <row r="406" spans="1:7" ht="14.25" customHeight="1" x14ac:dyDescent="0.3">
      <c r="A406" s="7"/>
      <c r="B406" s="7"/>
      <c r="C406" s="7"/>
      <c r="D406" s="7"/>
      <c r="E406" s="7"/>
      <c r="F406" s="7"/>
      <c r="G406" s="3" t="str">
        <f t="shared" si="6"/>
        <v/>
      </c>
    </row>
    <row r="407" spans="1:7" ht="14.25" customHeight="1" x14ac:dyDescent="0.3">
      <c r="A407" s="7"/>
      <c r="B407" s="7"/>
      <c r="C407" s="7"/>
      <c r="D407" s="7"/>
      <c r="E407" s="7"/>
      <c r="F407" s="7"/>
      <c r="G407" s="3" t="str">
        <f t="shared" si="6"/>
        <v/>
      </c>
    </row>
    <row r="408" spans="1:7" ht="14.25" customHeight="1" x14ac:dyDescent="0.3">
      <c r="A408" s="7"/>
      <c r="B408" s="7"/>
      <c r="C408" s="7"/>
      <c r="D408" s="7"/>
      <c r="E408" s="7"/>
      <c r="F408" s="7"/>
      <c r="G408" s="3" t="str">
        <f t="shared" si="6"/>
        <v/>
      </c>
    </row>
    <row r="409" spans="1:7" ht="14.25" customHeight="1" x14ac:dyDescent="0.3">
      <c r="A409" s="7"/>
      <c r="B409" s="7"/>
      <c r="C409" s="7"/>
      <c r="D409" s="7"/>
      <c r="E409" s="7"/>
      <c r="F409" s="7"/>
      <c r="G409" s="3" t="str">
        <f t="shared" si="6"/>
        <v/>
      </c>
    </row>
    <row r="410" spans="1:7" ht="14.25" customHeight="1" x14ac:dyDescent="0.3">
      <c r="A410" s="7"/>
      <c r="B410" s="7"/>
      <c r="C410" s="7"/>
      <c r="D410" s="7"/>
      <c r="E410" s="7"/>
      <c r="F410" s="7"/>
      <c r="G410" s="3" t="str">
        <f t="shared" si="6"/>
        <v/>
      </c>
    </row>
    <row r="411" spans="1:7" ht="14.25" customHeight="1" x14ac:dyDescent="0.3">
      <c r="A411" s="7"/>
      <c r="B411" s="7"/>
      <c r="C411" s="7"/>
      <c r="D411" s="7"/>
      <c r="E411" s="7"/>
      <c r="F411" s="7"/>
      <c r="G411" s="3" t="str">
        <f t="shared" si="6"/>
        <v/>
      </c>
    </row>
    <row r="412" spans="1:7" ht="14.25" customHeight="1" x14ac:dyDescent="0.3">
      <c r="A412" s="7"/>
      <c r="B412" s="7"/>
      <c r="C412" s="7"/>
      <c r="D412" s="7"/>
      <c r="E412" s="7"/>
      <c r="F412" s="7"/>
      <c r="G412" s="3" t="str">
        <f t="shared" si="6"/>
        <v/>
      </c>
    </row>
    <row r="413" spans="1:7" ht="14.25" customHeight="1" x14ac:dyDescent="0.3">
      <c r="A413" s="7"/>
      <c r="B413" s="7"/>
      <c r="C413" s="7"/>
      <c r="D413" s="7"/>
      <c r="E413" s="7"/>
      <c r="F413" s="7"/>
      <c r="G413" s="3" t="str">
        <f t="shared" si="6"/>
        <v/>
      </c>
    </row>
    <row r="414" spans="1:7" ht="14.25" customHeight="1" x14ac:dyDescent="0.3">
      <c r="A414" s="7"/>
      <c r="B414" s="7"/>
      <c r="C414" s="7"/>
      <c r="D414" s="7"/>
      <c r="E414" s="7"/>
      <c r="F414" s="7"/>
      <c r="G414" s="3" t="str">
        <f t="shared" si="6"/>
        <v/>
      </c>
    </row>
    <row r="415" spans="1:7" ht="14.25" customHeight="1" x14ac:dyDescent="0.3">
      <c r="A415" s="7"/>
      <c r="B415" s="7"/>
      <c r="C415" s="7"/>
      <c r="D415" s="7"/>
      <c r="E415" s="7"/>
      <c r="F415" s="7"/>
      <c r="G415" s="3" t="str">
        <f t="shared" si="6"/>
        <v/>
      </c>
    </row>
    <row r="416" spans="1:7" ht="14.25" customHeight="1" x14ac:dyDescent="0.3">
      <c r="A416" s="7"/>
      <c r="B416" s="7"/>
      <c r="C416" s="7"/>
      <c r="D416" s="7"/>
      <c r="E416" s="7"/>
      <c r="F416" s="7"/>
      <c r="G416" s="3" t="str">
        <f t="shared" si="6"/>
        <v/>
      </c>
    </row>
    <row r="417" spans="1:7" ht="14.25" customHeight="1" x14ac:dyDescent="0.3">
      <c r="A417" s="7"/>
      <c r="B417" s="7"/>
      <c r="C417" s="7"/>
      <c r="D417" s="7"/>
      <c r="E417" s="7"/>
      <c r="F417" s="7"/>
      <c r="G417" s="3" t="str">
        <f t="shared" si="6"/>
        <v/>
      </c>
    </row>
    <row r="418" spans="1:7" ht="14.25" customHeight="1" x14ac:dyDescent="0.3">
      <c r="A418" s="7"/>
      <c r="B418" s="7"/>
      <c r="C418" s="7"/>
      <c r="D418" s="7"/>
      <c r="E418" s="7"/>
      <c r="F418" s="7"/>
      <c r="G418" s="3" t="str">
        <f t="shared" si="6"/>
        <v/>
      </c>
    </row>
    <row r="419" spans="1:7" ht="14.25" customHeight="1" x14ac:dyDescent="0.3">
      <c r="A419" s="7"/>
      <c r="B419" s="7"/>
      <c r="C419" s="7"/>
      <c r="D419" s="7"/>
      <c r="E419" s="7"/>
      <c r="F419" s="7"/>
      <c r="G419" s="3" t="str">
        <f t="shared" si="6"/>
        <v/>
      </c>
    </row>
    <row r="420" spans="1:7" ht="14.25" customHeight="1" x14ac:dyDescent="0.3">
      <c r="A420" s="7"/>
      <c r="B420" s="7"/>
      <c r="C420" s="7"/>
      <c r="D420" s="7"/>
      <c r="E420" s="7"/>
      <c r="F420" s="7"/>
      <c r="G420" s="3" t="str">
        <f t="shared" si="6"/>
        <v/>
      </c>
    </row>
    <row r="421" spans="1:7" ht="14.25" customHeight="1" x14ac:dyDescent="0.3">
      <c r="A421" s="7"/>
      <c r="B421" s="7"/>
      <c r="C421" s="7"/>
      <c r="D421" s="7"/>
      <c r="E421" s="7"/>
      <c r="F421" s="7"/>
      <c r="G421" s="3" t="str">
        <f t="shared" si="6"/>
        <v/>
      </c>
    </row>
    <row r="422" spans="1:7" ht="14.25" customHeight="1" x14ac:dyDescent="0.3">
      <c r="A422" s="7"/>
      <c r="B422" s="7"/>
      <c r="C422" s="7"/>
      <c r="D422" s="7"/>
      <c r="E422" s="7"/>
      <c r="F422" s="7"/>
      <c r="G422" s="3" t="str">
        <f t="shared" si="6"/>
        <v/>
      </c>
    </row>
    <row r="423" spans="1:7" ht="14.25" customHeight="1" x14ac:dyDescent="0.3">
      <c r="A423" s="7"/>
      <c r="B423" s="7"/>
      <c r="C423" s="7"/>
      <c r="D423" s="7"/>
      <c r="E423" s="7"/>
      <c r="F423" s="7"/>
      <c r="G423" s="3" t="str">
        <f t="shared" si="6"/>
        <v/>
      </c>
    </row>
    <row r="424" spans="1:7" ht="14.25" customHeight="1" x14ac:dyDescent="0.3">
      <c r="A424" s="7"/>
      <c r="B424" s="7"/>
      <c r="C424" s="7"/>
      <c r="D424" s="7"/>
      <c r="E424" s="7"/>
      <c r="F424" s="7"/>
      <c r="G424" s="3" t="str">
        <f t="shared" si="6"/>
        <v/>
      </c>
    </row>
    <row r="425" spans="1:7" ht="14.25" customHeight="1" x14ac:dyDescent="0.3">
      <c r="A425" s="7"/>
      <c r="B425" s="7"/>
      <c r="C425" s="7"/>
      <c r="D425" s="7"/>
      <c r="E425" s="7"/>
      <c r="F425" s="7"/>
      <c r="G425" s="3" t="str">
        <f t="shared" si="6"/>
        <v/>
      </c>
    </row>
    <row r="426" spans="1:7" ht="14.25" customHeight="1" x14ac:dyDescent="0.3">
      <c r="A426" s="7"/>
      <c r="B426" s="7"/>
      <c r="C426" s="7"/>
      <c r="D426" s="7"/>
      <c r="E426" s="7"/>
      <c r="F426" s="7"/>
      <c r="G426" s="3" t="str">
        <f t="shared" si="6"/>
        <v/>
      </c>
    </row>
    <row r="427" spans="1:7" ht="14.25" customHeight="1" x14ac:dyDescent="0.3">
      <c r="A427" s="7"/>
      <c r="B427" s="7"/>
      <c r="C427" s="7"/>
      <c r="D427" s="7"/>
      <c r="E427" s="7"/>
      <c r="F427" s="7"/>
      <c r="G427" s="3" t="str">
        <f t="shared" si="6"/>
        <v/>
      </c>
    </row>
    <row r="428" spans="1:7" ht="14.25" customHeight="1" x14ac:dyDescent="0.3">
      <c r="A428" s="7"/>
      <c r="B428" s="7"/>
      <c r="C428" s="7"/>
      <c r="D428" s="7"/>
      <c r="E428" s="7"/>
      <c r="F428" s="7"/>
      <c r="G428" s="3" t="str">
        <f t="shared" si="6"/>
        <v/>
      </c>
    </row>
    <row r="429" spans="1:7" ht="14.25" customHeight="1" x14ac:dyDescent="0.3">
      <c r="A429" s="7"/>
      <c r="B429" s="7"/>
      <c r="C429" s="7"/>
      <c r="D429" s="7"/>
      <c r="E429" s="7"/>
      <c r="F429" s="7"/>
      <c r="G429" s="3" t="str">
        <f t="shared" si="6"/>
        <v/>
      </c>
    </row>
    <row r="430" spans="1:7" ht="14.25" customHeight="1" x14ac:dyDescent="0.3">
      <c r="A430" s="7"/>
      <c r="B430" s="7"/>
      <c r="C430" s="7"/>
      <c r="D430" s="7"/>
      <c r="E430" s="7"/>
      <c r="F430" s="7"/>
      <c r="G430" s="3" t="str">
        <f t="shared" si="6"/>
        <v/>
      </c>
    </row>
    <row r="431" spans="1:7" ht="14.25" customHeight="1" x14ac:dyDescent="0.3">
      <c r="A431" s="7"/>
      <c r="B431" s="7"/>
      <c r="C431" s="7"/>
      <c r="D431" s="7"/>
      <c r="E431" s="7"/>
      <c r="F431" s="7"/>
      <c r="G431" s="3" t="str">
        <f t="shared" si="6"/>
        <v/>
      </c>
    </row>
    <row r="432" spans="1:7" ht="14.25" customHeight="1" x14ac:dyDescent="0.3">
      <c r="A432" s="7"/>
      <c r="B432" s="7"/>
      <c r="C432" s="7"/>
      <c r="D432" s="7"/>
      <c r="E432" s="7"/>
      <c r="F432" s="7"/>
      <c r="G432" s="3" t="str">
        <f t="shared" si="6"/>
        <v/>
      </c>
    </row>
    <row r="433" spans="1:7" ht="14.25" customHeight="1" x14ac:dyDescent="0.3">
      <c r="A433" s="7"/>
      <c r="B433" s="7"/>
      <c r="C433" s="7"/>
      <c r="D433" s="7"/>
      <c r="E433" s="7"/>
      <c r="F433" s="7"/>
      <c r="G433" s="3" t="str">
        <f t="shared" si="6"/>
        <v/>
      </c>
    </row>
    <row r="434" spans="1:7" ht="14.25" customHeight="1" x14ac:dyDescent="0.3">
      <c r="A434" s="7"/>
      <c r="B434" s="7"/>
      <c r="C434" s="7"/>
      <c r="D434" s="7"/>
      <c r="E434" s="7"/>
      <c r="F434" s="7"/>
      <c r="G434" s="3" t="str">
        <f t="shared" si="6"/>
        <v/>
      </c>
    </row>
    <row r="435" spans="1:7" ht="14.25" customHeight="1" x14ac:dyDescent="0.3">
      <c r="A435" s="7"/>
      <c r="B435" s="7"/>
      <c r="C435" s="7"/>
      <c r="D435" s="7"/>
      <c r="E435" s="7"/>
      <c r="F435" s="7"/>
      <c r="G435" s="3" t="str">
        <f t="shared" si="6"/>
        <v/>
      </c>
    </row>
    <row r="436" spans="1:7" ht="14.25" customHeight="1" x14ac:dyDescent="0.3">
      <c r="A436" s="7"/>
      <c r="B436" s="7"/>
      <c r="C436" s="7"/>
      <c r="D436" s="7"/>
      <c r="E436" s="7"/>
      <c r="F436" s="7"/>
      <c r="G436" s="3" t="str">
        <f t="shared" si="6"/>
        <v/>
      </c>
    </row>
    <row r="437" spans="1:7" ht="14.25" customHeight="1" x14ac:dyDescent="0.3">
      <c r="A437" s="7"/>
      <c r="B437" s="7"/>
      <c r="C437" s="7"/>
      <c r="D437" s="7"/>
      <c r="E437" s="7"/>
      <c r="F437" s="7"/>
      <c r="G437" s="3" t="str">
        <f t="shared" si="6"/>
        <v/>
      </c>
    </row>
    <row r="438" spans="1:7" ht="14.25" customHeight="1" x14ac:dyDescent="0.3">
      <c r="A438" s="7"/>
      <c r="B438" s="7"/>
      <c r="C438" s="7"/>
      <c r="D438" s="7"/>
      <c r="E438" s="7"/>
      <c r="F438" s="7"/>
      <c r="G438" s="3" t="str">
        <f t="shared" si="6"/>
        <v/>
      </c>
    </row>
    <row r="439" spans="1:7" ht="14.25" customHeight="1" x14ac:dyDescent="0.3">
      <c r="A439" s="7"/>
      <c r="B439" s="7"/>
      <c r="C439" s="7"/>
      <c r="D439" s="7"/>
      <c r="E439" s="7"/>
      <c r="F439" s="7"/>
      <c r="G439" s="3" t="str">
        <f t="shared" si="6"/>
        <v/>
      </c>
    </row>
    <row r="440" spans="1:7" ht="14.25" customHeight="1" x14ac:dyDescent="0.3">
      <c r="A440" s="7"/>
      <c r="B440" s="7"/>
      <c r="C440" s="7"/>
      <c r="D440" s="7"/>
      <c r="E440" s="7"/>
      <c r="F440" s="7"/>
      <c r="G440" s="3" t="str">
        <f t="shared" si="6"/>
        <v/>
      </c>
    </row>
    <row r="441" spans="1:7" ht="14.25" customHeight="1" x14ac:dyDescent="0.3">
      <c r="A441" s="7"/>
      <c r="B441" s="7"/>
      <c r="C441" s="7"/>
      <c r="D441" s="7"/>
      <c r="E441" s="7"/>
      <c r="F441" s="7"/>
      <c r="G441" s="3" t="str">
        <f t="shared" si="6"/>
        <v/>
      </c>
    </row>
    <row r="442" spans="1:7" ht="14.25" customHeight="1" x14ac:dyDescent="0.3">
      <c r="A442" s="7"/>
      <c r="B442" s="7"/>
      <c r="C442" s="7"/>
      <c r="D442" s="7"/>
      <c r="E442" s="7"/>
      <c r="F442" s="7"/>
      <c r="G442" s="3" t="str">
        <f t="shared" si="6"/>
        <v/>
      </c>
    </row>
    <row r="443" spans="1:7" ht="14.25" customHeight="1" x14ac:dyDescent="0.3">
      <c r="A443" s="7"/>
      <c r="B443" s="7"/>
      <c r="C443" s="7"/>
      <c r="D443" s="7"/>
      <c r="E443" s="7"/>
      <c r="F443" s="7"/>
      <c r="G443" s="3" t="str">
        <f t="shared" si="6"/>
        <v/>
      </c>
    </row>
    <row r="444" spans="1:7" ht="14.25" customHeight="1" x14ac:dyDescent="0.3">
      <c r="A444" s="7"/>
      <c r="B444" s="7"/>
      <c r="C444" s="7"/>
      <c r="D444" s="7"/>
      <c r="E444" s="7"/>
      <c r="F444" s="7"/>
      <c r="G444" s="3" t="str">
        <f t="shared" si="6"/>
        <v/>
      </c>
    </row>
    <row r="445" spans="1:7" ht="14.25" customHeight="1" x14ac:dyDescent="0.3">
      <c r="A445" s="7"/>
      <c r="B445" s="7"/>
      <c r="C445" s="7"/>
      <c r="D445" s="7"/>
      <c r="E445" s="7"/>
      <c r="F445" s="7"/>
      <c r="G445" s="3" t="str">
        <f t="shared" si="6"/>
        <v/>
      </c>
    </row>
    <row r="446" spans="1:7" ht="14.25" customHeight="1" x14ac:dyDescent="0.3">
      <c r="A446" s="7"/>
      <c r="B446" s="7"/>
      <c r="C446" s="7"/>
      <c r="D446" s="7"/>
      <c r="E446" s="7"/>
      <c r="F446" s="7"/>
      <c r="G446" s="3" t="str">
        <f t="shared" si="6"/>
        <v/>
      </c>
    </row>
    <row r="447" spans="1:7" ht="14.25" customHeight="1" x14ac:dyDescent="0.3">
      <c r="A447" s="7"/>
      <c r="B447" s="7"/>
      <c r="C447" s="7"/>
      <c r="D447" s="7"/>
      <c r="E447" s="7"/>
      <c r="F447" s="7"/>
      <c r="G447" s="3" t="str">
        <f t="shared" si="6"/>
        <v/>
      </c>
    </row>
    <row r="448" spans="1:7" ht="14.25" customHeight="1" x14ac:dyDescent="0.3">
      <c r="A448" s="7"/>
      <c r="B448" s="7"/>
      <c r="C448" s="7"/>
      <c r="D448" s="7"/>
      <c r="E448" s="7"/>
      <c r="F448" s="7"/>
      <c r="G448" s="3" t="str">
        <f t="shared" si="6"/>
        <v/>
      </c>
    </row>
    <row r="449" spans="1:7" ht="14.25" customHeight="1" x14ac:dyDescent="0.3">
      <c r="A449" s="7"/>
      <c r="B449" s="7"/>
      <c r="C449" s="7"/>
      <c r="D449" s="7"/>
      <c r="E449" s="7"/>
      <c r="F449" s="7"/>
      <c r="G449" s="3" t="str">
        <f t="shared" si="6"/>
        <v/>
      </c>
    </row>
    <row r="450" spans="1:7" ht="14.25" customHeight="1" x14ac:dyDescent="0.3">
      <c r="A450" s="7"/>
      <c r="B450" s="7"/>
      <c r="C450" s="7"/>
      <c r="D450" s="7"/>
      <c r="E450" s="7"/>
      <c r="F450" s="7"/>
      <c r="G450" s="3" t="str">
        <f t="shared" ref="G450:G513" si="7">IF(COUNTA(A450:F450)=0,"",IF(COUNTIF($A$2:$A$1000,A450)&gt;1,"DUPLICATE COURSE CODE","OK"))</f>
        <v/>
      </c>
    </row>
    <row r="451" spans="1:7" ht="14.25" customHeight="1" x14ac:dyDescent="0.3">
      <c r="A451" s="7"/>
      <c r="B451" s="7"/>
      <c r="C451" s="7"/>
      <c r="D451" s="7"/>
      <c r="E451" s="7"/>
      <c r="F451" s="7"/>
      <c r="G451" s="3" t="str">
        <f t="shared" si="7"/>
        <v/>
      </c>
    </row>
    <row r="452" spans="1:7" ht="14.25" customHeight="1" x14ac:dyDescent="0.3">
      <c r="A452" s="7"/>
      <c r="B452" s="7"/>
      <c r="C452" s="7"/>
      <c r="D452" s="7"/>
      <c r="E452" s="7"/>
      <c r="F452" s="7"/>
      <c r="G452" s="3" t="str">
        <f t="shared" si="7"/>
        <v/>
      </c>
    </row>
    <row r="453" spans="1:7" ht="14.25" customHeight="1" x14ac:dyDescent="0.3">
      <c r="A453" s="7"/>
      <c r="B453" s="7"/>
      <c r="C453" s="7"/>
      <c r="D453" s="7"/>
      <c r="E453" s="7"/>
      <c r="F453" s="7"/>
      <c r="G453" s="3" t="str">
        <f t="shared" si="7"/>
        <v/>
      </c>
    </row>
    <row r="454" spans="1:7" ht="14.25" customHeight="1" x14ac:dyDescent="0.3">
      <c r="A454" s="7"/>
      <c r="B454" s="7"/>
      <c r="C454" s="7"/>
      <c r="D454" s="7"/>
      <c r="E454" s="7"/>
      <c r="F454" s="7"/>
      <c r="G454" s="3" t="str">
        <f t="shared" si="7"/>
        <v/>
      </c>
    </row>
    <row r="455" spans="1:7" ht="14.25" customHeight="1" x14ac:dyDescent="0.3">
      <c r="A455" s="7"/>
      <c r="B455" s="7"/>
      <c r="C455" s="7"/>
      <c r="D455" s="7"/>
      <c r="E455" s="7"/>
      <c r="F455" s="7"/>
      <c r="G455" s="3" t="str">
        <f t="shared" si="7"/>
        <v/>
      </c>
    </row>
    <row r="456" spans="1:7" ht="14.25" customHeight="1" x14ac:dyDescent="0.3">
      <c r="A456" s="7"/>
      <c r="B456" s="7"/>
      <c r="C456" s="7"/>
      <c r="D456" s="7"/>
      <c r="E456" s="7"/>
      <c r="F456" s="7"/>
      <c r="G456" s="3" t="str">
        <f t="shared" si="7"/>
        <v/>
      </c>
    </row>
    <row r="457" spans="1:7" ht="14.25" customHeight="1" x14ac:dyDescent="0.3">
      <c r="A457" s="7"/>
      <c r="B457" s="7"/>
      <c r="C457" s="7"/>
      <c r="D457" s="7"/>
      <c r="E457" s="7"/>
      <c r="F457" s="7"/>
      <c r="G457" s="3" t="str">
        <f t="shared" si="7"/>
        <v/>
      </c>
    </row>
    <row r="458" spans="1:7" ht="14.25" customHeight="1" x14ac:dyDescent="0.3">
      <c r="A458" s="7"/>
      <c r="B458" s="7"/>
      <c r="C458" s="7"/>
      <c r="D458" s="7"/>
      <c r="E458" s="7"/>
      <c r="F458" s="7"/>
      <c r="G458" s="3" t="str">
        <f t="shared" si="7"/>
        <v/>
      </c>
    </row>
    <row r="459" spans="1:7" ht="14.25" customHeight="1" x14ac:dyDescent="0.3">
      <c r="A459" s="7"/>
      <c r="B459" s="7"/>
      <c r="C459" s="7"/>
      <c r="D459" s="7"/>
      <c r="E459" s="7"/>
      <c r="F459" s="7"/>
      <c r="G459" s="3" t="str">
        <f t="shared" si="7"/>
        <v/>
      </c>
    </row>
    <row r="460" spans="1:7" ht="14.25" customHeight="1" x14ac:dyDescent="0.3">
      <c r="A460" s="7"/>
      <c r="B460" s="7"/>
      <c r="C460" s="7"/>
      <c r="D460" s="7"/>
      <c r="E460" s="7"/>
      <c r="F460" s="7"/>
      <c r="G460" s="3" t="str">
        <f t="shared" si="7"/>
        <v/>
      </c>
    </row>
    <row r="461" spans="1:7" ht="14.25" customHeight="1" x14ac:dyDescent="0.3">
      <c r="A461" s="7"/>
      <c r="B461" s="7"/>
      <c r="C461" s="7"/>
      <c r="D461" s="7"/>
      <c r="E461" s="7"/>
      <c r="F461" s="7"/>
      <c r="G461" s="3" t="str">
        <f t="shared" si="7"/>
        <v/>
      </c>
    </row>
    <row r="462" spans="1:7" ht="14.25" customHeight="1" x14ac:dyDescent="0.3">
      <c r="A462" s="7"/>
      <c r="B462" s="7"/>
      <c r="C462" s="7"/>
      <c r="D462" s="7"/>
      <c r="E462" s="7"/>
      <c r="F462" s="7"/>
      <c r="G462" s="3" t="str">
        <f t="shared" si="7"/>
        <v/>
      </c>
    </row>
    <row r="463" spans="1:7" ht="14.25" customHeight="1" x14ac:dyDescent="0.3">
      <c r="A463" s="7"/>
      <c r="B463" s="7"/>
      <c r="C463" s="7"/>
      <c r="D463" s="7"/>
      <c r="E463" s="7"/>
      <c r="F463" s="7"/>
      <c r="G463" s="3" t="str">
        <f t="shared" si="7"/>
        <v/>
      </c>
    </row>
    <row r="464" spans="1:7" ht="14.25" customHeight="1" x14ac:dyDescent="0.3">
      <c r="A464" s="7"/>
      <c r="B464" s="7"/>
      <c r="C464" s="7"/>
      <c r="D464" s="7"/>
      <c r="E464" s="7"/>
      <c r="F464" s="7"/>
      <c r="G464" s="3" t="str">
        <f t="shared" si="7"/>
        <v/>
      </c>
    </row>
    <row r="465" spans="1:7" ht="14.25" customHeight="1" x14ac:dyDescent="0.3">
      <c r="A465" s="7"/>
      <c r="B465" s="7"/>
      <c r="C465" s="7"/>
      <c r="D465" s="7"/>
      <c r="E465" s="7"/>
      <c r="F465" s="7"/>
      <c r="G465" s="3" t="str">
        <f t="shared" si="7"/>
        <v/>
      </c>
    </row>
    <row r="466" spans="1:7" ht="14.25" customHeight="1" x14ac:dyDescent="0.3">
      <c r="A466" s="7"/>
      <c r="B466" s="7"/>
      <c r="C466" s="7"/>
      <c r="D466" s="7"/>
      <c r="E466" s="7"/>
      <c r="F466" s="7"/>
      <c r="G466" s="3" t="str">
        <f t="shared" si="7"/>
        <v/>
      </c>
    </row>
    <row r="467" spans="1:7" ht="14.25" customHeight="1" x14ac:dyDescent="0.3">
      <c r="A467" s="7"/>
      <c r="B467" s="7"/>
      <c r="C467" s="7"/>
      <c r="D467" s="7"/>
      <c r="E467" s="7"/>
      <c r="F467" s="7"/>
      <c r="G467" s="3" t="str">
        <f t="shared" si="7"/>
        <v/>
      </c>
    </row>
    <row r="468" spans="1:7" ht="14.25" customHeight="1" x14ac:dyDescent="0.3">
      <c r="A468" s="7"/>
      <c r="B468" s="7"/>
      <c r="C468" s="7"/>
      <c r="D468" s="7"/>
      <c r="E468" s="7"/>
      <c r="F468" s="7"/>
      <c r="G468" s="3" t="str">
        <f t="shared" si="7"/>
        <v/>
      </c>
    </row>
    <row r="469" spans="1:7" ht="14.25" customHeight="1" x14ac:dyDescent="0.3">
      <c r="A469" s="7"/>
      <c r="B469" s="7"/>
      <c r="C469" s="7"/>
      <c r="D469" s="7"/>
      <c r="E469" s="7"/>
      <c r="F469" s="7"/>
      <c r="G469" s="3" t="str">
        <f t="shared" si="7"/>
        <v/>
      </c>
    </row>
    <row r="470" spans="1:7" ht="14.25" customHeight="1" x14ac:dyDescent="0.3">
      <c r="A470" s="7"/>
      <c r="B470" s="7"/>
      <c r="C470" s="7"/>
      <c r="D470" s="7"/>
      <c r="E470" s="7"/>
      <c r="F470" s="7"/>
      <c r="G470" s="3" t="str">
        <f t="shared" si="7"/>
        <v/>
      </c>
    </row>
    <row r="471" spans="1:7" ht="14.25" customHeight="1" x14ac:dyDescent="0.3">
      <c r="A471" s="7"/>
      <c r="B471" s="7"/>
      <c r="C471" s="7"/>
      <c r="D471" s="7"/>
      <c r="E471" s="7"/>
      <c r="F471" s="7"/>
      <c r="G471" s="3" t="str">
        <f t="shared" si="7"/>
        <v/>
      </c>
    </row>
    <row r="472" spans="1:7" ht="14.25" customHeight="1" x14ac:dyDescent="0.3">
      <c r="A472" s="7"/>
      <c r="B472" s="7"/>
      <c r="C472" s="7"/>
      <c r="D472" s="7"/>
      <c r="E472" s="7"/>
      <c r="F472" s="7"/>
      <c r="G472" s="3" t="str">
        <f t="shared" si="7"/>
        <v/>
      </c>
    </row>
    <row r="473" spans="1:7" ht="14.25" customHeight="1" x14ac:dyDescent="0.3">
      <c r="A473" s="7"/>
      <c r="B473" s="7"/>
      <c r="C473" s="7"/>
      <c r="D473" s="7"/>
      <c r="E473" s="7"/>
      <c r="F473" s="7"/>
      <c r="G473" s="3" t="str">
        <f t="shared" si="7"/>
        <v/>
      </c>
    </row>
    <row r="474" spans="1:7" ht="14.25" customHeight="1" x14ac:dyDescent="0.3">
      <c r="A474" s="7"/>
      <c r="B474" s="7"/>
      <c r="C474" s="7"/>
      <c r="D474" s="7"/>
      <c r="E474" s="7"/>
      <c r="F474" s="7"/>
      <c r="G474" s="3" t="str">
        <f t="shared" si="7"/>
        <v/>
      </c>
    </row>
    <row r="475" spans="1:7" ht="14.25" customHeight="1" x14ac:dyDescent="0.3">
      <c r="A475" s="7"/>
      <c r="B475" s="7"/>
      <c r="C475" s="7"/>
      <c r="D475" s="7"/>
      <c r="E475" s="7"/>
      <c r="F475" s="7"/>
      <c r="G475" s="3" t="str">
        <f t="shared" si="7"/>
        <v/>
      </c>
    </row>
    <row r="476" spans="1:7" ht="14.25" customHeight="1" x14ac:dyDescent="0.3">
      <c r="A476" s="7"/>
      <c r="B476" s="7"/>
      <c r="C476" s="7"/>
      <c r="D476" s="7"/>
      <c r="E476" s="7"/>
      <c r="F476" s="7"/>
      <c r="G476" s="3" t="str">
        <f t="shared" si="7"/>
        <v/>
      </c>
    </row>
    <row r="477" spans="1:7" ht="14.25" customHeight="1" x14ac:dyDescent="0.3">
      <c r="A477" s="7"/>
      <c r="B477" s="7"/>
      <c r="C477" s="7"/>
      <c r="D477" s="7"/>
      <c r="E477" s="7"/>
      <c r="F477" s="7"/>
      <c r="G477" s="3" t="str">
        <f t="shared" si="7"/>
        <v/>
      </c>
    </row>
    <row r="478" spans="1:7" ht="14.25" customHeight="1" x14ac:dyDescent="0.3">
      <c r="A478" s="7"/>
      <c r="B478" s="7"/>
      <c r="C478" s="7"/>
      <c r="D478" s="7"/>
      <c r="E478" s="7"/>
      <c r="F478" s="7"/>
      <c r="G478" s="3" t="str">
        <f t="shared" si="7"/>
        <v/>
      </c>
    </row>
    <row r="479" spans="1:7" ht="14.25" customHeight="1" x14ac:dyDescent="0.3">
      <c r="A479" s="7"/>
      <c r="B479" s="7"/>
      <c r="C479" s="7"/>
      <c r="D479" s="7"/>
      <c r="E479" s="7"/>
      <c r="F479" s="7"/>
      <c r="G479" s="3" t="str">
        <f t="shared" si="7"/>
        <v/>
      </c>
    </row>
    <row r="480" spans="1:7" ht="14.25" customHeight="1" x14ac:dyDescent="0.3">
      <c r="A480" s="7"/>
      <c r="B480" s="7"/>
      <c r="C480" s="7"/>
      <c r="D480" s="7"/>
      <c r="E480" s="7"/>
      <c r="F480" s="7"/>
      <c r="G480" s="3" t="str">
        <f t="shared" si="7"/>
        <v/>
      </c>
    </row>
    <row r="481" spans="1:7" ht="14.25" customHeight="1" x14ac:dyDescent="0.3">
      <c r="A481" s="7"/>
      <c r="B481" s="7"/>
      <c r="C481" s="7"/>
      <c r="D481" s="7"/>
      <c r="E481" s="7"/>
      <c r="F481" s="7"/>
      <c r="G481" s="3" t="str">
        <f t="shared" si="7"/>
        <v/>
      </c>
    </row>
    <row r="482" spans="1:7" ht="14.25" customHeight="1" x14ac:dyDescent="0.3">
      <c r="A482" s="7"/>
      <c r="B482" s="7"/>
      <c r="C482" s="7"/>
      <c r="D482" s="7"/>
      <c r="E482" s="7"/>
      <c r="F482" s="7"/>
      <c r="G482" s="3" t="str">
        <f t="shared" si="7"/>
        <v/>
      </c>
    </row>
    <row r="483" spans="1:7" ht="14.25" customHeight="1" x14ac:dyDescent="0.3">
      <c r="A483" s="7"/>
      <c r="B483" s="7"/>
      <c r="C483" s="7"/>
      <c r="D483" s="7"/>
      <c r="E483" s="7"/>
      <c r="F483" s="7"/>
      <c r="G483" s="3" t="str">
        <f t="shared" si="7"/>
        <v/>
      </c>
    </row>
    <row r="484" spans="1:7" ht="14.25" customHeight="1" x14ac:dyDescent="0.3">
      <c r="A484" s="7"/>
      <c r="B484" s="7"/>
      <c r="C484" s="7"/>
      <c r="D484" s="7"/>
      <c r="E484" s="7"/>
      <c r="F484" s="7"/>
      <c r="G484" s="3" t="str">
        <f t="shared" si="7"/>
        <v/>
      </c>
    </row>
    <row r="485" spans="1:7" ht="14.25" customHeight="1" x14ac:dyDescent="0.3">
      <c r="A485" s="7"/>
      <c r="B485" s="7"/>
      <c r="C485" s="7"/>
      <c r="D485" s="7"/>
      <c r="E485" s="7"/>
      <c r="F485" s="7"/>
      <c r="G485" s="3" t="str">
        <f t="shared" si="7"/>
        <v/>
      </c>
    </row>
    <row r="486" spans="1:7" ht="14.25" customHeight="1" x14ac:dyDescent="0.3">
      <c r="A486" s="7"/>
      <c r="B486" s="7"/>
      <c r="C486" s="7"/>
      <c r="D486" s="7"/>
      <c r="E486" s="7"/>
      <c r="F486" s="7"/>
      <c r="G486" s="3" t="str">
        <f t="shared" si="7"/>
        <v/>
      </c>
    </row>
    <row r="487" spans="1:7" ht="14.25" customHeight="1" x14ac:dyDescent="0.3">
      <c r="A487" s="7"/>
      <c r="B487" s="7"/>
      <c r="C487" s="7"/>
      <c r="D487" s="7"/>
      <c r="E487" s="7"/>
      <c r="F487" s="7"/>
      <c r="G487" s="3" t="str">
        <f t="shared" si="7"/>
        <v/>
      </c>
    </row>
    <row r="488" spans="1:7" ht="14.25" customHeight="1" x14ac:dyDescent="0.3">
      <c r="A488" s="7"/>
      <c r="B488" s="7"/>
      <c r="C488" s="7"/>
      <c r="D488" s="7"/>
      <c r="E488" s="7"/>
      <c r="F488" s="7"/>
      <c r="G488" s="3" t="str">
        <f t="shared" si="7"/>
        <v/>
      </c>
    </row>
    <row r="489" spans="1:7" ht="14.25" customHeight="1" x14ac:dyDescent="0.3">
      <c r="A489" s="7"/>
      <c r="B489" s="7"/>
      <c r="C489" s="7"/>
      <c r="D489" s="7"/>
      <c r="E489" s="7"/>
      <c r="F489" s="7"/>
      <c r="G489" s="3" t="str">
        <f t="shared" si="7"/>
        <v/>
      </c>
    </row>
    <row r="490" spans="1:7" ht="14.25" customHeight="1" x14ac:dyDescent="0.3">
      <c r="A490" s="7"/>
      <c r="B490" s="7"/>
      <c r="C490" s="7"/>
      <c r="D490" s="7"/>
      <c r="E490" s="7"/>
      <c r="F490" s="7"/>
      <c r="G490" s="3" t="str">
        <f t="shared" si="7"/>
        <v/>
      </c>
    </row>
    <row r="491" spans="1:7" ht="14.25" customHeight="1" x14ac:dyDescent="0.3">
      <c r="A491" s="7"/>
      <c r="B491" s="7"/>
      <c r="C491" s="7"/>
      <c r="D491" s="7"/>
      <c r="E491" s="7"/>
      <c r="F491" s="7"/>
      <c r="G491" s="3" t="str">
        <f t="shared" si="7"/>
        <v/>
      </c>
    </row>
    <row r="492" spans="1:7" ht="14.25" customHeight="1" x14ac:dyDescent="0.3">
      <c r="A492" s="7"/>
      <c r="B492" s="7"/>
      <c r="C492" s="7"/>
      <c r="D492" s="7"/>
      <c r="E492" s="7"/>
      <c r="F492" s="7"/>
      <c r="G492" s="3" t="str">
        <f t="shared" si="7"/>
        <v/>
      </c>
    </row>
    <row r="493" spans="1:7" ht="14.25" customHeight="1" x14ac:dyDescent="0.3">
      <c r="A493" s="7"/>
      <c r="B493" s="7"/>
      <c r="C493" s="7"/>
      <c r="D493" s="7"/>
      <c r="E493" s="7"/>
      <c r="F493" s="7"/>
      <c r="G493" s="3" t="str">
        <f t="shared" si="7"/>
        <v/>
      </c>
    </row>
    <row r="494" spans="1:7" ht="14.25" customHeight="1" x14ac:dyDescent="0.3">
      <c r="A494" s="7"/>
      <c r="B494" s="7"/>
      <c r="C494" s="7"/>
      <c r="D494" s="7"/>
      <c r="E494" s="7"/>
      <c r="F494" s="7"/>
      <c r="G494" s="3" t="str">
        <f t="shared" si="7"/>
        <v/>
      </c>
    </row>
    <row r="495" spans="1:7" ht="14.25" customHeight="1" x14ac:dyDescent="0.3">
      <c r="A495" s="7"/>
      <c r="B495" s="7"/>
      <c r="C495" s="7"/>
      <c r="D495" s="7"/>
      <c r="E495" s="7"/>
      <c r="F495" s="7"/>
      <c r="G495" s="3" t="str">
        <f t="shared" si="7"/>
        <v/>
      </c>
    </row>
    <row r="496" spans="1:7" ht="14.25" customHeight="1" x14ac:dyDescent="0.3">
      <c r="A496" s="7"/>
      <c r="B496" s="7"/>
      <c r="C496" s="7"/>
      <c r="D496" s="7"/>
      <c r="E496" s="7"/>
      <c r="F496" s="7"/>
      <c r="G496" s="3" t="str">
        <f t="shared" si="7"/>
        <v/>
      </c>
    </row>
    <row r="497" spans="1:7" ht="14.25" customHeight="1" x14ac:dyDescent="0.3">
      <c r="A497" s="7"/>
      <c r="B497" s="7"/>
      <c r="C497" s="7"/>
      <c r="D497" s="7"/>
      <c r="E497" s="7"/>
      <c r="F497" s="7"/>
      <c r="G497" s="3" t="str">
        <f t="shared" si="7"/>
        <v/>
      </c>
    </row>
    <row r="498" spans="1:7" ht="14.25" customHeight="1" x14ac:dyDescent="0.3">
      <c r="A498" s="7"/>
      <c r="B498" s="7"/>
      <c r="C498" s="7"/>
      <c r="D498" s="7"/>
      <c r="E498" s="7"/>
      <c r="F498" s="7"/>
      <c r="G498" s="3" t="str">
        <f t="shared" si="7"/>
        <v/>
      </c>
    </row>
    <row r="499" spans="1:7" ht="14.25" customHeight="1" x14ac:dyDescent="0.3">
      <c r="A499" s="7"/>
      <c r="B499" s="7"/>
      <c r="C499" s="7"/>
      <c r="D499" s="7"/>
      <c r="E499" s="7"/>
      <c r="F499" s="7"/>
      <c r="G499" s="3" t="str">
        <f t="shared" si="7"/>
        <v/>
      </c>
    </row>
    <row r="500" spans="1:7" ht="14.25" customHeight="1" x14ac:dyDescent="0.3">
      <c r="A500" s="7"/>
      <c r="B500" s="7"/>
      <c r="C500" s="7"/>
      <c r="D500" s="7"/>
      <c r="E500" s="7"/>
      <c r="F500" s="7"/>
      <c r="G500" s="3" t="str">
        <f t="shared" si="7"/>
        <v/>
      </c>
    </row>
    <row r="501" spans="1:7" ht="14.25" customHeight="1" x14ac:dyDescent="0.3">
      <c r="A501" s="7"/>
      <c r="B501" s="7"/>
      <c r="C501" s="7"/>
      <c r="D501" s="7"/>
      <c r="E501" s="7"/>
      <c r="F501" s="7"/>
      <c r="G501" s="3" t="str">
        <f t="shared" si="7"/>
        <v/>
      </c>
    </row>
    <row r="502" spans="1:7" ht="14.25" customHeight="1" x14ac:dyDescent="0.3">
      <c r="A502" s="7"/>
      <c r="B502" s="7"/>
      <c r="C502" s="7"/>
      <c r="D502" s="7"/>
      <c r="E502" s="7"/>
      <c r="F502" s="7"/>
      <c r="G502" s="3" t="str">
        <f t="shared" si="7"/>
        <v/>
      </c>
    </row>
    <row r="503" spans="1:7" ht="14.25" customHeight="1" x14ac:dyDescent="0.3">
      <c r="A503" s="7"/>
      <c r="B503" s="7"/>
      <c r="C503" s="7"/>
      <c r="D503" s="7"/>
      <c r="E503" s="7"/>
      <c r="F503" s="7"/>
      <c r="G503" s="3" t="str">
        <f t="shared" si="7"/>
        <v/>
      </c>
    </row>
    <row r="504" spans="1:7" ht="14.25" customHeight="1" x14ac:dyDescent="0.3">
      <c r="A504" s="7"/>
      <c r="B504" s="7"/>
      <c r="C504" s="7"/>
      <c r="D504" s="7"/>
      <c r="E504" s="7"/>
      <c r="F504" s="7"/>
      <c r="G504" s="3" t="str">
        <f t="shared" si="7"/>
        <v/>
      </c>
    </row>
    <row r="505" spans="1:7" ht="14.25" customHeight="1" x14ac:dyDescent="0.3">
      <c r="A505" s="7"/>
      <c r="B505" s="7"/>
      <c r="C505" s="7"/>
      <c r="D505" s="7"/>
      <c r="E505" s="7"/>
      <c r="F505" s="7"/>
      <c r="G505" s="3" t="str">
        <f t="shared" si="7"/>
        <v/>
      </c>
    </row>
    <row r="506" spans="1:7" ht="14.25" customHeight="1" x14ac:dyDescent="0.3">
      <c r="A506" s="7"/>
      <c r="B506" s="7"/>
      <c r="C506" s="7"/>
      <c r="D506" s="7"/>
      <c r="E506" s="7"/>
      <c r="F506" s="7"/>
      <c r="G506" s="3" t="str">
        <f t="shared" si="7"/>
        <v/>
      </c>
    </row>
    <row r="507" spans="1:7" ht="14.25" customHeight="1" x14ac:dyDescent="0.3">
      <c r="A507" s="7"/>
      <c r="B507" s="7"/>
      <c r="C507" s="7"/>
      <c r="D507" s="7"/>
      <c r="E507" s="7"/>
      <c r="F507" s="7"/>
      <c r="G507" s="3" t="str">
        <f t="shared" si="7"/>
        <v/>
      </c>
    </row>
    <row r="508" spans="1:7" ht="14.25" customHeight="1" x14ac:dyDescent="0.3">
      <c r="A508" s="7"/>
      <c r="B508" s="7"/>
      <c r="C508" s="7"/>
      <c r="D508" s="7"/>
      <c r="E508" s="7"/>
      <c r="F508" s="7"/>
      <c r="G508" s="3" t="str">
        <f t="shared" si="7"/>
        <v/>
      </c>
    </row>
    <row r="509" spans="1:7" ht="14.25" customHeight="1" x14ac:dyDescent="0.3">
      <c r="A509" s="7"/>
      <c r="B509" s="7"/>
      <c r="C509" s="7"/>
      <c r="D509" s="7"/>
      <c r="E509" s="7"/>
      <c r="F509" s="7"/>
      <c r="G509" s="3" t="str">
        <f t="shared" si="7"/>
        <v/>
      </c>
    </row>
    <row r="510" spans="1:7" ht="14.25" customHeight="1" x14ac:dyDescent="0.3">
      <c r="A510" s="7"/>
      <c r="B510" s="7"/>
      <c r="C510" s="7"/>
      <c r="D510" s="7"/>
      <c r="E510" s="7"/>
      <c r="F510" s="7"/>
      <c r="G510" s="3" t="str">
        <f t="shared" si="7"/>
        <v/>
      </c>
    </row>
    <row r="511" spans="1:7" ht="14.25" customHeight="1" x14ac:dyDescent="0.3">
      <c r="A511" s="7"/>
      <c r="B511" s="7"/>
      <c r="C511" s="7"/>
      <c r="D511" s="7"/>
      <c r="E511" s="7"/>
      <c r="F511" s="7"/>
      <c r="G511" s="3" t="str">
        <f t="shared" si="7"/>
        <v/>
      </c>
    </row>
    <row r="512" spans="1:7" ht="14.25" customHeight="1" x14ac:dyDescent="0.3">
      <c r="A512" s="7"/>
      <c r="B512" s="7"/>
      <c r="C512" s="7"/>
      <c r="D512" s="7"/>
      <c r="E512" s="7"/>
      <c r="F512" s="7"/>
      <c r="G512" s="3" t="str">
        <f t="shared" si="7"/>
        <v/>
      </c>
    </row>
    <row r="513" spans="1:7" ht="14.25" customHeight="1" x14ac:dyDescent="0.3">
      <c r="A513" s="7"/>
      <c r="B513" s="7"/>
      <c r="C513" s="7"/>
      <c r="D513" s="7"/>
      <c r="E513" s="7"/>
      <c r="F513" s="7"/>
      <c r="G513" s="3" t="str">
        <f t="shared" si="7"/>
        <v/>
      </c>
    </row>
    <row r="514" spans="1:7" ht="14.25" customHeight="1" x14ac:dyDescent="0.3">
      <c r="A514" s="7"/>
      <c r="B514" s="7"/>
      <c r="C514" s="7"/>
      <c r="D514" s="7"/>
      <c r="E514" s="7"/>
      <c r="F514" s="7"/>
      <c r="G514" s="3" t="str">
        <f t="shared" ref="G514:G577" si="8">IF(COUNTA(A514:F514)=0,"",IF(COUNTIF($A$2:$A$1000,A514)&gt;1,"DUPLICATE COURSE CODE","OK"))</f>
        <v/>
      </c>
    </row>
    <row r="515" spans="1:7" ht="14.25" customHeight="1" x14ac:dyDescent="0.3">
      <c r="A515" s="7"/>
      <c r="B515" s="7"/>
      <c r="C515" s="7"/>
      <c r="D515" s="7"/>
      <c r="E515" s="7"/>
      <c r="F515" s="7"/>
      <c r="G515" s="3" t="str">
        <f t="shared" si="8"/>
        <v/>
      </c>
    </row>
    <row r="516" spans="1:7" ht="14.25" customHeight="1" x14ac:dyDescent="0.3">
      <c r="A516" s="7"/>
      <c r="B516" s="7"/>
      <c r="C516" s="7"/>
      <c r="D516" s="7"/>
      <c r="E516" s="7"/>
      <c r="F516" s="7"/>
      <c r="G516" s="3" t="str">
        <f t="shared" si="8"/>
        <v/>
      </c>
    </row>
    <row r="517" spans="1:7" ht="14.25" customHeight="1" x14ac:dyDescent="0.3">
      <c r="A517" s="7"/>
      <c r="B517" s="7"/>
      <c r="C517" s="7"/>
      <c r="D517" s="7"/>
      <c r="E517" s="7"/>
      <c r="F517" s="7"/>
      <c r="G517" s="3" t="str">
        <f t="shared" si="8"/>
        <v/>
      </c>
    </row>
    <row r="518" spans="1:7" ht="14.25" customHeight="1" x14ac:dyDescent="0.3">
      <c r="A518" s="7"/>
      <c r="B518" s="7"/>
      <c r="C518" s="7"/>
      <c r="D518" s="7"/>
      <c r="E518" s="7"/>
      <c r="F518" s="7"/>
      <c r="G518" s="3" t="str">
        <f t="shared" si="8"/>
        <v/>
      </c>
    </row>
    <row r="519" spans="1:7" ht="14.25" customHeight="1" x14ac:dyDescent="0.3">
      <c r="A519" s="7"/>
      <c r="B519" s="7"/>
      <c r="C519" s="7"/>
      <c r="D519" s="7"/>
      <c r="E519" s="7"/>
      <c r="F519" s="7"/>
      <c r="G519" s="3" t="str">
        <f t="shared" si="8"/>
        <v/>
      </c>
    </row>
    <row r="520" spans="1:7" ht="14.25" customHeight="1" x14ac:dyDescent="0.3">
      <c r="A520" s="7"/>
      <c r="B520" s="7"/>
      <c r="C520" s="7"/>
      <c r="D520" s="7"/>
      <c r="E520" s="7"/>
      <c r="F520" s="7"/>
      <c r="G520" s="3" t="str">
        <f t="shared" si="8"/>
        <v/>
      </c>
    </row>
    <row r="521" spans="1:7" ht="14.25" customHeight="1" x14ac:dyDescent="0.3">
      <c r="A521" s="7"/>
      <c r="B521" s="7"/>
      <c r="C521" s="7"/>
      <c r="D521" s="7"/>
      <c r="E521" s="7"/>
      <c r="F521" s="7"/>
      <c r="G521" s="3" t="str">
        <f t="shared" si="8"/>
        <v/>
      </c>
    </row>
    <row r="522" spans="1:7" ht="14.25" customHeight="1" x14ac:dyDescent="0.3">
      <c r="A522" s="7"/>
      <c r="B522" s="7"/>
      <c r="C522" s="7"/>
      <c r="D522" s="7"/>
      <c r="E522" s="7"/>
      <c r="F522" s="7"/>
      <c r="G522" s="3" t="str">
        <f t="shared" si="8"/>
        <v/>
      </c>
    </row>
    <row r="523" spans="1:7" ht="14.25" customHeight="1" x14ac:dyDescent="0.3">
      <c r="A523" s="7"/>
      <c r="B523" s="7"/>
      <c r="C523" s="7"/>
      <c r="D523" s="7"/>
      <c r="E523" s="7"/>
      <c r="F523" s="7"/>
      <c r="G523" s="3" t="str">
        <f t="shared" si="8"/>
        <v/>
      </c>
    </row>
    <row r="524" spans="1:7" ht="14.25" customHeight="1" x14ac:dyDescent="0.3">
      <c r="A524" s="7"/>
      <c r="B524" s="7"/>
      <c r="C524" s="7"/>
      <c r="D524" s="7"/>
      <c r="E524" s="7"/>
      <c r="F524" s="7"/>
      <c r="G524" s="3" t="str">
        <f t="shared" si="8"/>
        <v/>
      </c>
    </row>
    <row r="525" spans="1:7" ht="14.25" customHeight="1" x14ac:dyDescent="0.3">
      <c r="A525" s="7"/>
      <c r="B525" s="7"/>
      <c r="C525" s="7"/>
      <c r="D525" s="7"/>
      <c r="E525" s="7"/>
      <c r="F525" s="7"/>
      <c r="G525" s="3" t="str">
        <f t="shared" si="8"/>
        <v/>
      </c>
    </row>
    <row r="526" spans="1:7" ht="14.25" customHeight="1" x14ac:dyDescent="0.3">
      <c r="A526" s="7"/>
      <c r="B526" s="7"/>
      <c r="C526" s="7"/>
      <c r="D526" s="7"/>
      <c r="E526" s="7"/>
      <c r="F526" s="7"/>
      <c r="G526" s="3" t="str">
        <f t="shared" si="8"/>
        <v/>
      </c>
    </row>
    <row r="527" spans="1:7" ht="14.25" customHeight="1" x14ac:dyDescent="0.3">
      <c r="A527" s="7"/>
      <c r="B527" s="7"/>
      <c r="C527" s="7"/>
      <c r="D527" s="7"/>
      <c r="E527" s="7"/>
      <c r="F527" s="7"/>
      <c r="G527" s="3" t="str">
        <f t="shared" si="8"/>
        <v/>
      </c>
    </row>
    <row r="528" spans="1:7" ht="14.25" customHeight="1" x14ac:dyDescent="0.3">
      <c r="A528" s="7"/>
      <c r="B528" s="7"/>
      <c r="C528" s="7"/>
      <c r="D528" s="7"/>
      <c r="E528" s="7"/>
      <c r="F528" s="7"/>
      <c r="G528" s="3" t="str">
        <f t="shared" si="8"/>
        <v/>
      </c>
    </row>
    <row r="529" spans="1:7" ht="14.25" customHeight="1" x14ac:dyDescent="0.3">
      <c r="A529" s="7"/>
      <c r="B529" s="7"/>
      <c r="C529" s="7"/>
      <c r="D529" s="7"/>
      <c r="E529" s="7"/>
      <c r="F529" s="7"/>
      <c r="G529" s="3" t="str">
        <f t="shared" si="8"/>
        <v/>
      </c>
    </row>
    <row r="530" spans="1:7" ht="14.25" customHeight="1" x14ac:dyDescent="0.3">
      <c r="A530" s="7"/>
      <c r="B530" s="7"/>
      <c r="C530" s="7"/>
      <c r="D530" s="7"/>
      <c r="E530" s="7"/>
      <c r="F530" s="7"/>
      <c r="G530" s="3" t="str">
        <f t="shared" si="8"/>
        <v/>
      </c>
    </row>
    <row r="531" spans="1:7" ht="14.25" customHeight="1" x14ac:dyDescent="0.3">
      <c r="A531" s="7"/>
      <c r="B531" s="7"/>
      <c r="C531" s="7"/>
      <c r="D531" s="7"/>
      <c r="E531" s="7"/>
      <c r="F531" s="7"/>
      <c r="G531" s="3" t="str">
        <f t="shared" si="8"/>
        <v/>
      </c>
    </row>
    <row r="532" spans="1:7" ht="14.25" customHeight="1" x14ac:dyDescent="0.3">
      <c r="A532" s="7"/>
      <c r="B532" s="7"/>
      <c r="C532" s="7"/>
      <c r="D532" s="7"/>
      <c r="E532" s="7"/>
      <c r="F532" s="7"/>
      <c r="G532" s="3" t="str">
        <f t="shared" si="8"/>
        <v/>
      </c>
    </row>
    <row r="533" spans="1:7" ht="14.25" customHeight="1" x14ac:dyDescent="0.3">
      <c r="A533" s="7"/>
      <c r="B533" s="7"/>
      <c r="C533" s="7"/>
      <c r="D533" s="7"/>
      <c r="E533" s="7"/>
      <c r="F533" s="7"/>
      <c r="G533" s="3" t="str">
        <f t="shared" si="8"/>
        <v/>
      </c>
    </row>
    <row r="534" spans="1:7" ht="14.25" customHeight="1" x14ac:dyDescent="0.3">
      <c r="A534" s="7"/>
      <c r="B534" s="7"/>
      <c r="C534" s="7"/>
      <c r="D534" s="7"/>
      <c r="E534" s="7"/>
      <c r="F534" s="7"/>
      <c r="G534" s="3" t="str">
        <f t="shared" si="8"/>
        <v/>
      </c>
    </row>
    <row r="535" spans="1:7" ht="14.25" customHeight="1" x14ac:dyDescent="0.3">
      <c r="A535" s="7"/>
      <c r="B535" s="7"/>
      <c r="C535" s="7"/>
      <c r="D535" s="7"/>
      <c r="E535" s="7"/>
      <c r="F535" s="7"/>
      <c r="G535" s="3" t="str">
        <f t="shared" si="8"/>
        <v/>
      </c>
    </row>
    <row r="536" spans="1:7" ht="14.25" customHeight="1" x14ac:dyDescent="0.3">
      <c r="A536" s="7"/>
      <c r="B536" s="7"/>
      <c r="C536" s="7"/>
      <c r="D536" s="7"/>
      <c r="E536" s="7"/>
      <c r="F536" s="7"/>
      <c r="G536" s="3" t="str">
        <f t="shared" si="8"/>
        <v/>
      </c>
    </row>
    <row r="537" spans="1:7" ht="14.25" customHeight="1" x14ac:dyDescent="0.3">
      <c r="A537" s="7"/>
      <c r="B537" s="7"/>
      <c r="C537" s="7"/>
      <c r="D537" s="7"/>
      <c r="E537" s="7"/>
      <c r="F537" s="7"/>
      <c r="G537" s="3" t="str">
        <f t="shared" si="8"/>
        <v/>
      </c>
    </row>
    <row r="538" spans="1:7" ht="14.25" customHeight="1" x14ac:dyDescent="0.3">
      <c r="A538" s="7"/>
      <c r="B538" s="7"/>
      <c r="C538" s="7"/>
      <c r="D538" s="7"/>
      <c r="E538" s="7"/>
      <c r="F538" s="7"/>
      <c r="G538" s="3" t="str">
        <f t="shared" si="8"/>
        <v/>
      </c>
    </row>
    <row r="539" spans="1:7" ht="14.25" customHeight="1" x14ac:dyDescent="0.3">
      <c r="A539" s="7"/>
      <c r="B539" s="7"/>
      <c r="C539" s="7"/>
      <c r="D539" s="7"/>
      <c r="E539" s="7"/>
      <c r="F539" s="7"/>
      <c r="G539" s="3" t="str">
        <f t="shared" si="8"/>
        <v/>
      </c>
    </row>
    <row r="540" spans="1:7" ht="14.25" customHeight="1" x14ac:dyDescent="0.3">
      <c r="A540" s="7"/>
      <c r="B540" s="7"/>
      <c r="C540" s="7"/>
      <c r="D540" s="7"/>
      <c r="E540" s="7"/>
      <c r="F540" s="7"/>
      <c r="G540" s="3" t="str">
        <f t="shared" si="8"/>
        <v/>
      </c>
    </row>
    <row r="541" spans="1:7" ht="14.25" customHeight="1" x14ac:dyDescent="0.3">
      <c r="A541" s="7"/>
      <c r="B541" s="7"/>
      <c r="C541" s="7"/>
      <c r="D541" s="7"/>
      <c r="E541" s="7"/>
      <c r="F541" s="7"/>
      <c r="G541" s="3" t="str">
        <f t="shared" si="8"/>
        <v/>
      </c>
    </row>
    <row r="542" spans="1:7" ht="14.25" customHeight="1" x14ac:dyDescent="0.3">
      <c r="A542" s="7"/>
      <c r="B542" s="7"/>
      <c r="C542" s="7"/>
      <c r="D542" s="7"/>
      <c r="E542" s="7"/>
      <c r="F542" s="7"/>
      <c r="G542" s="3" t="str">
        <f t="shared" si="8"/>
        <v/>
      </c>
    </row>
    <row r="543" spans="1:7" ht="14.25" customHeight="1" x14ac:dyDescent="0.3">
      <c r="A543" s="7"/>
      <c r="B543" s="7"/>
      <c r="C543" s="7"/>
      <c r="D543" s="7"/>
      <c r="E543" s="7"/>
      <c r="F543" s="7"/>
      <c r="G543" s="3" t="str">
        <f t="shared" si="8"/>
        <v/>
      </c>
    </row>
    <row r="544" spans="1:7" ht="14.25" customHeight="1" x14ac:dyDescent="0.3">
      <c r="A544" s="7"/>
      <c r="B544" s="7"/>
      <c r="C544" s="7"/>
      <c r="D544" s="7"/>
      <c r="E544" s="7"/>
      <c r="F544" s="7"/>
      <c r="G544" s="3" t="str">
        <f t="shared" si="8"/>
        <v/>
      </c>
    </row>
    <row r="545" spans="1:7" ht="14.25" customHeight="1" x14ac:dyDescent="0.3">
      <c r="A545" s="7"/>
      <c r="B545" s="7"/>
      <c r="C545" s="7"/>
      <c r="D545" s="7"/>
      <c r="E545" s="7"/>
      <c r="F545" s="7"/>
      <c r="G545" s="3" t="str">
        <f t="shared" si="8"/>
        <v/>
      </c>
    </row>
    <row r="546" spans="1:7" ht="14.25" customHeight="1" x14ac:dyDescent="0.3">
      <c r="A546" s="7"/>
      <c r="B546" s="7"/>
      <c r="C546" s="7"/>
      <c r="D546" s="7"/>
      <c r="E546" s="7"/>
      <c r="F546" s="7"/>
      <c r="G546" s="3" t="str">
        <f t="shared" si="8"/>
        <v/>
      </c>
    </row>
    <row r="547" spans="1:7" ht="14.25" customHeight="1" x14ac:dyDescent="0.3">
      <c r="A547" s="7"/>
      <c r="B547" s="7"/>
      <c r="C547" s="7"/>
      <c r="D547" s="7"/>
      <c r="E547" s="7"/>
      <c r="F547" s="7"/>
      <c r="G547" s="3" t="str">
        <f t="shared" si="8"/>
        <v/>
      </c>
    </row>
    <row r="548" spans="1:7" ht="14.25" customHeight="1" x14ac:dyDescent="0.3">
      <c r="A548" s="7"/>
      <c r="B548" s="7"/>
      <c r="C548" s="7"/>
      <c r="D548" s="7"/>
      <c r="E548" s="7"/>
      <c r="F548" s="7"/>
      <c r="G548" s="3" t="str">
        <f t="shared" si="8"/>
        <v/>
      </c>
    </row>
    <row r="549" spans="1:7" ht="14.25" customHeight="1" x14ac:dyDescent="0.3">
      <c r="A549" s="7"/>
      <c r="B549" s="7"/>
      <c r="C549" s="7"/>
      <c r="D549" s="7"/>
      <c r="E549" s="7"/>
      <c r="F549" s="7"/>
      <c r="G549" s="3" t="str">
        <f t="shared" si="8"/>
        <v/>
      </c>
    </row>
    <row r="550" spans="1:7" ht="14.25" customHeight="1" x14ac:dyDescent="0.3">
      <c r="A550" s="7"/>
      <c r="B550" s="7"/>
      <c r="C550" s="7"/>
      <c r="D550" s="7"/>
      <c r="E550" s="7"/>
      <c r="F550" s="7"/>
      <c r="G550" s="3" t="str">
        <f t="shared" si="8"/>
        <v/>
      </c>
    </row>
    <row r="551" spans="1:7" ht="14.25" customHeight="1" x14ac:dyDescent="0.3">
      <c r="A551" s="7"/>
      <c r="B551" s="7"/>
      <c r="C551" s="7"/>
      <c r="D551" s="7"/>
      <c r="E551" s="7"/>
      <c r="F551" s="7"/>
      <c r="G551" s="3" t="str">
        <f t="shared" si="8"/>
        <v/>
      </c>
    </row>
    <row r="552" spans="1:7" ht="14.25" customHeight="1" x14ac:dyDescent="0.3">
      <c r="A552" s="7"/>
      <c r="B552" s="7"/>
      <c r="C552" s="7"/>
      <c r="D552" s="7"/>
      <c r="E552" s="7"/>
      <c r="F552" s="7"/>
      <c r="G552" s="3" t="str">
        <f t="shared" si="8"/>
        <v/>
      </c>
    </row>
    <row r="553" spans="1:7" ht="14.25" customHeight="1" x14ac:dyDescent="0.3">
      <c r="A553" s="7"/>
      <c r="B553" s="7"/>
      <c r="C553" s="7"/>
      <c r="D553" s="7"/>
      <c r="E553" s="7"/>
      <c r="F553" s="7"/>
      <c r="G553" s="3" t="str">
        <f t="shared" si="8"/>
        <v/>
      </c>
    </row>
    <row r="554" spans="1:7" ht="14.25" customHeight="1" x14ac:dyDescent="0.3">
      <c r="A554" s="7"/>
      <c r="B554" s="7"/>
      <c r="C554" s="7"/>
      <c r="D554" s="7"/>
      <c r="E554" s="7"/>
      <c r="F554" s="7"/>
      <c r="G554" s="3" t="str">
        <f t="shared" si="8"/>
        <v/>
      </c>
    </row>
    <row r="555" spans="1:7" ht="14.25" customHeight="1" x14ac:dyDescent="0.3">
      <c r="A555" s="7"/>
      <c r="B555" s="7"/>
      <c r="C555" s="7"/>
      <c r="D555" s="7"/>
      <c r="E555" s="7"/>
      <c r="F555" s="7"/>
      <c r="G555" s="3" t="str">
        <f t="shared" si="8"/>
        <v/>
      </c>
    </row>
    <row r="556" spans="1:7" ht="14.25" customHeight="1" x14ac:dyDescent="0.3">
      <c r="A556" s="7"/>
      <c r="B556" s="7"/>
      <c r="C556" s="7"/>
      <c r="D556" s="7"/>
      <c r="E556" s="7"/>
      <c r="F556" s="7"/>
      <c r="G556" s="3" t="str">
        <f t="shared" si="8"/>
        <v/>
      </c>
    </row>
    <row r="557" spans="1:7" ht="14.25" customHeight="1" x14ac:dyDescent="0.3">
      <c r="A557" s="7"/>
      <c r="B557" s="7"/>
      <c r="C557" s="7"/>
      <c r="D557" s="7"/>
      <c r="E557" s="7"/>
      <c r="F557" s="7"/>
      <c r="G557" s="3" t="str">
        <f t="shared" si="8"/>
        <v/>
      </c>
    </row>
    <row r="558" spans="1:7" ht="14.25" customHeight="1" x14ac:dyDescent="0.3">
      <c r="A558" s="7"/>
      <c r="B558" s="7"/>
      <c r="C558" s="7"/>
      <c r="D558" s="7"/>
      <c r="E558" s="7"/>
      <c r="F558" s="7"/>
      <c r="G558" s="3" t="str">
        <f t="shared" si="8"/>
        <v/>
      </c>
    </row>
    <row r="559" spans="1:7" ht="14.25" customHeight="1" x14ac:dyDescent="0.3">
      <c r="A559" s="7"/>
      <c r="B559" s="7"/>
      <c r="C559" s="7"/>
      <c r="D559" s="7"/>
      <c r="E559" s="7"/>
      <c r="F559" s="7"/>
      <c r="G559" s="3" t="str">
        <f t="shared" si="8"/>
        <v/>
      </c>
    </row>
    <row r="560" spans="1:7" ht="14.25" customHeight="1" x14ac:dyDescent="0.3">
      <c r="A560" s="7"/>
      <c r="B560" s="7"/>
      <c r="C560" s="7"/>
      <c r="D560" s="7"/>
      <c r="E560" s="7"/>
      <c r="F560" s="7"/>
      <c r="G560" s="3" t="str">
        <f t="shared" si="8"/>
        <v/>
      </c>
    </row>
    <row r="561" spans="1:7" ht="14.25" customHeight="1" x14ac:dyDescent="0.3">
      <c r="A561" s="7"/>
      <c r="B561" s="7"/>
      <c r="C561" s="7"/>
      <c r="D561" s="7"/>
      <c r="E561" s="7"/>
      <c r="F561" s="7"/>
      <c r="G561" s="3" t="str">
        <f t="shared" si="8"/>
        <v/>
      </c>
    </row>
    <row r="562" spans="1:7" ht="14.25" customHeight="1" x14ac:dyDescent="0.3">
      <c r="A562" s="7"/>
      <c r="B562" s="7"/>
      <c r="C562" s="7"/>
      <c r="D562" s="7"/>
      <c r="E562" s="7"/>
      <c r="F562" s="7"/>
      <c r="G562" s="3" t="str">
        <f t="shared" si="8"/>
        <v/>
      </c>
    </row>
    <row r="563" spans="1:7" ht="14.25" customHeight="1" x14ac:dyDescent="0.3">
      <c r="A563" s="7"/>
      <c r="B563" s="7"/>
      <c r="C563" s="7"/>
      <c r="D563" s="7"/>
      <c r="E563" s="7"/>
      <c r="F563" s="7"/>
      <c r="G563" s="3" t="str">
        <f t="shared" si="8"/>
        <v/>
      </c>
    </row>
    <row r="564" spans="1:7" ht="14.25" customHeight="1" x14ac:dyDescent="0.3">
      <c r="A564" s="7"/>
      <c r="B564" s="7"/>
      <c r="C564" s="7"/>
      <c r="D564" s="7"/>
      <c r="E564" s="7"/>
      <c r="F564" s="7"/>
      <c r="G564" s="3" t="str">
        <f t="shared" si="8"/>
        <v/>
      </c>
    </row>
    <row r="565" spans="1:7" ht="14.25" customHeight="1" x14ac:dyDescent="0.3">
      <c r="A565" s="7"/>
      <c r="B565" s="7"/>
      <c r="C565" s="7"/>
      <c r="D565" s="7"/>
      <c r="E565" s="7"/>
      <c r="F565" s="7"/>
      <c r="G565" s="3" t="str">
        <f t="shared" si="8"/>
        <v/>
      </c>
    </row>
    <row r="566" spans="1:7" ht="14.25" customHeight="1" x14ac:dyDescent="0.3">
      <c r="A566" s="7"/>
      <c r="B566" s="7"/>
      <c r="C566" s="7"/>
      <c r="D566" s="7"/>
      <c r="E566" s="7"/>
      <c r="F566" s="7"/>
      <c r="G566" s="3" t="str">
        <f t="shared" si="8"/>
        <v/>
      </c>
    </row>
    <row r="567" spans="1:7" ht="14.25" customHeight="1" x14ac:dyDescent="0.3">
      <c r="A567" s="7"/>
      <c r="B567" s="7"/>
      <c r="C567" s="7"/>
      <c r="D567" s="7"/>
      <c r="E567" s="7"/>
      <c r="F567" s="7"/>
      <c r="G567" s="3" t="str">
        <f t="shared" si="8"/>
        <v/>
      </c>
    </row>
    <row r="568" spans="1:7" ht="14.25" customHeight="1" x14ac:dyDescent="0.3">
      <c r="A568" s="7"/>
      <c r="B568" s="7"/>
      <c r="C568" s="7"/>
      <c r="D568" s="7"/>
      <c r="E568" s="7"/>
      <c r="F568" s="7"/>
      <c r="G568" s="3" t="str">
        <f t="shared" si="8"/>
        <v/>
      </c>
    </row>
    <row r="569" spans="1:7" ht="14.25" customHeight="1" x14ac:dyDescent="0.3">
      <c r="A569" s="7"/>
      <c r="B569" s="7"/>
      <c r="C569" s="7"/>
      <c r="D569" s="7"/>
      <c r="E569" s="7"/>
      <c r="F569" s="7"/>
      <c r="G569" s="3" t="str">
        <f t="shared" si="8"/>
        <v/>
      </c>
    </row>
    <row r="570" spans="1:7" ht="14.25" customHeight="1" x14ac:dyDescent="0.3">
      <c r="A570" s="7"/>
      <c r="B570" s="7"/>
      <c r="C570" s="7"/>
      <c r="D570" s="7"/>
      <c r="E570" s="7"/>
      <c r="F570" s="7"/>
      <c r="G570" s="3" t="str">
        <f t="shared" si="8"/>
        <v/>
      </c>
    </row>
    <row r="571" spans="1:7" ht="14.25" customHeight="1" x14ac:dyDescent="0.3">
      <c r="A571" s="7"/>
      <c r="B571" s="7"/>
      <c r="C571" s="7"/>
      <c r="D571" s="7"/>
      <c r="E571" s="7"/>
      <c r="F571" s="7"/>
      <c r="G571" s="3" t="str">
        <f t="shared" si="8"/>
        <v/>
      </c>
    </row>
    <row r="572" spans="1:7" ht="14.25" customHeight="1" x14ac:dyDescent="0.3">
      <c r="A572" s="7"/>
      <c r="B572" s="7"/>
      <c r="C572" s="7"/>
      <c r="D572" s="7"/>
      <c r="E572" s="7"/>
      <c r="F572" s="7"/>
      <c r="G572" s="3" t="str">
        <f t="shared" si="8"/>
        <v/>
      </c>
    </row>
    <row r="573" spans="1:7" ht="14.25" customHeight="1" x14ac:dyDescent="0.3">
      <c r="A573" s="7"/>
      <c r="B573" s="7"/>
      <c r="C573" s="7"/>
      <c r="D573" s="7"/>
      <c r="E573" s="7"/>
      <c r="F573" s="7"/>
      <c r="G573" s="3" t="str">
        <f t="shared" si="8"/>
        <v/>
      </c>
    </row>
    <row r="574" spans="1:7" ht="14.25" customHeight="1" x14ac:dyDescent="0.3">
      <c r="A574" s="7"/>
      <c r="B574" s="7"/>
      <c r="C574" s="7"/>
      <c r="D574" s="7"/>
      <c r="E574" s="7"/>
      <c r="F574" s="7"/>
      <c r="G574" s="3" t="str">
        <f t="shared" si="8"/>
        <v/>
      </c>
    </row>
    <row r="575" spans="1:7" ht="14.25" customHeight="1" x14ac:dyDescent="0.3">
      <c r="A575" s="7"/>
      <c r="B575" s="7"/>
      <c r="C575" s="7"/>
      <c r="D575" s="7"/>
      <c r="E575" s="7"/>
      <c r="F575" s="7"/>
      <c r="G575" s="3" t="str">
        <f t="shared" si="8"/>
        <v/>
      </c>
    </row>
    <row r="576" spans="1:7" ht="14.25" customHeight="1" x14ac:dyDescent="0.3">
      <c r="A576" s="7"/>
      <c r="B576" s="7"/>
      <c r="C576" s="7"/>
      <c r="D576" s="7"/>
      <c r="E576" s="7"/>
      <c r="F576" s="7"/>
      <c r="G576" s="3" t="str">
        <f t="shared" si="8"/>
        <v/>
      </c>
    </row>
    <row r="577" spans="1:7" ht="14.25" customHeight="1" x14ac:dyDescent="0.3">
      <c r="A577" s="7"/>
      <c r="B577" s="7"/>
      <c r="C577" s="7"/>
      <c r="D577" s="7"/>
      <c r="E577" s="7"/>
      <c r="F577" s="7"/>
      <c r="G577" s="3" t="str">
        <f t="shared" si="8"/>
        <v/>
      </c>
    </row>
    <row r="578" spans="1:7" ht="14.25" customHeight="1" x14ac:dyDescent="0.3">
      <c r="A578" s="7"/>
      <c r="B578" s="7"/>
      <c r="C578" s="7"/>
      <c r="D578" s="7"/>
      <c r="E578" s="7"/>
      <c r="F578" s="7"/>
      <c r="G578" s="3" t="str">
        <f t="shared" ref="G578:G641" si="9">IF(COUNTA(A578:F578)=0,"",IF(COUNTIF($A$2:$A$1000,A578)&gt;1,"DUPLICATE COURSE CODE","OK"))</f>
        <v/>
      </c>
    </row>
    <row r="579" spans="1:7" ht="14.25" customHeight="1" x14ac:dyDescent="0.3">
      <c r="A579" s="7"/>
      <c r="B579" s="7"/>
      <c r="C579" s="7"/>
      <c r="D579" s="7"/>
      <c r="E579" s="7"/>
      <c r="F579" s="7"/>
      <c r="G579" s="3" t="str">
        <f t="shared" si="9"/>
        <v/>
      </c>
    </row>
    <row r="580" spans="1:7" ht="14.25" customHeight="1" x14ac:dyDescent="0.3">
      <c r="A580" s="7"/>
      <c r="B580" s="7"/>
      <c r="C580" s="7"/>
      <c r="D580" s="7"/>
      <c r="E580" s="7"/>
      <c r="F580" s="7"/>
      <c r="G580" s="3" t="str">
        <f t="shared" si="9"/>
        <v/>
      </c>
    </row>
    <row r="581" spans="1:7" ht="14.25" customHeight="1" x14ac:dyDescent="0.3">
      <c r="A581" s="7"/>
      <c r="B581" s="7"/>
      <c r="C581" s="7"/>
      <c r="D581" s="7"/>
      <c r="E581" s="7"/>
      <c r="F581" s="7"/>
      <c r="G581" s="3" t="str">
        <f t="shared" si="9"/>
        <v/>
      </c>
    </row>
    <row r="582" spans="1:7" ht="14.25" customHeight="1" x14ac:dyDescent="0.3">
      <c r="A582" s="7"/>
      <c r="B582" s="7"/>
      <c r="C582" s="7"/>
      <c r="D582" s="7"/>
      <c r="E582" s="7"/>
      <c r="F582" s="7"/>
      <c r="G582" s="3" t="str">
        <f t="shared" si="9"/>
        <v/>
      </c>
    </row>
    <row r="583" spans="1:7" ht="14.25" customHeight="1" x14ac:dyDescent="0.3">
      <c r="A583" s="7"/>
      <c r="B583" s="7"/>
      <c r="C583" s="7"/>
      <c r="D583" s="7"/>
      <c r="E583" s="7"/>
      <c r="F583" s="7"/>
      <c r="G583" s="3" t="str">
        <f t="shared" si="9"/>
        <v/>
      </c>
    </row>
    <row r="584" spans="1:7" ht="14.25" customHeight="1" x14ac:dyDescent="0.3">
      <c r="A584" s="7"/>
      <c r="B584" s="7"/>
      <c r="C584" s="7"/>
      <c r="D584" s="7"/>
      <c r="E584" s="7"/>
      <c r="F584" s="7"/>
      <c r="G584" s="3" t="str">
        <f t="shared" si="9"/>
        <v/>
      </c>
    </row>
    <row r="585" spans="1:7" ht="14.25" customHeight="1" x14ac:dyDescent="0.3">
      <c r="A585" s="7"/>
      <c r="B585" s="7"/>
      <c r="C585" s="7"/>
      <c r="D585" s="7"/>
      <c r="E585" s="7"/>
      <c r="F585" s="7"/>
      <c r="G585" s="3" t="str">
        <f t="shared" si="9"/>
        <v/>
      </c>
    </row>
    <row r="586" spans="1:7" ht="14.25" customHeight="1" x14ac:dyDescent="0.3">
      <c r="A586" s="7"/>
      <c r="B586" s="7"/>
      <c r="C586" s="7"/>
      <c r="D586" s="7"/>
      <c r="E586" s="7"/>
      <c r="F586" s="7"/>
      <c r="G586" s="3" t="str">
        <f t="shared" si="9"/>
        <v/>
      </c>
    </row>
    <row r="587" spans="1:7" ht="14.25" customHeight="1" x14ac:dyDescent="0.3">
      <c r="A587" s="7"/>
      <c r="B587" s="7"/>
      <c r="C587" s="7"/>
      <c r="D587" s="7"/>
      <c r="E587" s="7"/>
      <c r="F587" s="7"/>
      <c r="G587" s="3" t="str">
        <f t="shared" si="9"/>
        <v/>
      </c>
    </row>
    <row r="588" spans="1:7" ht="14.25" customHeight="1" x14ac:dyDescent="0.3">
      <c r="A588" s="7"/>
      <c r="B588" s="7"/>
      <c r="C588" s="7"/>
      <c r="D588" s="7"/>
      <c r="E588" s="7"/>
      <c r="F588" s="7"/>
      <c r="G588" s="3" t="str">
        <f t="shared" si="9"/>
        <v/>
      </c>
    </row>
    <row r="589" spans="1:7" ht="14.25" customHeight="1" x14ac:dyDescent="0.3">
      <c r="A589" s="7"/>
      <c r="B589" s="7"/>
      <c r="C589" s="7"/>
      <c r="D589" s="7"/>
      <c r="E589" s="7"/>
      <c r="F589" s="7"/>
      <c r="G589" s="3" t="str">
        <f t="shared" si="9"/>
        <v/>
      </c>
    </row>
    <row r="590" spans="1:7" ht="14.25" customHeight="1" x14ac:dyDescent="0.3">
      <c r="A590" s="7"/>
      <c r="B590" s="7"/>
      <c r="C590" s="7"/>
      <c r="D590" s="7"/>
      <c r="E590" s="7"/>
      <c r="F590" s="7"/>
      <c r="G590" s="3" t="str">
        <f t="shared" si="9"/>
        <v/>
      </c>
    </row>
    <row r="591" spans="1:7" ht="14.25" customHeight="1" x14ac:dyDescent="0.3">
      <c r="A591" s="7"/>
      <c r="B591" s="7"/>
      <c r="C591" s="7"/>
      <c r="D591" s="7"/>
      <c r="E591" s="7"/>
      <c r="F591" s="7"/>
      <c r="G591" s="3" t="str">
        <f t="shared" si="9"/>
        <v/>
      </c>
    </row>
    <row r="592" spans="1:7" ht="14.25" customHeight="1" x14ac:dyDescent="0.3">
      <c r="A592" s="7"/>
      <c r="B592" s="7"/>
      <c r="C592" s="7"/>
      <c r="D592" s="7"/>
      <c r="E592" s="7"/>
      <c r="F592" s="7"/>
      <c r="G592" s="3" t="str">
        <f t="shared" si="9"/>
        <v/>
      </c>
    </row>
    <row r="593" spans="1:7" ht="14.25" customHeight="1" x14ac:dyDescent="0.3">
      <c r="A593" s="7"/>
      <c r="B593" s="7"/>
      <c r="C593" s="7"/>
      <c r="D593" s="7"/>
      <c r="E593" s="7"/>
      <c r="F593" s="7"/>
      <c r="G593" s="3" t="str">
        <f t="shared" si="9"/>
        <v/>
      </c>
    </row>
    <row r="594" spans="1:7" ht="14.25" customHeight="1" x14ac:dyDescent="0.3">
      <c r="A594" s="7"/>
      <c r="B594" s="7"/>
      <c r="C594" s="7"/>
      <c r="D594" s="7"/>
      <c r="E594" s="7"/>
      <c r="F594" s="7"/>
      <c r="G594" s="3" t="str">
        <f t="shared" si="9"/>
        <v/>
      </c>
    </row>
    <row r="595" spans="1:7" ht="14.25" customHeight="1" x14ac:dyDescent="0.3">
      <c r="A595" s="7"/>
      <c r="B595" s="7"/>
      <c r="C595" s="7"/>
      <c r="D595" s="7"/>
      <c r="E595" s="7"/>
      <c r="F595" s="7"/>
      <c r="G595" s="3" t="str">
        <f t="shared" si="9"/>
        <v/>
      </c>
    </row>
    <row r="596" spans="1:7" ht="14.25" customHeight="1" x14ac:dyDescent="0.3">
      <c r="A596" s="7"/>
      <c r="B596" s="7"/>
      <c r="C596" s="7"/>
      <c r="D596" s="7"/>
      <c r="E596" s="7"/>
      <c r="F596" s="7"/>
      <c r="G596" s="3" t="str">
        <f t="shared" si="9"/>
        <v/>
      </c>
    </row>
    <row r="597" spans="1:7" ht="14.25" customHeight="1" x14ac:dyDescent="0.3">
      <c r="A597" s="7"/>
      <c r="B597" s="7"/>
      <c r="C597" s="7"/>
      <c r="D597" s="7"/>
      <c r="E597" s="7"/>
      <c r="F597" s="7"/>
      <c r="G597" s="3" t="str">
        <f t="shared" si="9"/>
        <v/>
      </c>
    </row>
    <row r="598" spans="1:7" ht="14.25" customHeight="1" x14ac:dyDescent="0.3">
      <c r="A598" s="7"/>
      <c r="B598" s="7"/>
      <c r="C598" s="7"/>
      <c r="D598" s="7"/>
      <c r="E598" s="7"/>
      <c r="F598" s="7"/>
      <c r="G598" s="3" t="str">
        <f t="shared" si="9"/>
        <v/>
      </c>
    </row>
    <row r="599" spans="1:7" ht="14.25" customHeight="1" x14ac:dyDescent="0.3">
      <c r="A599" s="7"/>
      <c r="B599" s="7"/>
      <c r="C599" s="7"/>
      <c r="D599" s="7"/>
      <c r="E599" s="7"/>
      <c r="F599" s="7"/>
      <c r="G599" s="3" t="str">
        <f t="shared" si="9"/>
        <v/>
      </c>
    </row>
    <row r="600" spans="1:7" ht="14.25" customHeight="1" x14ac:dyDescent="0.3">
      <c r="A600" s="7"/>
      <c r="B600" s="7"/>
      <c r="C600" s="7"/>
      <c r="D600" s="7"/>
      <c r="E600" s="7"/>
      <c r="F600" s="7"/>
      <c r="G600" s="3" t="str">
        <f t="shared" si="9"/>
        <v/>
      </c>
    </row>
    <row r="601" spans="1:7" ht="14.25" customHeight="1" x14ac:dyDescent="0.3">
      <c r="A601" s="7"/>
      <c r="B601" s="7"/>
      <c r="C601" s="7"/>
      <c r="D601" s="7"/>
      <c r="E601" s="7"/>
      <c r="F601" s="7"/>
      <c r="G601" s="3" t="str">
        <f t="shared" si="9"/>
        <v/>
      </c>
    </row>
    <row r="602" spans="1:7" ht="14.25" customHeight="1" x14ac:dyDescent="0.3">
      <c r="A602" s="7"/>
      <c r="B602" s="7"/>
      <c r="C602" s="7"/>
      <c r="D602" s="7"/>
      <c r="E602" s="7"/>
      <c r="F602" s="7"/>
      <c r="G602" s="3" t="str">
        <f t="shared" si="9"/>
        <v/>
      </c>
    </row>
    <row r="603" spans="1:7" ht="14.25" customHeight="1" x14ac:dyDescent="0.3">
      <c r="A603" s="7"/>
      <c r="B603" s="7"/>
      <c r="C603" s="7"/>
      <c r="D603" s="7"/>
      <c r="E603" s="7"/>
      <c r="F603" s="7"/>
      <c r="G603" s="3" t="str">
        <f t="shared" si="9"/>
        <v/>
      </c>
    </row>
    <row r="604" spans="1:7" ht="14.25" customHeight="1" x14ac:dyDescent="0.3">
      <c r="A604" s="7"/>
      <c r="B604" s="7"/>
      <c r="C604" s="7"/>
      <c r="D604" s="7"/>
      <c r="E604" s="7"/>
      <c r="F604" s="7"/>
      <c r="G604" s="3" t="str">
        <f t="shared" si="9"/>
        <v/>
      </c>
    </row>
    <row r="605" spans="1:7" ht="14.25" customHeight="1" x14ac:dyDescent="0.3">
      <c r="A605" s="7"/>
      <c r="B605" s="7"/>
      <c r="C605" s="7"/>
      <c r="D605" s="7"/>
      <c r="E605" s="7"/>
      <c r="F605" s="7"/>
      <c r="G605" s="3" t="str">
        <f t="shared" si="9"/>
        <v/>
      </c>
    </row>
    <row r="606" spans="1:7" ht="14.25" customHeight="1" x14ac:dyDescent="0.3">
      <c r="A606" s="7"/>
      <c r="B606" s="7"/>
      <c r="C606" s="7"/>
      <c r="D606" s="7"/>
      <c r="E606" s="7"/>
      <c r="F606" s="7"/>
      <c r="G606" s="3" t="str">
        <f t="shared" si="9"/>
        <v/>
      </c>
    </row>
    <row r="607" spans="1:7" ht="14.25" customHeight="1" x14ac:dyDescent="0.3">
      <c r="A607" s="7"/>
      <c r="B607" s="7"/>
      <c r="C607" s="7"/>
      <c r="D607" s="7"/>
      <c r="E607" s="7"/>
      <c r="F607" s="7"/>
      <c r="G607" s="3" t="str">
        <f t="shared" si="9"/>
        <v/>
      </c>
    </row>
    <row r="608" spans="1:7" ht="14.25" customHeight="1" x14ac:dyDescent="0.3">
      <c r="A608" s="7"/>
      <c r="B608" s="7"/>
      <c r="C608" s="7"/>
      <c r="D608" s="7"/>
      <c r="E608" s="7"/>
      <c r="F608" s="7"/>
      <c r="G608" s="3" t="str">
        <f t="shared" si="9"/>
        <v/>
      </c>
    </row>
    <row r="609" spans="1:7" ht="14.25" customHeight="1" x14ac:dyDescent="0.3">
      <c r="A609" s="7"/>
      <c r="B609" s="7"/>
      <c r="C609" s="7"/>
      <c r="D609" s="7"/>
      <c r="E609" s="7"/>
      <c r="F609" s="7"/>
      <c r="G609" s="3" t="str">
        <f t="shared" si="9"/>
        <v/>
      </c>
    </row>
    <row r="610" spans="1:7" ht="14.25" customHeight="1" x14ac:dyDescent="0.3">
      <c r="A610" s="7"/>
      <c r="B610" s="7"/>
      <c r="C610" s="7"/>
      <c r="D610" s="7"/>
      <c r="E610" s="7"/>
      <c r="F610" s="7"/>
      <c r="G610" s="3" t="str">
        <f t="shared" si="9"/>
        <v/>
      </c>
    </row>
    <row r="611" spans="1:7" ht="14.25" customHeight="1" x14ac:dyDescent="0.3">
      <c r="A611" s="7"/>
      <c r="B611" s="7"/>
      <c r="C611" s="7"/>
      <c r="D611" s="7"/>
      <c r="E611" s="7"/>
      <c r="F611" s="7"/>
      <c r="G611" s="3" t="str">
        <f t="shared" si="9"/>
        <v/>
      </c>
    </row>
    <row r="612" spans="1:7" ht="14.25" customHeight="1" x14ac:dyDescent="0.3">
      <c r="A612" s="7"/>
      <c r="B612" s="7"/>
      <c r="C612" s="7"/>
      <c r="D612" s="7"/>
      <c r="E612" s="7"/>
      <c r="F612" s="7"/>
      <c r="G612" s="3" t="str">
        <f t="shared" si="9"/>
        <v/>
      </c>
    </row>
    <row r="613" spans="1:7" ht="14.25" customHeight="1" x14ac:dyDescent="0.3">
      <c r="A613" s="7"/>
      <c r="B613" s="7"/>
      <c r="C613" s="7"/>
      <c r="D613" s="7"/>
      <c r="E613" s="7"/>
      <c r="F613" s="7"/>
      <c r="G613" s="3" t="str">
        <f t="shared" si="9"/>
        <v/>
      </c>
    </row>
    <row r="614" spans="1:7" ht="14.25" customHeight="1" x14ac:dyDescent="0.3">
      <c r="A614" s="7"/>
      <c r="B614" s="7"/>
      <c r="C614" s="7"/>
      <c r="D614" s="7"/>
      <c r="E614" s="7"/>
      <c r="F614" s="7"/>
      <c r="G614" s="3" t="str">
        <f t="shared" si="9"/>
        <v/>
      </c>
    </row>
    <row r="615" spans="1:7" ht="14.25" customHeight="1" x14ac:dyDescent="0.3">
      <c r="A615" s="7"/>
      <c r="B615" s="7"/>
      <c r="C615" s="7"/>
      <c r="D615" s="7"/>
      <c r="E615" s="7"/>
      <c r="F615" s="7"/>
      <c r="G615" s="3" t="str">
        <f t="shared" si="9"/>
        <v/>
      </c>
    </row>
    <row r="616" spans="1:7" ht="14.25" customHeight="1" x14ac:dyDescent="0.3">
      <c r="A616" s="7"/>
      <c r="B616" s="7"/>
      <c r="C616" s="7"/>
      <c r="D616" s="7"/>
      <c r="E616" s="7"/>
      <c r="F616" s="7"/>
      <c r="G616" s="3" t="str">
        <f t="shared" si="9"/>
        <v/>
      </c>
    </row>
    <row r="617" spans="1:7" ht="14.25" customHeight="1" x14ac:dyDescent="0.3">
      <c r="A617" s="7"/>
      <c r="B617" s="7"/>
      <c r="C617" s="7"/>
      <c r="D617" s="7"/>
      <c r="E617" s="7"/>
      <c r="F617" s="7"/>
      <c r="G617" s="3" t="str">
        <f t="shared" si="9"/>
        <v/>
      </c>
    </row>
    <row r="618" spans="1:7" ht="14.25" customHeight="1" x14ac:dyDescent="0.3">
      <c r="A618" s="7"/>
      <c r="B618" s="7"/>
      <c r="C618" s="7"/>
      <c r="D618" s="7"/>
      <c r="E618" s="7"/>
      <c r="F618" s="7"/>
      <c r="G618" s="3" t="str">
        <f t="shared" si="9"/>
        <v/>
      </c>
    </row>
    <row r="619" spans="1:7" ht="14.25" customHeight="1" x14ac:dyDescent="0.3">
      <c r="A619" s="7"/>
      <c r="B619" s="7"/>
      <c r="C619" s="7"/>
      <c r="D619" s="7"/>
      <c r="E619" s="7"/>
      <c r="F619" s="7"/>
      <c r="G619" s="3" t="str">
        <f t="shared" si="9"/>
        <v/>
      </c>
    </row>
    <row r="620" spans="1:7" ht="14.25" customHeight="1" x14ac:dyDescent="0.3">
      <c r="A620" s="7"/>
      <c r="B620" s="7"/>
      <c r="C620" s="7"/>
      <c r="D620" s="7"/>
      <c r="E620" s="7"/>
      <c r="F620" s="7"/>
      <c r="G620" s="3" t="str">
        <f t="shared" si="9"/>
        <v/>
      </c>
    </row>
    <row r="621" spans="1:7" ht="14.25" customHeight="1" x14ac:dyDescent="0.3">
      <c r="A621" s="7"/>
      <c r="B621" s="7"/>
      <c r="C621" s="7"/>
      <c r="D621" s="7"/>
      <c r="E621" s="7"/>
      <c r="F621" s="7"/>
      <c r="G621" s="3" t="str">
        <f t="shared" si="9"/>
        <v/>
      </c>
    </row>
    <row r="622" spans="1:7" ht="14.25" customHeight="1" x14ac:dyDescent="0.3">
      <c r="A622" s="7"/>
      <c r="B622" s="7"/>
      <c r="C622" s="7"/>
      <c r="D622" s="7"/>
      <c r="E622" s="7"/>
      <c r="F622" s="7"/>
      <c r="G622" s="3" t="str">
        <f t="shared" si="9"/>
        <v/>
      </c>
    </row>
    <row r="623" spans="1:7" ht="14.25" customHeight="1" x14ac:dyDescent="0.3">
      <c r="A623" s="7"/>
      <c r="B623" s="7"/>
      <c r="C623" s="7"/>
      <c r="D623" s="7"/>
      <c r="E623" s="7"/>
      <c r="F623" s="7"/>
      <c r="G623" s="3" t="str">
        <f t="shared" si="9"/>
        <v/>
      </c>
    </row>
    <row r="624" spans="1:7" ht="14.25" customHeight="1" x14ac:dyDescent="0.3">
      <c r="A624" s="7"/>
      <c r="B624" s="7"/>
      <c r="C624" s="7"/>
      <c r="D624" s="7"/>
      <c r="E624" s="7"/>
      <c r="F624" s="7"/>
      <c r="G624" s="3" t="str">
        <f t="shared" si="9"/>
        <v/>
      </c>
    </row>
    <row r="625" spans="1:7" ht="14.25" customHeight="1" x14ac:dyDescent="0.3">
      <c r="A625" s="7"/>
      <c r="B625" s="7"/>
      <c r="C625" s="7"/>
      <c r="D625" s="7"/>
      <c r="E625" s="7"/>
      <c r="F625" s="7"/>
      <c r="G625" s="3" t="str">
        <f t="shared" si="9"/>
        <v/>
      </c>
    </row>
    <row r="626" spans="1:7" ht="14.25" customHeight="1" x14ac:dyDescent="0.3">
      <c r="A626" s="7"/>
      <c r="B626" s="7"/>
      <c r="C626" s="7"/>
      <c r="D626" s="7"/>
      <c r="E626" s="7"/>
      <c r="F626" s="7"/>
      <c r="G626" s="3" t="str">
        <f t="shared" si="9"/>
        <v/>
      </c>
    </row>
    <row r="627" spans="1:7" ht="14.25" customHeight="1" x14ac:dyDescent="0.3">
      <c r="A627" s="7"/>
      <c r="B627" s="7"/>
      <c r="C627" s="7"/>
      <c r="D627" s="7"/>
      <c r="E627" s="7"/>
      <c r="F627" s="7"/>
      <c r="G627" s="3" t="str">
        <f t="shared" si="9"/>
        <v/>
      </c>
    </row>
    <row r="628" spans="1:7" ht="14.25" customHeight="1" x14ac:dyDescent="0.3">
      <c r="A628" s="7"/>
      <c r="B628" s="7"/>
      <c r="C628" s="7"/>
      <c r="D628" s="7"/>
      <c r="E628" s="7"/>
      <c r="F628" s="7"/>
      <c r="G628" s="3" t="str">
        <f t="shared" si="9"/>
        <v/>
      </c>
    </row>
    <row r="629" spans="1:7" ht="14.25" customHeight="1" x14ac:dyDescent="0.3">
      <c r="A629" s="7"/>
      <c r="B629" s="7"/>
      <c r="C629" s="7"/>
      <c r="D629" s="7"/>
      <c r="E629" s="7"/>
      <c r="F629" s="7"/>
      <c r="G629" s="3" t="str">
        <f t="shared" si="9"/>
        <v/>
      </c>
    </row>
    <row r="630" spans="1:7" ht="14.25" customHeight="1" x14ac:dyDescent="0.3">
      <c r="A630" s="7"/>
      <c r="B630" s="7"/>
      <c r="C630" s="7"/>
      <c r="D630" s="7"/>
      <c r="E630" s="7"/>
      <c r="F630" s="7"/>
      <c r="G630" s="3" t="str">
        <f t="shared" si="9"/>
        <v/>
      </c>
    </row>
    <row r="631" spans="1:7" ht="14.25" customHeight="1" x14ac:dyDescent="0.3">
      <c r="A631" s="7"/>
      <c r="B631" s="7"/>
      <c r="C631" s="7"/>
      <c r="D631" s="7"/>
      <c r="E631" s="7"/>
      <c r="F631" s="7"/>
      <c r="G631" s="3" t="str">
        <f t="shared" si="9"/>
        <v/>
      </c>
    </row>
    <row r="632" spans="1:7" ht="14.25" customHeight="1" x14ac:dyDescent="0.3">
      <c r="A632" s="7"/>
      <c r="B632" s="7"/>
      <c r="C632" s="7"/>
      <c r="D632" s="7"/>
      <c r="E632" s="7"/>
      <c r="F632" s="7"/>
      <c r="G632" s="3" t="str">
        <f t="shared" si="9"/>
        <v/>
      </c>
    </row>
    <row r="633" spans="1:7" ht="14.25" customHeight="1" x14ac:dyDescent="0.3">
      <c r="A633" s="7"/>
      <c r="B633" s="7"/>
      <c r="C633" s="7"/>
      <c r="D633" s="7"/>
      <c r="E633" s="7"/>
      <c r="F633" s="7"/>
      <c r="G633" s="3" t="str">
        <f t="shared" si="9"/>
        <v/>
      </c>
    </row>
    <row r="634" spans="1:7" ht="14.25" customHeight="1" x14ac:dyDescent="0.3">
      <c r="A634" s="7"/>
      <c r="B634" s="7"/>
      <c r="C634" s="7"/>
      <c r="D634" s="7"/>
      <c r="E634" s="7"/>
      <c r="F634" s="7"/>
      <c r="G634" s="3" t="str">
        <f t="shared" si="9"/>
        <v/>
      </c>
    </row>
    <row r="635" spans="1:7" ht="14.25" customHeight="1" x14ac:dyDescent="0.3">
      <c r="A635" s="7"/>
      <c r="B635" s="7"/>
      <c r="C635" s="7"/>
      <c r="D635" s="7"/>
      <c r="E635" s="7"/>
      <c r="F635" s="7"/>
      <c r="G635" s="3" t="str">
        <f t="shared" si="9"/>
        <v/>
      </c>
    </row>
    <row r="636" spans="1:7" ht="14.25" customHeight="1" x14ac:dyDescent="0.3">
      <c r="A636" s="7"/>
      <c r="B636" s="7"/>
      <c r="C636" s="7"/>
      <c r="D636" s="7"/>
      <c r="E636" s="7"/>
      <c r="F636" s="7"/>
      <c r="G636" s="3" t="str">
        <f t="shared" si="9"/>
        <v/>
      </c>
    </row>
    <row r="637" spans="1:7" ht="14.25" customHeight="1" x14ac:dyDescent="0.3">
      <c r="A637" s="7"/>
      <c r="B637" s="7"/>
      <c r="C637" s="7"/>
      <c r="D637" s="7"/>
      <c r="E637" s="7"/>
      <c r="F637" s="7"/>
      <c r="G637" s="3" t="str">
        <f t="shared" si="9"/>
        <v/>
      </c>
    </row>
    <row r="638" spans="1:7" ht="14.25" customHeight="1" x14ac:dyDescent="0.3">
      <c r="A638" s="7"/>
      <c r="B638" s="7"/>
      <c r="C638" s="7"/>
      <c r="D638" s="7"/>
      <c r="E638" s="7"/>
      <c r="F638" s="7"/>
      <c r="G638" s="3" t="str">
        <f t="shared" si="9"/>
        <v/>
      </c>
    </row>
    <row r="639" spans="1:7" ht="14.25" customHeight="1" x14ac:dyDescent="0.3">
      <c r="A639" s="7"/>
      <c r="B639" s="7"/>
      <c r="C639" s="7"/>
      <c r="D639" s="7"/>
      <c r="E639" s="7"/>
      <c r="F639" s="7"/>
      <c r="G639" s="3" t="str">
        <f t="shared" si="9"/>
        <v/>
      </c>
    </row>
    <row r="640" spans="1:7" ht="14.25" customHeight="1" x14ac:dyDescent="0.3">
      <c r="A640" s="7"/>
      <c r="B640" s="7"/>
      <c r="C640" s="7"/>
      <c r="D640" s="7"/>
      <c r="E640" s="7"/>
      <c r="F640" s="7"/>
      <c r="G640" s="3" t="str">
        <f t="shared" si="9"/>
        <v/>
      </c>
    </row>
    <row r="641" spans="1:7" ht="14.25" customHeight="1" x14ac:dyDescent="0.3">
      <c r="A641" s="7"/>
      <c r="B641" s="7"/>
      <c r="C641" s="7"/>
      <c r="D641" s="7"/>
      <c r="E641" s="7"/>
      <c r="F641" s="7"/>
      <c r="G641" s="3" t="str">
        <f t="shared" si="9"/>
        <v/>
      </c>
    </row>
    <row r="642" spans="1:7" ht="14.25" customHeight="1" x14ac:dyDescent="0.3">
      <c r="A642" s="7"/>
      <c r="B642" s="7"/>
      <c r="C642" s="7"/>
      <c r="D642" s="7"/>
      <c r="E642" s="7"/>
      <c r="F642" s="7"/>
      <c r="G642" s="3" t="str">
        <f t="shared" ref="G642:G705" si="10">IF(COUNTA(A642:F642)=0,"",IF(COUNTIF($A$2:$A$1000,A642)&gt;1,"DUPLICATE COURSE CODE","OK"))</f>
        <v/>
      </c>
    </row>
    <row r="643" spans="1:7" ht="14.25" customHeight="1" x14ac:dyDescent="0.3">
      <c r="A643" s="7"/>
      <c r="B643" s="7"/>
      <c r="C643" s="7"/>
      <c r="D643" s="7"/>
      <c r="E643" s="7"/>
      <c r="F643" s="7"/>
      <c r="G643" s="3" t="str">
        <f t="shared" si="10"/>
        <v/>
      </c>
    </row>
    <row r="644" spans="1:7" ht="14.25" customHeight="1" x14ac:dyDescent="0.3">
      <c r="A644" s="7"/>
      <c r="B644" s="7"/>
      <c r="C644" s="7"/>
      <c r="D644" s="7"/>
      <c r="E644" s="7"/>
      <c r="F644" s="7"/>
      <c r="G644" s="3" t="str">
        <f t="shared" si="10"/>
        <v/>
      </c>
    </row>
    <row r="645" spans="1:7" ht="14.25" customHeight="1" x14ac:dyDescent="0.3">
      <c r="A645" s="7"/>
      <c r="B645" s="7"/>
      <c r="C645" s="7"/>
      <c r="D645" s="7"/>
      <c r="E645" s="7"/>
      <c r="F645" s="7"/>
      <c r="G645" s="3" t="str">
        <f t="shared" si="10"/>
        <v/>
      </c>
    </row>
    <row r="646" spans="1:7" ht="14.25" customHeight="1" x14ac:dyDescent="0.3">
      <c r="A646" s="7"/>
      <c r="B646" s="7"/>
      <c r="C646" s="7"/>
      <c r="D646" s="7"/>
      <c r="E646" s="7"/>
      <c r="F646" s="7"/>
      <c r="G646" s="3" t="str">
        <f t="shared" si="10"/>
        <v/>
      </c>
    </row>
    <row r="647" spans="1:7" ht="14.25" customHeight="1" x14ac:dyDescent="0.3">
      <c r="A647" s="7"/>
      <c r="B647" s="7"/>
      <c r="C647" s="7"/>
      <c r="D647" s="7"/>
      <c r="E647" s="7"/>
      <c r="F647" s="7"/>
      <c r="G647" s="3" t="str">
        <f t="shared" si="10"/>
        <v/>
      </c>
    </row>
    <row r="648" spans="1:7" ht="14.25" customHeight="1" x14ac:dyDescent="0.3">
      <c r="A648" s="7"/>
      <c r="B648" s="7"/>
      <c r="C648" s="7"/>
      <c r="D648" s="7"/>
      <c r="E648" s="7"/>
      <c r="F648" s="7"/>
      <c r="G648" s="3" t="str">
        <f t="shared" si="10"/>
        <v/>
      </c>
    </row>
    <row r="649" spans="1:7" ht="14.25" customHeight="1" x14ac:dyDescent="0.3">
      <c r="A649" s="7"/>
      <c r="B649" s="7"/>
      <c r="C649" s="7"/>
      <c r="D649" s="7"/>
      <c r="E649" s="7"/>
      <c r="F649" s="7"/>
      <c r="G649" s="3" t="str">
        <f t="shared" si="10"/>
        <v/>
      </c>
    </row>
    <row r="650" spans="1:7" ht="14.25" customHeight="1" x14ac:dyDescent="0.3">
      <c r="A650" s="7"/>
      <c r="B650" s="7"/>
      <c r="C650" s="7"/>
      <c r="D650" s="7"/>
      <c r="E650" s="7"/>
      <c r="F650" s="7"/>
      <c r="G650" s="3" t="str">
        <f t="shared" si="10"/>
        <v/>
      </c>
    </row>
    <row r="651" spans="1:7" ht="14.25" customHeight="1" x14ac:dyDescent="0.3">
      <c r="A651" s="7"/>
      <c r="B651" s="7"/>
      <c r="C651" s="7"/>
      <c r="D651" s="7"/>
      <c r="E651" s="7"/>
      <c r="F651" s="7"/>
      <c r="G651" s="3" t="str">
        <f t="shared" si="10"/>
        <v/>
      </c>
    </row>
    <row r="652" spans="1:7" ht="14.25" customHeight="1" x14ac:dyDescent="0.3">
      <c r="A652" s="7"/>
      <c r="B652" s="7"/>
      <c r="C652" s="7"/>
      <c r="D652" s="7"/>
      <c r="E652" s="7"/>
      <c r="F652" s="7"/>
      <c r="G652" s="3" t="str">
        <f t="shared" si="10"/>
        <v/>
      </c>
    </row>
    <row r="653" spans="1:7" ht="14.25" customHeight="1" x14ac:dyDescent="0.3">
      <c r="A653" s="7"/>
      <c r="B653" s="7"/>
      <c r="C653" s="7"/>
      <c r="D653" s="7"/>
      <c r="E653" s="7"/>
      <c r="F653" s="7"/>
      <c r="G653" s="3" t="str">
        <f t="shared" si="10"/>
        <v/>
      </c>
    </row>
    <row r="654" spans="1:7" ht="14.25" customHeight="1" x14ac:dyDescent="0.3">
      <c r="A654" s="7"/>
      <c r="B654" s="7"/>
      <c r="C654" s="7"/>
      <c r="D654" s="7"/>
      <c r="E654" s="7"/>
      <c r="F654" s="7"/>
      <c r="G654" s="3" t="str">
        <f t="shared" si="10"/>
        <v/>
      </c>
    </row>
    <row r="655" spans="1:7" ht="14.25" customHeight="1" x14ac:dyDescent="0.3">
      <c r="A655" s="7"/>
      <c r="B655" s="7"/>
      <c r="C655" s="7"/>
      <c r="D655" s="7"/>
      <c r="E655" s="7"/>
      <c r="F655" s="7"/>
      <c r="G655" s="3" t="str">
        <f t="shared" si="10"/>
        <v/>
      </c>
    </row>
    <row r="656" spans="1:7" ht="14.25" customHeight="1" x14ac:dyDescent="0.3">
      <c r="A656" s="7"/>
      <c r="B656" s="7"/>
      <c r="C656" s="7"/>
      <c r="D656" s="7"/>
      <c r="E656" s="7"/>
      <c r="F656" s="7"/>
      <c r="G656" s="3" t="str">
        <f t="shared" si="10"/>
        <v/>
      </c>
    </row>
    <row r="657" spans="1:7" ht="14.25" customHeight="1" x14ac:dyDescent="0.3">
      <c r="A657" s="7"/>
      <c r="B657" s="7"/>
      <c r="C657" s="7"/>
      <c r="D657" s="7"/>
      <c r="E657" s="7"/>
      <c r="F657" s="7"/>
      <c r="G657" s="3" t="str">
        <f t="shared" si="10"/>
        <v/>
      </c>
    </row>
    <row r="658" spans="1:7" ht="14.25" customHeight="1" x14ac:dyDescent="0.3">
      <c r="A658" s="7"/>
      <c r="B658" s="7"/>
      <c r="C658" s="7"/>
      <c r="D658" s="7"/>
      <c r="E658" s="7"/>
      <c r="F658" s="7"/>
      <c r="G658" s="3" t="str">
        <f t="shared" si="10"/>
        <v/>
      </c>
    </row>
    <row r="659" spans="1:7" ht="14.25" customHeight="1" x14ac:dyDescent="0.3">
      <c r="A659" s="7"/>
      <c r="B659" s="7"/>
      <c r="C659" s="7"/>
      <c r="D659" s="7"/>
      <c r="E659" s="7"/>
      <c r="F659" s="7"/>
      <c r="G659" s="3" t="str">
        <f t="shared" si="10"/>
        <v/>
      </c>
    </row>
    <row r="660" spans="1:7" ht="14.25" customHeight="1" x14ac:dyDescent="0.3">
      <c r="A660" s="7"/>
      <c r="B660" s="7"/>
      <c r="C660" s="7"/>
      <c r="D660" s="7"/>
      <c r="E660" s="7"/>
      <c r="F660" s="7"/>
      <c r="G660" s="3" t="str">
        <f t="shared" si="10"/>
        <v/>
      </c>
    </row>
    <row r="661" spans="1:7" ht="14.25" customHeight="1" x14ac:dyDescent="0.3">
      <c r="A661" s="7"/>
      <c r="B661" s="7"/>
      <c r="C661" s="7"/>
      <c r="D661" s="7"/>
      <c r="E661" s="7"/>
      <c r="F661" s="7"/>
      <c r="G661" s="3" t="str">
        <f t="shared" si="10"/>
        <v/>
      </c>
    </row>
    <row r="662" spans="1:7" ht="14.25" customHeight="1" x14ac:dyDescent="0.3">
      <c r="A662" s="7"/>
      <c r="B662" s="7"/>
      <c r="C662" s="7"/>
      <c r="D662" s="7"/>
      <c r="E662" s="7"/>
      <c r="F662" s="7"/>
      <c r="G662" s="3" t="str">
        <f t="shared" si="10"/>
        <v/>
      </c>
    </row>
    <row r="663" spans="1:7" ht="14.25" customHeight="1" x14ac:dyDescent="0.3">
      <c r="A663" s="7"/>
      <c r="B663" s="7"/>
      <c r="C663" s="7"/>
      <c r="D663" s="7"/>
      <c r="E663" s="7"/>
      <c r="F663" s="7"/>
      <c r="G663" s="3" t="str">
        <f t="shared" si="10"/>
        <v/>
      </c>
    </row>
    <row r="664" spans="1:7" ht="14.25" customHeight="1" x14ac:dyDescent="0.3">
      <c r="A664" s="7"/>
      <c r="B664" s="7"/>
      <c r="C664" s="7"/>
      <c r="D664" s="7"/>
      <c r="E664" s="7"/>
      <c r="F664" s="7"/>
      <c r="G664" s="3" t="str">
        <f t="shared" si="10"/>
        <v/>
      </c>
    </row>
    <row r="665" spans="1:7" ht="14.25" customHeight="1" x14ac:dyDescent="0.3">
      <c r="A665" s="7"/>
      <c r="B665" s="7"/>
      <c r="C665" s="7"/>
      <c r="D665" s="7"/>
      <c r="E665" s="7"/>
      <c r="F665" s="7"/>
      <c r="G665" s="3" t="str">
        <f t="shared" si="10"/>
        <v/>
      </c>
    </row>
    <row r="666" spans="1:7" ht="14.25" customHeight="1" x14ac:dyDescent="0.3">
      <c r="A666" s="7"/>
      <c r="B666" s="7"/>
      <c r="C666" s="7"/>
      <c r="D666" s="7"/>
      <c r="E666" s="7"/>
      <c r="F666" s="7"/>
      <c r="G666" s="3" t="str">
        <f t="shared" si="10"/>
        <v/>
      </c>
    </row>
    <row r="667" spans="1:7" ht="14.25" customHeight="1" x14ac:dyDescent="0.3">
      <c r="A667" s="7"/>
      <c r="B667" s="7"/>
      <c r="C667" s="7"/>
      <c r="D667" s="7"/>
      <c r="E667" s="7"/>
      <c r="F667" s="7"/>
      <c r="G667" s="3" t="str">
        <f t="shared" si="10"/>
        <v/>
      </c>
    </row>
    <row r="668" spans="1:7" ht="14.25" customHeight="1" x14ac:dyDescent="0.3">
      <c r="A668" s="7"/>
      <c r="B668" s="7"/>
      <c r="C668" s="7"/>
      <c r="D668" s="7"/>
      <c r="E668" s="7"/>
      <c r="F668" s="7"/>
      <c r="G668" s="3" t="str">
        <f t="shared" si="10"/>
        <v/>
      </c>
    </row>
    <row r="669" spans="1:7" ht="14.25" customHeight="1" x14ac:dyDescent="0.3">
      <c r="A669" s="7"/>
      <c r="B669" s="7"/>
      <c r="C669" s="7"/>
      <c r="D669" s="7"/>
      <c r="E669" s="7"/>
      <c r="F669" s="7"/>
      <c r="G669" s="3" t="str">
        <f t="shared" si="10"/>
        <v/>
      </c>
    </row>
    <row r="670" spans="1:7" ht="14.25" customHeight="1" x14ac:dyDescent="0.3">
      <c r="A670" s="7"/>
      <c r="B670" s="7"/>
      <c r="C670" s="7"/>
      <c r="D670" s="7"/>
      <c r="E670" s="7"/>
      <c r="F670" s="7"/>
      <c r="G670" s="3" t="str">
        <f t="shared" si="10"/>
        <v/>
      </c>
    </row>
    <row r="671" spans="1:7" ht="14.25" customHeight="1" x14ac:dyDescent="0.3">
      <c r="A671" s="7"/>
      <c r="B671" s="7"/>
      <c r="C671" s="7"/>
      <c r="D671" s="7"/>
      <c r="E671" s="7"/>
      <c r="F671" s="7"/>
      <c r="G671" s="3" t="str">
        <f t="shared" si="10"/>
        <v/>
      </c>
    </row>
    <row r="672" spans="1:7" ht="14.25" customHeight="1" x14ac:dyDescent="0.3">
      <c r="A672" s="7"/>
      <c r="B672" s="7"/>
      <c r="C672" s="7"/>
      <c r="D672" s="7"/>
      <c r="E672" s="7"/>
      <c r="F672" s="7"/>
      <c r="G672" s="3" t="str">
        <f t="shared" si="10"/>
        <v/>
      </c>
    </row>
    <row r="673" spans="1:7" ht="14.25" customHeight="1" x14ac:dyDescent="0.3">
      <c r="A673" s="7"/>
      <c r="B673" s="7"/>
      <c r="C673" s="7"/>
      <c r="D673" s="7"/>
      <c r="E673" s="7"/>
      <c r="F673" s="7"/>
      <c r="G673" s="3" t="str">
        <f t="shared" si="10"/>
        <v/>
      </c>
    </row>
    <row r="674" spans="1:7" ht="14.25" customHeight="1" x14ac:dyDescent="0.3">
      <c r="A674" s="7"/>
      <c r="B674" s="7"/>
      <c r="C674" s="7"/>
      <c r="D674" s="7"/>
      <c r="E674" s="7"/>
      <c r="F674" s="7"/>
      <c r="G674" s="3" t="str">
        <f t="shared" si="10"/>
        <v/>
      </c>
    </row>
    <row r="675" spans="1:7" ht="14.25" customHeight="1" x14ac:dyDescent="0.3">
      <c r="A675" s="7"/>
      <c r="B675" s="7"/>
      <c r="C675" s="7"/>
      <c r="D675" s="7"/>
      <c r="E675" s="7"/>
      <c r="F675" s="7"/>
      <c r="G675" s="3" t="str">
        <f t="shared" si="10"/>
        <v/>
      </c>
    </row>
    <row r="676" spans="1:7" ht="14.25" customHeight="1" x14ac:dyDescent="0.3">
      <c r="A676" s="7"/>
      <c r="B676" s="7"/>
      <c r="C676" s="7"/>
      <c r="D676" s="7"/>
      <c r="E676" s="7"/>
      <c r="F676" s="7"/>
      <c r="G676" s="3" t="str">
        <f t="shared" si="10"/>
        <v/>
      </c>
    </row>
    <row r="677" spans="1:7" ht="14.25" customHeight="1" x14ac:dyDescent="0.3">
      <c r="A677" s="7"/>
      <c r="B677" s="7"/>
      <c r="C677" s="7"/>
      <c r="D677" s="7"/>
      <c r="E677" s="7"/>
      <c r="F677" s="7"/>
      <c r="G677" s="3" t="str">
        <f t="shared" si="10"/>
        <v/>
      </c>
    </row>
    <row r="678" spans="1:7" ht="14.25" customHeight="1" x14ac:dyDescent="0.3">
      <c r="A678" s="7"/>
      <c r="B678" s="7"/>
      <c r="C678" s="7"/>
      <c r="D678" s="7"/>
      <c r="E678" s="7"/>
      <c r="F678" s="7"/>
      <c r="G678" s="3" t="str">
        <f t="shared" si="10"/>
        <v/>
      </c>
    </row>
    <row r="679" spans="1:7" ht="14.25" customHeight="1" x14ac:dyDescent="0.3">
      <c r="A679" s="7"/>
      <c r="B679" s="7"/>
      <c r="C679" s="7"/>
      <c r="D679" s="7"/>
      <c r="E679" s="7"/>
      <c r="F679" s="7"/>
      <c r="G679" s="3" t="str">
        <f t="shared" si="10"/>
        <v/>
      </c>
    </row>
    <row r="680" spans="1:7" ht="14.25" customHeight="1" x14ac:dyDescent="0.3">
      <c r="A680" s="7"/>
      <c r="B680" s="7"/>
      <c r="C680" s="7"/>
      <c r="D680" s="7"/>
      <c r="E680" s="7"/>
      <c r="F680" s="7"/>
      <c r="G680" s="3" t="str">
        <f t="shared" si="10"/>
        <v/>
      </c>
    </row>
    <row r="681" spans="1:7" ht="14.25" customHeight="1" x14ac:dyDescent="0.3">
      <c r="A681" s="7"/>
      <c r="B681" s="7"/>
      <c r="C681" s="7"/>
      <c r="D681" s="7"/>
      <c r="E681" s="7"/>
      <c r="F681" s="7"/>
      <c r="G681" s="3" t="str">
        <f t="shared" si="10"/>
        <v/>
      </c>
    </row>
    <row r="682" spans="1:7" ht="14.25" customHeight="1" x14ac:dyDescent="0.3">
      <c r="A682" s="7"/>
      <c r="B682" s="7"/>
      <c r="C682" s="7"/>
      <c r="D682" s="7"/>
      <c r="E682" s="7"/>
      <c r="F682" s="7"/>
      <c r="G682" s="3" t="str">
        <f t="shared" si="10"/>
        <v/>
      </c>
    </row>
    <row r="683" spans="1:7" ht="14.25" customHeight="1" x14ac:dyDescent="0.3">
      <c r="A683" s="7"/>
      <c r="B683" s="7"/>
      <c r="C683" s="7"/>
      <c r="D683" s="7"/>
      <c r="E683" s="7"/>
      <c r="F683" s="7"/>
      <c r="G683" s="3" t="str">
        <f t="shared" si="10"/>
        <v/>
      </c>
    </row>
    <row r="684" spans="1:7" ht="14.25" customHeight="1" x14ac:dyDescent="0.3">
      <c r="A684" s="7"/>
      <c r="B684" s="7"/>
      <c r="C684" s="7"/>
      <c r="D684" s="7"/>
      <c r="E684" s="7"/>
      <c r="F684" s="7"/>
      <c r="G684" s="3" t="str">
        <f t="shared" si="10"/>
        <v/>
      </c>
    </row>
    <row r="685" spans="1:7" ht="14.25" customHeight="1" x14ac:dyDescent="0.3">
      <c r="A685" s="7"/>
      <c r="B685" s="7"/>
      <c r="C685" s="7"/>
      <c r="D685" s="7"/>
      <c r="E685" s="7"/>
      <c r="F685" s="7"/>
      <c r="G685" s="3" t="str">
        <f t="shared" si="10"/>
        <v/>
      </c>
    </row>
    <row r="686" spans="1:7" ht="14.25" customHeight="1" x14ac:dyDescent="0.3">
      <c r="A686" s="7"/>
      <c r="B686" s="7"/>
      <c r="C686" s="7"/>
      <c r="D686" s="7"/>
      <c r="E686" s="7"/>
      <c r="F686" s="7"/>
      <c r="G686" s="3" t="str">
        <f t="shared" si="10"/>
        <v/>
      </c>
    </row>
    <row r="687" spans="1:7" ht="14.25" customHeight="1" x14ac:dyDescent="0.3">
      <c r="A687" s="7"/>
      <c r="B687" s="7"/>
      <c r="C687" s="7"/>
      <c r="D687" s="7"/>
      <c r="E687" s="7"/>
      <c r="F687" s="7"/>
      <c r="G687" s="3" t="str">
        <f t="shared" si="10"/>
        <v/>
      </c>
    </row>
    <row r="688" spans="1:7" ht="14.25" customHeight="1" x14ac:dyDescent="0.3">
      <c r="A688" s="7"/>
      <c r="B688" s="7"/>
      <c r="C688" s="7"/>
      <c r="D688" s="7"/>
      <c r="E688" s="7"/>
      <c r="F688" s="7"/>
      <c r="G688" s="3" t="str">
        <f t="shared" si="10"/>
        <v/>
      </c>
    </row>
    <row r="689" spans="1:7" ht="14.25" customHeight="1" x14ac:dyDescent="0.3">
      <c r="A689" s="7"/>
      <c r="B689" s="7"/>
      <c r="C689" s="7"/>
      <c r="D689" s="7"/>
      <c r="E689" s="7"/>
      <c r="F689" s="7"/>
      <c r="G689" s="3" t="str">
        <f t="shared" si="10"/>
        <v/>
      </c>
    </row>
    <row r="690" spans="1:7" ht="14.25" customHeight="1" x14ac:dyDescent="0.3">
      <c r="A690" s="7"/>
      <c r="B690" s="7"/>
      <c r="C690" s="7"/>
      <c r="D690" s="7"/>
      <c r="E690" s="7"/>
      <c r="F690" s="7"/>
      <c r="G690" s="3" t="str">
        <f t="shared" si="10"/>
        <v/>
      </c>
    </row>
    <row r="691" spans="1:7" ht="14.25" customHeight="1" x14ac:dyDescent="0.3">
      <c r="A691" s="7"/>
      <c r="B691" s="7"/>
      <c r="C691" s="7"/>
      <c r="D691" s="7"/>
      <c r="E691" s="7"/>
      <c r="F691" s="7"/>
      <c r="G691" s="3" t="str">
        <f t="shared" si="10"/>
        <v/>
      </c>
    </row>
    <row r="692" spans="1:7" ht="14.25" customHeight="1" x14ac:dyDescent="0.3">
      <c r="A692" s="7"/>
      <c r="B692" s="7"/>
      <c r="C692" s="7"/>
      <c r="D692" s="7"/>
      <c r="E692" s="7"/>
      <c r="F692" s="7"/>
      <c r="G692" s="3" t="str">
        <f t="shared" si="10"/>
        <v/>
      </c>
    </row>
    <row r="693" spans="1:7" ht="14.25" customHeight="1" x14ac:dyDescent="0.3">
      <c r="A693" s="7"/>
      <c r="B693" s="7"/>
      <c r="C693" s="7"/>
      <c r="D693" s="7"/>
      <c r="E693" s="7"/>
      <c r="F693" s="7"/>
      <c r="G693" s="3" t="str">
        <f t="shared" si="10"/>
        <v/>
      </c>
    </row>
    <row r="694" spans="1:7" ht="14.25" customHeight="1" x14ac:dyDescent="0.3">
      <c r="A694" s="7"/>
      <c r="B694" s="7"/>
      <c r="C694" s="7"/>
      <c r="D694" s="7"/>
      <c r="E694" s="7"/>
      <c r="F694" s="7"/>
      <c r="G694" s="3" t="str">
        <f t="shared" si="10"/>
        <v/>
      </c>
    </row>
    <row r="695" spans="1:7" ht="14.25" customHeight="1" x14ac:dyDescent="0.3">
      <c r="A695" s="7"/>
      <c r="B695" s="7"/>
      <c r="C695" s="7"/>
      <c r="D695" s="7"/>
      <c r="E695" s="7"/>
      <c r="F695" s="7"/>
      <c r="G695" s="3" t="str">
        <f t="shared" si="10"/>
        <v/>
      </c>
    </row>
    <row r="696" spans="1:7" ht="14.25" customHeight="1" x14ac:dyDescent="0.3">
      <c r="A696" s="7"/>
      <c r="B696" s="7"/>
      <c r="C696" s="7"/>
      <c r="D696" s="7"/>
      <c r="E696" s="7"/>
      <c r="F696" s="7"/>
      <c r="G696" s="3" t="str">
        <f t="shared" si="10"/>
        <v/>
      </c>
    </row>
    <row r="697" spans="1:7" ht="14.25" customHeight="1" x14ac:dyDescent="0.3">
      <c r="A697" s="7"/>
      <c r="B697" s="7"/>
      <c r="C697" s="7"/>
      <c r="D697" s="7"/>
      <c r="E697" s="7"/>
      <c r="F697" s="7"/>
      <c r="G697" s="3" t="str">
        <f t="shared" si="10"/>
        <v/>
      </c>
    </row>
    <row r="698" spans="1:7" ht="14.25" customHeight="1" x14ac:dyDescent="0.3">
      <c r="A698" s="7"/>
      <c r="B698" s="7"/>
      <c r="C698" s="7"/>
      <c r="D698" s="7"/>
      <c r="E698" s="7"/>
      <c r="F698" s="7"/>
      <c r="G698" s="3" t="str">
        <f t="shared" si="10"/>
        <v/>
      </c>
    </row>
    <row r="699" spans="1:7" ht="14.25" customHeight="1" x14ac:dyDescent="0.3">
      <c r="A699" s="7"/>
      <c r="B699" s="7"/>
      <c r="C699" s="7"/>
      <c r="D699" s="7"/>
      <c r="E699" s="7"/>
      <c r="F699" s="7"/>
      <c r="G699" s="3" t="str">
        <f t="shared" si="10"/>
        <v/>
      </c>
    </row>
    <row r="700" spans="1:7" ht="14.25" customHeight="1" x14ac:dyDescent="0.3">
      <c r="A700" s="7"/>
      <c r="B700" s="7"/>
      <c r="C700" s="7"/>
      <c r="D700" s="7"/>
      <c r="E700" s="7"/>
      <c r="F700" s="7"/>
      <c r="G700" s="3" t="str">
        <f t="shared" si="10"/>
        <v/>
      </c>
    </row>
    <row r="701" spans="1:7" ht="14.25" customHeight="1" x14ac:dyDescent="0.3">
      <c r="A701" s="7"/>
      <c r="B701" s="7"/>
      <c r="C701" s="7"/>
      <c r="D701" s="7"/>
      <c r="E701" s="7"/>
      <c r="F701" s="7"/>
      <c r="G701" s="3" t="str">
        <f t="shared" si="10"/>
        <v/>
      </c>
    </row>
    <row r="702" spans="1:7" ht="14.25" customHeight="1" x14ac:dyDescent="0.3">
      <c r="A702" s="7"/>
      <c r="B702" s="7"/>
      <c r="C702" s="7"/>
      <c r="D702" s="7"/>
      <c r="E702" s="7"/>
      <c r="F702" s="7"/>
      <c r="G702" s="3" t="str">
        <f t="shared" si="10"/>
        <v/>
      </c>
    </row>
    <row r="703" spans="1:7" ht="14.25" customHeight="1" x14ac:dyDescent="0.3">
      <c r="A703" s="7"/>
      <c r="B703" s="7"/>
      <c r="C703" s="7"/>
      <c r="D703" s="7"/>
      <c r="E703" s="7"/>
      <c r="F703" s="7"/>
      <c r="G703" s="3" t="str">
        <f t="shared" si="10"/>
        <v/>
      </c>
    </row>
    <row r="704" spans="1:7" ht="14.25" customHeight="1" x14ac:dyDescent="0.3">
      <c r="A704" s="7"/>
      <c r="B704" s="7"/>
      <c r="C704" s="7"/>
      <c r="D704" s="7"/>
      <c r="E704" s="7"/>
      <c r="F704" s="7"/>
      <c r="G704" s="3" t="str">
        <f t="shared" si="10"/>
        <v/>
      </c>
    </row>
    <row r="705" spans="1:7" ht="14.25" customHeight="1" x14ac:dyDescent="0.3">
      <c r="A705" s="7"/>
      <c r="B705" s="7"/>
      <c r="C705" s="7"/>
      <c r="D705" s="7"/>
      <c r="E705" s="7"/>
      <c r="F705" s="7"/>
      <c r="G705" s="3" t="str">
        <f t="shared" si="10"/>
        <v/>
      </c>
    </row>
    <row r="706" spans="1:7" ht="14.25" customHeight="1" x14ac:dyDescent="0.3">
      <c r="A706" s="7"/>
      <c r="B706" s="7"/>
      <c r="C706" s="7"/>
      <c r="D706" s="7"/>
      <c r="E706" s="7"/>
      <c r="F706" s="7"/>
      <c r="G706" s="3" t="str">
        <f t="shared" ref="G706:G769" si="11">IF(COUNTA(A706:F706)=0,"",IF(COUNTIF($A$2:$A$1000,A706)&gt;1,"DUPLICATE COURSE CODE","OK"))</f>
        <v/>
      </c>
    </row>
    <row r="707" spans="1:7" ht="14.25" customHeight="1" x14ac:dyDescent="0.3">
      <c r="A707" s="7"/>
      <c r="B707" s="7"/>
      <c r="C707" s="7"/>
      <c r="D707" s="7"/>
      <c r="E707" s="7"/>
      <c r="F707" s="7"/>
      <c r="G707" s="3" t="str">
        <f t="shared" si="11"/>
        <v/>
      </c>
    </row>
    <row r="708" spans="1:7" ht="14.25" customHeight="1" x14ac:dyDescent="0.3">
      <c r="A708" s="7"/>
      <c r="B708" s="7"/>
      <c r="C708" s="7"/>
      <c r="D708" s="7"/>
      <c r="E708" s="7"/>
      <c r="F708" s="7"/>
      <c r="G708" s="3" t="str">
        <f t="shared" si="11"/>
        <v/>
      </c>
    </row>
    <row r="709" spans="1:7" ht="14.25" customHeight="1" x14ac:dyDescent="0.3">
      <c r="A709" s="7"/>
      <c r="B709" s="7"/>
      <c r="C709" s="7"/>
      <c r="D709" s="7"/>
      <c r="E709" s="7"/>
      <c r="F709" s="7"/>
      <c r="G709" s="3" t="str">
        <f t="shared" si="11"/>
        <v/>
      </c>
    </row>
    <row r="710" spans="1:7" ht="14.25" customHeight="1" x14ac:dyDescent="0.3">
      <c r="A710" s="7"/>
      <c r="B710" s="7"/>
      <c r="C710" s="7"/>
      <c r="D710" s="7"/>
      <c r="E710" s="7"/>
      <c r="F710" s="7"/>
      <c r="G710" s="3" t="str">
        <f t="shared" si="11"/>
        <v/>
      </c>
    </row>
    <row r="711" spans="1:7" ht="14.25" customHeight="1" x14ac:dyDescent="0.3">
      <c r="A711" s="7"/>
      <c r="B711" s="7"/>
      <c r="C711" s="7"/>
      <c r="D711" s="7"/>
      <c r="E711" s="7"/>
      <c r="F711" s="7"/>
      <c r="G711" s="3" t="str">
        <f t="shared" si="11"/>
        <v/>
      </c>
    </row>
    <row r="712" spans="1:7" ht="14.25" customHeight="1" x14ac:dyDescent="0.3">
      <c r="A712" s="7"/>
      <c r="B712" s="7"/>
      <c r="C712" s="7"/>
      <c r="D712" s="7"/>
      <c r="E712" s="7"/>
      <c r="F712" s="7"/>
      <c r="G712" s="3" t="str">
        <f t="shared" si="11"/>
        <v/>
      </c>
    </row>
    <row r="713" spans="1:7" ht="14.25" customHeight="1" x14ac:dyDescent="0.3">
      <c r="A713" s="7"/>
      <c r="B713" s="7"/>
      <c r="C713" s="7"/>
      <c r="D713" s="7"/>
      <c r="E713" s="7"/>
      <c r="F713" s="7"/>
      <c r="G713" s="3" t="str">
        <f t="shared" si="11"/>
        <v/>
      </c>
    </row>
    <row r="714" spans="1:7" ht="14.25" customHeight="1" x14ac:dyDescent="0.3">
      <c r="A714" s="7"/>
      <c r="B714" s="7"/>
      <c r="C714" s="7"/>
      <c r="D714" s="7"/>
      <c r="E714" s="7"/>
      <c r="F714" s="7"/>
      <c r="G714" s="3" t="str">
        <f t="shared" si="11"/>
        <v/>
      </c>
    </row>
    <row r="715" spans="1:7" ht="14.25" customHeight="1" x14ac:dyDescent="0.3">
      <c r="A715" s="7"/>
      <c r="B715" s="7"/>
      <c r="C715" s="7"/>
      <c r="D715" s="7"/>
      <c r="E715" s="7"/>
      <c r="F715" s="7"/>
      <c r="G715" s="3" t="str">
        <f t="shared" si="11"/>
        <v/>
      </c>
    </row>
    <row r="716" spans="1:7" ht="14.25" customHeight="1" x14ac:dyDescent="0.3">
      <c r="A716" s="7"/>
      <c r="B716" s="7"/>
      <c r="C716" s="7"/>
      <c r="D716" s="7"/>
      <c r="E716" s="7"/>
      <c r="F716" s="7"/>
      <c r="G716" s="3" t="str">
        <f t="shared" si="11"/>
        <v/>
      </c>
    </row>
    <row r="717" spans="1:7" ht="14.25" customHeight="1" x14ac:dyDescent="0.3">
      <c r="A717" s="7"/>
      <c r="B717" s="7"/>
      <c r="C717" s="7"/>
      <c r="D717" s="7"/>
      <c r="E717" s="7"/>
      <c r="F717" s="7"/>
      <c r="G717" s="3" t="str">
        <f t="shared" si="11"/>
        <v/>
      </c>
    </row>
    <row r="718" spans="1:7" ht="14.25" customHeight="1" x14ac:dyDescent="0.3">
      <c r="A718" s="7"/>
      <c r="B718" s="7"/>
      <c r="C718" s="7"/>
      <c r="D718" s="7"/>
      <c r="E718" s="7"/>
      <c r="F718" s="7"/>
      <c r="G718" s="3" t="str">
        <f t="shared" si="11"/>
        <v/>
      </c>
    </row>
    <row r="719" spans="1:7" ht="14.25" customHeight="1" x14ac:dyDescent="0.3">
      <c r="A719" s="7"/>
      <c r="B719" s="7"/>
      <c r="C719" s="7"/>
      <c r="D719" s="7"/>
      <c r="E719" s="7"/>
      <c r="F719" s="7"/>
      <c r="G719" s="3" t="str">
        <f t="shared" si="11"/>
        <v/>
      </c>
    </row>
    <row r="720" spans="1:7" ht="14.25" customHeight="1" x14ac:dyDescent="0.3">
      <c r="A720" s="7"/>
      <c r="B720" s="7"/>
      <c r="C720" s="7"/>
      <c r="D720" s="7"/>
      <c r="E720" s="7"/>
      <c r="F720" s="7"/>
      <c r="G720" s="3" t="str">
        <f t="shared" si="11"/>
        <v/>
      </c>
    </row>
    <row r="721" spans="1:7" ht="14.25" customHeight="1" x14ac:dyDescent="0.3">
      <c r="A721" s="7"/>
      <c r="B721" s="7"/>
      <c r="C721" s="7"/>
      <c r="D721" s="7"/>
      <c r="E721" s="7"/>
      <c r="F721" s="7"/>
      <c r="G721" s="3" t="str">
        <f t="shared" si="11"/>
        <v/>
      </c>
    </row>
    <row r="722" spans="1:7" ht="14.25" customHeight="1" x14ac:dyDescent="0.3">
      <c r="A722" s="7"/>
      <c r="B722" s="7"/>
      <c r="C722" s="7"/>
      <c r="D722" s="7"/>
      <c r="E722" s="7"/>
      <c r="F722" s="7"/>
      <c r="G722" s="3" t="str">
        <f t="shared" si="11"/>
        <v/>
      </c>
    </row>
    <row r="723" spans="1:7" ht="14.25" customHeight="1" x14ac:dyDescent="0.3">
      <c r="A723" s="7"/>
      <c r="B723" s="7"/>
      <c r="C723" s="7"/>
      <c r="D723" s="7"/>
      <c r="E723" s="7"/>
      <c r="F723" s="7"/>
      <c r="G723" s="3" t="str">
        <f t="shared" si="11"/>
        <v/>
      </c>
    </row>
    <row r="724" spans="1:7" ht="14.25" customHeight="1" x14ac:dyDescent="0.3">
      <c r="A724" s="7"/>
      <c r="B724" s="7"/>
      <c r="C724" s="7"/>
      <c r="D724" s="7"/>
      <c r="E724" s="7"/>
      <c r="F724" s="7"/>
      <c r="G724" s="3" t="str">
        <f t="shared" si="11"/>
        <v/>
      </c>
    </row>
    <row r="725" spans="1:7" ht="14.25" customHeight="1" x14ac:dyDescent="0.3">
      <c r="A725" s="7"/>
      <c r="B725" s="7"/>
      <c r="C725" s="7"/>
      <c r="D725" s="7"/>
      <c r="E725" s="7"/>
      <c r="F725" s="7"/>
      <c r="G725" s="3" t="str">
        <f t="shared" si="11"/>
        <v/>
      </c>
    </row>
    <row r="726" spans="1:7" ht="14.25" customHeight="1" x14ac:dyDescent="0.3">
      <c r="A726" s="7"/>
      <c r="B726" s="7"/>
      <c r="C726" s="7"/>
      <c r="D726" s="7"/>
      <c r="E726" s="7"/>
      <c r="F726" s="7"/>
      <c r="G726" s="3" t="str">
        <f t="shared" si="11"/>
        <v/>
      </c>
    </row>
    <row r="727" spans="1:7" ht="14.25" customHeight="1" x14ac:dyDescent="0.3">
      <c r="A727" s="7"/>
      <c r="B727" s="7"/>
      <c r="C727" s="7"/>
      <c r="D727" s="7"/>
      <c r="E727" s="7"/>
      <c r="F727" s="7"/>
      <c r="G727" s="3" t="str">
        <f t="shared" si="11"/>
        <v/>
      </c>
    </row>
    <row r="728" spans="1:7" ht="14.25" customHeight="1" x14ac:dyDescent="0.3">
      <c r="A728" s="7"/>
      <c r="B728" s="7"/>
      <c r="C728" s="7"/>
      <c r="D728" s="7"/>
      <c r="E728" s="7"/>
      <c r="F728" s="7"/>
      <c r="G728" s="3" t="str">
        <f t="shared" si="11"/>
        <v/>
      </c>
    </row>
    <row r="729" spans="1:7" ht="14.25" customHeight="1" x14ac:dyDescent="0.3">
      <c r="A729" s="7"/>
      <c r="B729" s="7"/>
      <c r="C729" s="7"/>
      <c r="D729" s="7"/>
      <c r="E729" s="7"/>
      <c r="F729" s="7"/>
      <c r="G729" s="3" t="str">
        <f t="shared" si="11"/>
        <v/>
      </c>
    </row>
    <row r="730" spans="1:7" ht="14.25" customHeight="1" x14ac:dyDescent="0.3">
      <c r="A730" s="7"/>
      <c r="B730" s="7"/>
      <c r="C730" s="7"/>
      <c r="D730" s="7"/>
      <c r="E730" s="7"/>
      <c r="F730" s="7"/>
      <c r="G730" s="3" t="str">
        <f t="shared" si="11"/>
        <v/>
      </c>
    </row>
    <row r="731" spans="1:7" ht="14.25" customHeight="1" x14ac:dyDescent="0.3">
      <c r="A731" s="7"/>
      <c r="B731" s="7"/>
      <c r="C731" s="7"/>
      <c r="D731" s="7"/>
      <c r="E731" s="7"/>
      <c r="F731" s="7"/>
      <c r="G731" s="3" t="str">
        <f t="shared" si="11"/>
        <v/>
      </c>
    </row>
    <row r="732" spans="1:7" ht="14.25" customHeight="1" x14ac:dyDescent="0.3">
      <c r="A732" s="7"/>
      <c r="B732" s="7"/>
      <c r="C732" s="7"/>
      <c r="D732" s="7"/>
      <c r="E732" s="7"/>
      <c r="F732" s="7"/>
      <c r="G732" s="3" t="str">
        <f t="shared" si="11"/>
        <v/>
      </c>
    </row>
    <row r="733" spans="1:7" ht="14.25" customHeight="1" x14ac:dyDescent="0.3">
      <c r="A733" s="7"/>
      <c r="B733" s="7"/>
      <c r="C733" s="7"/>
      <c r="D733" s="7"/>
      <c r="E733" s="7"/>
      <c r="F733" s="7"/>
      <c r="G733" s="3" t="str">
        <f t="shared" si="11"/>
        <v/>
      </c>
    </row>
    <row r="734" spans="1:7" ht="14.25" customHeight="1" x14ac:dyDescent="0.3">
      <c r="A734" s="7"/>
      <c r="B734" s="7"/>
      <c r="C734" s="7"/>
      <c r="D734" s="7"/>
      <c r="E734" s="7"/>
      <c r="F734" s="7"/>
      <c r="G734" s="3" t="str">
        <f t="shared" si="11"/>
        <v/>
      </c>
    </row>
    <row r="735" spans="1:7" ht="14.25" customHeight="1" x14ac:dyDescent="0.3">
      <c r="A735" s="7"/>
      <c r="B735" s="7"/>
      <c r="C735" s="7"/>
      <c r="D735" s="7"/>
      <c r="E735" s="7"/>
      <c r="F735" s="7"/>
      <c r="G735" s="3" t="str">
        <f t="shared" si="11"/>
        <v/>
      </c>
    </row>
    <row r="736" spans="1:7" ht="14.25" customHeight="1" x14ac:dyDescent="0.3">
      <c r="A736" s="7"/>
      <c r="B736" s="7"/>
      <c r="C736" s="7"/>
      <c r="D736" s="7"/>
      <c r="E736" s="7"/>
      <c r="F736" s="7"/>
      <c r="G736" s="3" t="str">
        <f t="shared" si="11"/>
        <v/>
      </c>
    </row>
    <row r="737" spans="1:7" ht="14.25" customHeight="1" x14ac:dyDescent="0.3">
      <c r="A737" s="7"/>
      <c r="B737" s="7"/>
      <c r="C737" s="7"/>
      <c r="D737" s="7"/>
      <c r="E737" s="7"/>
      <c r="F737" s="7"/>
      <c r="G737" s="3" t="str">
        <f t="shared" si="11"/>
        <v/>
      </c>
    </row>
    <row r="738" spans="1:7" ht="14.25" customHeight="1" x14ac:dyDescent="0.3">
      <c r="A738" s="7"/>
      <c r="B738" s="7"/>
      <c r="C738" s="7"/>
      <c r="D738" s="7"/>
      <c r="E738" s="7"/>
      <c r="F738" s="7"/>
      <c r="G738" s="3" t="str">
        <f t="shared" si="11"/>
        <v/>
      </c>
    </row>
    <row r="739" spans="1:7" ht="14.25" customHeight="1" x14ac:dyDescent="0.3">
      <c r="A739" s="7"/>
      <c r="B739" s="7"/>
      <c r="C739" s="7"/>
      <c r="D739" s="7"/>
      <c r="E739" s="7"/>
      <c r="F739" s="7"/>
      <c r="G739" s="3" t="str">
        <f t="shared" si="11"/>
        <v/>
      </c>
    </row>
    <row r="740" spans="1:7" ht="14.25" customHeight="1" x14ac:dyDescent="0.3">
      <c r="A740" s="7"/>
      <c r="B740" s="7"/>
      <c r="C740" s="7"/>
      <c r="D740" s="7"/>
      <c r="E740" s="7"/>
      <c r="F740" s="7"/>
      <c r="G740" s="3" t="str">
        <f t="shared" si="11"/>
        <v/>
      </c>
    </row>
    <row r="741" spans="1:7" ht="14.25" customHeight="1" x14ac:dyDescent="0.3">
      <c r="A741" s="7"/>
      <c r="B741" s="7"/>
      <c r="C741" s="7"/>
      <c r="D741" s="7"/>
      <c r="E741" s="7"/>
      <c r="F741" s="7"/>
      <c r="G741" s="3" t="str">
        <f t="shared" si="11"/>
        <v/>
      </c>
    </row>
    <row r="742" spans="1:7" ht="14.25" customHeight="1" x14ac:dyDescent="0.3">
      <c r="A742" s="7"/>
      <c r="B742" s="7"/>
      <c r="C742" s="7"/>
      <c r="D742" s="7"/>
      <c r="E742" s="7"/>
      <c r="F742" s="7"/>
      <c r="G742" s="3" t="str">
        <f t="shared" si="11"/>
        <v/>
      </c>
    </row>
    <row r="743" spans="1:7" ht="14.25" customHeight="1" x14ac:dyDescent="0.3">
      <c r="A743" s="7"/>
      <c r="B743" s="7"/>
      <c r="C743" s="7"/>
      <c r="D743" s="7"/>
      <c r="E743" s="7"/>
      <c r="F743" s="7"/>
      <c r="G743" s="3" t="str">
        <f t="shared" si="11"/>
        <v/>
      </c>
    </row>
    <row r="744" spans="1:7" ht="14.25" customHeight="1" x14ac:dyDescent="0.3">
      <c r="A744" s="7"/>
      <c r="B744" s="7"/>
      <c r="C744" s="7"/>
      <c r="D744" s="7"/>
      <c r="E744" s="7"/>
      <c r="F744" s="7"/>
      <c r="G744" s="3" t="str">
        <f t="shared" si="11"/>
        <v/>
      </c>
    </row>
    <row r="745" spans="1:7" ht="14.25" customHeight="1" x14ac:dyDescent="0.3">
      <c r="A745" s="7"/>
      <c r="B745" s="7"/>
      <c r="C745" s="7"/>
      <c r="D745" s="7"/>
      <c r="E745" s="7"/>
      <c r="F745" s="7"/>
      <c r="G745" s="3" t="str">
        <f t="shared" si="11"/>
        <v/>
      </c>
    </row>
    <row r="746" spans="1:7" ht="14.25" customHeight="1" x14ac:dyDescent="0.3">
      <c r="A746" s="7"/>
      <c r="B746" s="7"/>
      <c r="C746" s="7"/>
      <c r="D746" s="7"/>
      <c r="E746" s="7"/>
      <c r="F746" s="7"/>
      <c r="G746" s="3" t="str">
        <f t="shared" si="11"/>
        <v/>
      </c>
    </row>
    <row r="747" spans="1:7" ht="14.25" customHeight="1" x14ac:dyDescent="0.3">
      <c r="A747" s="7"/>
      <c r="B747" s="7"/>
      <c r="C747" s="7"/>
      <c r="D747" s="7"/>
      <c r="E747" s="7"/>
      <c r="F747" s="7"/>
      <c r="G747" s="3" t="str">
        <f t="shared" si="11"/>
        <v/>
      </c>
    </row>
    <row r="748" spans="1:7" ht="14.25" customHeight="1" x14ac:dyDescent="0.3">
      <c r="A748" s="7"/>
      <c r="B748" s="7"/>
      <c r="C748" s="7"/>
      <c r="D748" s="7"/>
      <c r="E748" s="7"/>
      <c r="F748" s="7"/>
      <c r="G748" s="3" t="str">
        <f t="shared" si="11"/>
        <v/>
      </c>
    </row>
    <row r="749" spans="1:7" ht="14.25" customHeight="1" x14ac:dyDescent="0.3">
      <c r="A749" s="7"/>
      <c r="B749" s="7"/>
      <c r="C749" s="7"/>
      <c r="D749" s="7"/>
      <c r="E749" s="7"/>
      <c r="F749" s="7"/>
      <c r="G749" s="3" t="str">
        <f t="shared" si="11"/>
        <v/>
      </c>
    </row>
    <row r="750" spans="1:7" ht="14.25" customHeight="1" x14ac:dyDescent="0.3">
      <c r="A750" s="7"/>
      <c r="B750" s="7"/>
      <c r="C750" s="7"/>
      <c r="D750" s="7"/>
      <c r="E750" s="7"/>
      <c r="F750" s="7"/>
      <c r="G750" s="3" t="str">
        <f t="shared" si="11"/>
        <v/>
      </c>
    </row>
    <row r="751" spans="1:7" ht="14.25" customHeight="1" x14ac:dyDescent="0.3">
      <c r="A751" s="7"/>
      <c r="B751" s="7"/>
      <c r="C751" s="7"/>
      <c r="D751" s="7"/>
      <c r="E751" s="7"/>
      <c r="F751" s="7"/>
      <c r="G751" s="3" t="str">
        <f t="shared" si="11"/>
        <v/>
      </c>
    </row>
    <row r="752" spans="1:7" ht="14.25" customHeight="1" x14ac:dyDescent="0.3">
      <c r="A752" s="7"/>
      <c r="B752" s="7"/>
      <c r="C752" s="7"/>
      <c r="D752" s="7"/>
      <c r="E752" s="7"/>
      <c r="F752" s="7"/>
      <c r="G752" s="3" t="str">
        <f t="shared" si="11"/>
        <v/>
      </c>
    </row>
    <row r="753" spans="1:7" ht="14.25" customHeight="1" x14ac:dyDescent="0.3">
      <c r="A753" s="7"/>
      <c r="B753" s="7"/>
      <c r="C753" s="7"/>
      <c r="D753" s="7"/>
      <c r="E753" s="7"/>
      <c r="F753" s="7"/>
      <c r="G753" s="3" t="str">
        <f t="shared" si="11"/>
        <v/>
      </c>
    </row>
    <row r="754" spans="1:7" ht="14.25" customHeight="1" x14ac:dyDescent="0.3">
      <c r="A754" s="7"/>
      <c r="B754" s="7"/>
      <c r="C754" s="7"/>
      <c r="D754" s="7"/>
      <c r="E754" s="7"/>
      <c r="F754" s="7"/>
      <c r="G754" s="3" t="str">
        <f t="shared" si="11"/>
        <v/>
      </c>
    </row>
    <row r="755" spans="1:7" ht="14.25" customHeight="1" x14ac:dyDescent="0.3">
      <c r="A755" s="7"/>
      <c r="B755" s="7"/>
      <c r="C755" s="7"/>
      <c r="D755" s="7"/>
      <c r="E755" s="7"/>
      <c r="F755" s="7"/>
      <c r="G755" s="3" t="str">
        <f t="shared" si="11"/>
        <v/>
      </c>
    </row>
    <row r="756" spans="1:7" ht="14.25" customHeight="1" x14ac:dyDescent="0.3">
      <c r="A756" s="7"/>
      <c r="B756" s="7"/>
      <c r="C756" s="7"/>
      <c r="D756" s="7"/>
      <c r="E756" s="7"/>
      <c r="F756" s="7"/>
      <c r="G756" s="3" t="str">
        <f t="shared" si="11"/>
        <v/>
      </c>
    </row>
    <row r="757" spans="1:7" ht="14.25" customHeight="1" x14ac:dyDescent="0.3">
      <c r="A757" s="7"/>
      <c r="B757" s="7"/>
      <c r="C757" s="7"/>
      <c r="D757" s="7"/>
      <c r="E757" s="7"/>
      <c r="F757" s="7"/>
      <c r="G757" s="3" t="str">
        <f t="shared" si="11"/>
        <v/>
      </c>
    </row>
    <row r="758" spans="1:7" ht="14.25" customHeight="1" x14ac:dyDescent="0.3">
      <c r="A758" s="7"/>
      <c r="B758" s="7"/>
      <c r="C758" s="7"/>
      <c r="D758" s="7"/>
      <c r="E758" s="7"/>
      <c r="F758" s="7"/>
      <c r="G758" s="3" t="str">
        <f t="shared" si="11"/>
        <v/>
      </c>
    </row>
    <row r="759" spans="1:7" ht="14.25" customHeight="1" x14ac:dyDescent="0.3">
      <c r="A759" s="7"/>
      <c r="B759" s="7"/>
      <c r="C759" s="7"/>
      <c r="D759" s="7"/>
      <c r="E759" s="7"/>
      <c r="F759" s="7"/>
      <c r="G759" s="3" t="str">
        <f t="shared" si="11"/>
        <v/>
      </c>
    </row>
    <row r="760" spans="1:7" ht="14.25" customHeight="1" x14ac:dyDescent="0.3">
      <c r="A760" s="7"/>
      <c r="B760" s="7"/>
      <c r="C760" s="7"/>
      <c r="D760" s="7"/>
      <c r="E760" s="7"/>
      <c r="F760" s="7"/>
      <c r="G760" s="3" t="str">
        <f t="shared" si="11"/>
        <v/>
      </c>
    </row>
    <row r="761" spans="1:7" ht="14.25" customHeight="1" x14ac:dyDescent="0.3">
      <c r="A761" s="7"/>
      <c r="B761" s="7"/>
      <c r="C761" s="7"/>
      <c r="D761" s="7"/>
      <c r="E761" s="7"/>
      <c r="F761" s="7"/>
      <c r="G761" s="3" t="str">
        <f t="shared" si="11"/>
        <v/>
      </c>
    </row>
    <row r="762" spans="1:7" ht="14.25" customHeight="1" x14ac:dyDescent="0.3">
      <c r="A762" s="7"/>
      <c r="B762" s="7"/>
      <c r="C762" s="7"/>
      <c r="D762" s="7"/>
      <c r="E762" s="7"/>
      <c r="F762" s="7"/>
      <c r="G762" s="3" t="str">
        <f t="shared" si="11"/>
        <v/>
      </c>
    </row>
    <row r="763" spans="1:7" ht="14.25" customHeight="1" x14ac:dyDescent="0.3">
      <c r="A763" s="7"/>
      <c r="B763" s="7"/>
      <c r="C763" s="7"/>
      <c r="D763" s="7"/>
      <c r="E763" s="7"/>
      <c r="F763" s="7"/>
      <c r="G763" s="3" t="str">
        <f t="shared" si="11"/>
        <v/>
      </c>
    </row>
    <row r="764" spans="1:7" ht="14.25" customHeight="1" x14ac:dyDescent="0.3">
      <c r="A764" s="7"/>
      <c r="B764" s="7"/>
      <c r="C764" s="7"/>
      <c r="D764" s="7"/>
      <c r="E764" s="7"/>
      <c r="F764" s="7"/>
      <c r="G764" s="3" t="str">
        <f t="shared" si="11"/>
        <v/>
      </c>
    </row>
    <row r="765" spans="1:7" ht="14.25" customHeight="1" x14ac:dyDescent="0.3">
      <c r="A765" s="7"/>
      <c r="B765" s="7"/>
      <c r="C765" s="7"/>
      <c r="D765" s="7"/>
      <c r="E765" s="7"/>
      <c r="F765" s="7"/>
      <c r="G765" s="3" t="str">
        <f t="shared" si="11"/>
        <v/>
      </c>
    </row>
    <row r="766" spans="1:7" ht="14.25" customHeight="1" x14ac:dyDescent="0.3">
      <c r="A766" s="7"/>
      <c r="B766" s="7"/>
      <c r="C766" s="7"/>
      <c r="D766" s="7"/>
      <c r="E766" s="7"/>
      <c r="F766" s="7"/>
      <c r="G766" s="3" t="str">
        <f t="shared" si="11"/>
        <v/>
      </c>
    </row>
    <row r="767" spans="1:7" ht="14.25" customHeight="1" x14ac:dyDescent="0.3">
      <c r="A767" s="7"/>
      <c r="B767" s="7"/>
      <c r="C767" s="7"/>
      <c r="D767" s="7"/>
      <c r="E767" s="7"/>
      <c r="F767" s="7"/>
      <c r="G767" s="3" t="str">
        <f t="shared" si="11"/>
        <v/>
      </c>
    </row>
    <row r="768" spans="1:7" ht="14.25" customHeight="1" x14ac:dyDescent="0.3">
      <c r="A768" s="7"/>
      <c r="B768" s="7"/>
      <c r="C768" s="7"/>
      <c r="D768" s="7"/>
      <c r="E768" s="7"/>
      <c r="F768" s="7"/>
      <c r="G768" s="3" t="str">
        <f t="shared" si="11"/>
        <v/>
      </c>
    </row>
    <row r="769" spans="1:7" ht="14.25" customHeight="1" x14ac:dyDescent="0.3">
      <c r="A769" s="7"/>
      <c r="B769" s="7"/>
      <c r="C769" s="7"/>
      <c r="D769" s="7"/>
      <c r="E769" s="7"/>
      <c r="F769" s="7"/>
      <c r="G769" s="3" t="str">
        <f t="shared" si="11"/>
        <v/>
      </c>
    </row>
    <row r="770" spans="1:7" ht="14.25" customHeight="1" x14ac:dyDescent="0.3">
      <c r="A770" s="7"/>
      <c r="B770" s="7"/>
      <c r="C770" s="7"/>
      <c r="D770" s="7"/>
      <c r="E770" s="7"/>
      <c r="F770" s="7"/>
      <c r="G770" s="3" t="str">
        <f t="shared" ref="G770:G833" si="12">IF(COUNTA(A770:F770)=0,"",IF(COUNTIF($A$2:$A$1000,A770)&gt;1,"DUPLICATE COURSE CODE","OK"))</f>
        <v/>
      </c>
    </row>
    <row r="771" spans="1:7" ht="14.25" customHeight="1" x14ac:dyDescent="0.3">
      <c r="A771" s="7"/>
      <c r="B771" s="7"/>
      <c r="C771" s="7"/>
      <c r="D771" s="7"/>
      <c r="E771" s="7"/>
      <c r="F771" s="7"/>
      <c r="G771" s="3" t="str">
        <f t="shared" si="12"/>
        <v/>
      </c>
    </row>
    <row r="772" spans="1:7" ht="14.25" customHeight="1" x14ac:dyDescent="0.3">
      <c r="A772" s="7"/>
      <c r="B772" s="7"/>
      <c r="C772" s="7"/>
      <c r="D772" s="7"/>
      <c r="E772" s="7"/>
      <c r="F772" s="7"/>
      <c r="G772" s="3" t="str">
        <f t="shared" si="12"/>
        <v/>
      </c>
    </row>
    <row r="773" spans="1:7" ht="14.25" customHeight="1" x14ac:dyDescent="0.3">
      <c r="A773" s="7"/>
      <c r="B773" s="7"/>
      <c r="C773" s="7"/>
      <c r="D773" s="7"/>
      <c r="E773" s="7"/>
      <c r="F773" s="7"/>
      <c r="G773" s="3" t="str">
        <f t="shared" si="12"/>
        <v/>
      </c>
    </row>
    <row r="774" spans="1:7" ht="14.25" customHeight="1" x14ac:dyDescent="0.3">
      <c r="A774" s="7"/>
      <c r="B774" s="7"/>
      <c r="C774" s="7"/>
      <c r="D774" s="7"/>
      <c r="E774" s="7"/>
      <c r="F774" s="7"/>
      <c r="G774" s="3" t="str">
        <f t="shared" si="12"/>
        <v/>
      </c>
    </row>
    <row r="775" spans="1:7" ht="14.25" customHeight="1" x14ac:dyDescent="0.3">
      <c r="A775" s="7"/>
      <c r="B775" s="7"/>
      <c r="C775" s="7"/>
      <c r="D775" s="7"/>
      <c r="E775" s="7"/>
      <c r="F775" s="7"/>
      <c r="G775" s="3" t="str">
        <f t="shared" si="12"/>
        <v/>
      </c>
    </row>
    <row r="776" spans="1:7" ht="14.25" customHeight="1" x14ac:dyDescent="0.3">
      <c r="A776" s="7"/>
      <c r="B776" s="7"/>
      <c r="C776" s="7"/>
      <c r="D776" s="7"/>
      <c r="E776" s="7"/>
      <c r="F776" s="7"/>
      <c r="G776" s="3" t="str">
        <f t="shared" si="12"/>
        <v/>
      </c>
    </row>
    <row r="777" spans="1:7" ht="14.25" customHeight="1" x14ac:dyDescent="0.3">
      <c r="A777" s="7"/>
      <c r="B777" s="7"/>
      <c r="C777" s="7"/>
      <c r="D777" s="7"/>
      <c r="E777" s="7"/>
      <c r="F777" s="7"/>
      <c r="G777" s="3" t="str">
        <f t="shared" si="12"/>
        <v/>
      </c>
    </row>
    <row r="778" spans="1:7" ht="14.25" customHeight="1" x14ac:dyDescent="0.3">
      <c r="A778" s="7"/>
      <c r="B778" s="7"/>
      <c r="C778" s="7"/>
      <c r="D778" s="7"/>
      <c r="E778" s="7"/>
      <c r="F778" s="7"/>
      <c r="G778" s="3" t="str">
        <f t="shared" si="12"/>
        <v/>
      </c>
    </row>
    <row r="779" spans="1:7" ht="14.25" customHeight="1" x14ac:dyDescent="0.3">
      <c r="A779" s="7"/>
      <c r="B779" s="7"/>
      <c r="C779" s="7"/>
      <c r="D779" s="7"/>
      <c r="E779" s="7"/>
      <c r="F779" s="7"/>
      <c r="G779" s="3" t="str">
        <f t="shared" si="12"/>
        <v/>
      </c>
    </row>
    <row r="780" spans="1:7" ht="14.25" customHeight="1" x14ac:dyDescent="0.3">
      <c r="A780" s="7"/>
      <c r="B780" s="7"/>
      <c r="C780" s="7"/>
      <c r="D780" s="7"/>
      <c r="E780" s="7"/>
      <c r="F780" s="7"/>
      <c r="G780" s="3" t="str">
        <f t="shared" si="12"/>
        <v/>
      </c>
    </row>
    <row r="781" spans="1:7" ht="14.25" customHeight="1" x14ac:dyDescent="0.3">
      <c r="A781" s="7"/>
      <c r="B781" s="7"/>
      <c r="C781" s="7"/>
      <c r="D781" s="7"/>
      <c r="E781" s="7"/>
      <c r="F781" s="7"/>
      <c r="G781" s="3" t="str">
        <f t="shared" si="12"/>
        <v/>
      </c>
    </row>
    <row r="782" spans="1:7" ht="14.25" customHeight="1" x14ac:dyDescent="0.3">
      <c r="A782" s="7"/>
      <c r="B782" s="7"/>
      <c r="C782" s="7"/>
      <c r="D782" s="7"/>
      <c r="E782" s="7"/>
      <c r="F782" s="7"/>
      <c r="G782" s="3" t="str">
        <f t="shared" si="12"/>
        <v/>
      </c>
    </row>
    <row r="783" spans="1:7" ht="14.25" customHeight="1" x14ac:dyDescent="0.3">
      <c r="A783" s="7"/>
      <c r="B783" s="7"/>
      <c r="C783" s="7"/>
      <c r="D783" s="7"/>
      <c r="E783" s="7"/>
      <c r="F783" s="7"/>
      <c r="G783" s="3" t="str">
        <f t="shared" si="12"/>
        <v/>
      </c>
    </row>
    <row r="784" spans="1:7" ht="14.25" customHeight="1" x14ac:dyDescent="0.3">
      <c r="A784" s="7"/>
      <c r="B784" s="7"/>
      <c r="C784" s="7"/>
      <c r="D784" s="7"/>
      <c r="E784" s="7"/>
      <c r="F784" s="7"/>
      <c r="G784" s="3" t="str">
        <f t="shared" si="12"/>
        <v/>
      </c>
    </row>
    <row r="785" spans="1:7" ht="14.25" customHeight="1" x14ac:dyDescent="0.3">
      <c r="A785" s="7"/>
      <c r="B785" s="7"/>
      <c r="C785" s="7"/>
      <c r="D785" s="7"/>
      <c r="E785" s="7"/>
      <c r="F785" s="7"/>
      <c r="G785" s="3" t="str">
        <f t="shared" si="12"/>
        <v/>
      </c>
    </row>
    <row r="786" spans="1:7" ht="14.25" customHeight="1" x14ac:dyDescent="0.3">
      <c r="A786" s="7"/>
      <c r="B786" s="7"/>
      <c r="C786" s="7"/>
      <c r="D786" s="7"/>
      <c r="E786" s="7"/>
      <c r="F786" s="7"/>
      <c r="G786" s="3" t="str">
        <f t="shared" si="12"/>
        <v/>
      </c>
    </row>
    <row r="787" spans="1:7" ht="14.25" customHeight="1" x14ac:dyDescent="0.3">
      <c r="A787" s="7"/>
      <c r="B787" s="7"/>
      <c r="C787" s="7"/>
      <c r="D787" s="7"/>
      <c r="E787" s="7"/>
      <c r="F787" s="7"/>
      <c r="G787" s="3" t="str">
        <f t="shared" si="12"/>
        <v/>
      </c>
    </row>
    <row r="788" spans="1:7" ht="14.25" customHeight="1" x14ac:dyDescent="0.3">
      <c r="A788" s="7"/>
      <c r="B788" s="7"/>
      <c r="C788" s="7"/>
      <c r="D788" s="7"/>
      <c r="E788" s="7"/>
      <c r="F788" s="7"/>
      <c r="G788" s="3" t="str">
        <f t="shared" si="12"/>
        <v/>
      </c>
    </row>
    <row r="789" spans="1:7" ht="14.25" customHeight="1" x14ac:dyDescent="0.3">
      <c r="A789" s="7"/>
      <c r="B789" s="7"/>
      <c r="C789" s="7"/>
      <c r="D789" s="7"/>
      <c r="E789" s="7"/>
      <c r="F789" s="7"/>
      <c r="G789" s="3" t="str">
        <f t="shared" si="12"/>
        <v/>
      </c>
    </row>
    <row r="790" spans="1:7" ht="14.25" customHeight="1" x14ac:dyDescent="0.3">
      <c r="A790" s="7"/>
      <c r="B790" s="7"/>
      <c r="C790" s="7"/>
      <c r="D790" s="7"/>
      <c r="E790" s="7"/>
      <c r="F790" s="7"/>
      <c r="G790" s="3" t="str">
        <f t="shared" si="12"/>
        <v/>
      </c>
    </row>
    <row r="791" spans="1:7" ht="14.25" customHeight="1" x14ac:dyDescent="0.3">
      <c r="A791" s="7"/>
      <c r="B791" s="7"/>
      <c r="C791" s="7"/>
      <c r="D791" s="7"/>
      <c r="E791" s="7"/>
      <c r="F791" s="7"/>
      <c r="G791" s="3" t="str">
        <f t="shared" si="12"/>
        <v/>
      </c>
    </row>
    <row r="792" spans="1:7" ht="14.25" customHeight="1" x14ac:dyDescent="0.3">
      <c r="A792" s="7"/>
      <c r="B792" s="7"/>
      <c r="C792" s="7"/>
      <c r="D792" s="7"/>
      <c r="E792" s="7"/>
      <c r="F792" s="7"/>
      <c r="G792" s="3" t="str">
        <f t="shared" si="12"/>
        <v/>
      </c>
    </row>
    <row r="793" spans="1:7" ht="14.25" customHeight="1" x14ac:dyDescent="0.3">
      <c r="A793" s="7"/>
      <c r="B793" s="7"/>
      <c r="C793" s="7"/>
      <c r="D793" s="7"/>
      <c r="E793" s="7"/>
      <c r="F793" s="7"/>
      <c r="G793" s="3" t="str">
        <f t="shared" si="12"/>
        <v/>
      </c>
    </row>
    <row r="794" spans="1:7" ht="14.25" customHeight="1" x14ac:dyDescent="0.3">
      <c r="A794" s="7"/>
      <c r="B794" s="7"/>
      <c r="C794" s="7"/>
      <c r="D794" s="7"/>
      <c r="E794" s="7"/>
      <c r="F794" s="7"/>
      <c r="G794" s="3" t="str">
        <f t="shared" si="12"/>
        <v/>
      </c>
    </row>
    <row r="795" spans="1:7" ht="14.25" customHeight="1" x14ac:dyDescent="0.3">
      <c r="A795" s="7"/>
      <c r="B795" s="7"/>
      <c r="C795" s="7"/>
      <c r="D795" s="7"/>
      <c r="E795" s="7"/>
      <c r="F795" s="7"/>
      <c r="G795" s="3" t="str">
        <f t="shared" si="12"/>
        <v/>
      </c>
    </row>
    <row r="796" spans="1:7" ht="14.25" customHeight="1" x14ac:dyDescent="0.3">
      <c r="A796" s="7"/>
      <c r="B796" s="7"/>
      <c r="C796" s="7"/>
      <c r="D796" s="7"/>
      <c r="E796" s="7"/>
      <c r="F796" s="7"/>
      <c r="G796" s="3" t="str">
        <f t="shared" si="12"/>
        <v/>
      </c>
    </row>
    <row r="797" spans="1:7" ht="14.25" customHeight="1" x14ac:dyDescent="0.3">
      <c r="A797" s="7"/>
      <c r="B797" s="7"/>
      <c r="C797" s="7"/>
      <c r="D797" s="7"/>
      <c r="E797" s="7"/>
      <c r="F797" s="7"/>
      <c r="G797" s="3" t="str">
        <f t="shared" si="12"/>
        <v/>
      </c>
    </row>
    <row r="798" spans="1:7" ht="14.25" customHeight="1" x14ac:dyDescent="0.3">
      <c r="A798" s="7"/>
      <c r="B798" s="7"/>
      <c r="C798" s="7"/>
      <c r="D798" s="7"/>
      <c r="E798" s="7"/>
      <c r="F798" s="7"/>
      <c r="G798" s="3" t="str">
        <f t="shared" si="12"/>
        <v/>
      </c>
    </row>
    <row r="799" spans="1:7" ht="14.25" customHeight="1" x14ac:dyDescent="0.3">
      <c r="A799" s="7"/>
      <c r="B799" s="7"/>
      <c r="C799" s="7"/>
      <c r="D799" s="7"/>
      <c r="E799" s="7"/>
      <c r="F799" s="7"/>
      <c r="G799" s="3" t="str">
        <f t="shared" si="12"/>
        <v/>
      </c>
    </row>
    <row r="800" spans="1:7" ht="14.25" customHeight="1" x14ac:dyDescent="0.3">
      <c r="A800" s="7"/>
      <c r="B800" s="7"/>
      <c r="C800" s="7"/>
      <c r="D800" s="7"/>
      <c r="E800" s="7"/>
      <c r="F800" s="7"/>
      <c r="G800" s="3" t="str">
        <f t="shared" si="12"/>
        <v/>
      </c>
    </row>
    <row r="801" spans="1:7" ht="14.25" customHeight="1" x14ac:dyDescent="0.3">
      <c r="A801" s="7"/>
      <c r="B801" s="7"/>
      <c r="C801" s="7"/>
      <c r="D801" s="7"/>
      <c r="E801" s="7"/>
      <c r="F801" s="7"/>
      <c r="G801" s="3" t="str">
        <f t="shared" si="12"/>
        <v/>
      </c>
    </row>
    <row r="802" spans="1:7" ht="14.25" customHeight="1" x14ac:dyDescent="0.3">
      <c r="A802" s="7"/>
      <c r="B802" s="7"/>
      <c r="C802" s="7"/>
      <c r="D802" s="7"/>
      <c r="E802" s="7"/>
      <c r="F802" s="7"/>
      <c r="G802" s="3" t="str">
        <f t="shared" si="12"/>
        <v/>
      </c>
    </row>
    <row r="803" spans="1:7" ht="14.25" customHeight="1" x14ac:dyDescent="0.3">
      <c r="A803" s="7"/>
      <c r="B803" s="7"/>
      <c r="C803" s="7"/>
      <c r="D803" s="7"/>
      <c r="E803" s="7"/>
      <c r="F803" s="7"/>
      <c r="G803" s="3" t="str">
        <f t="shared" si="12"/>
        <v/>
      </c>
    </row>
    <row r="804" spans="1:7" ht="14.25" customHeight="1" x14ac:dyDescent="0.3">
      <c r="A804" s="7"/>
      <c r="B804" s="7"/>
      <c r="C804" s="7"/>
      <c r="D804" s="7"/>
      <c r="E804" s="7"/>
      <c r="F804" s="7"/>
      <c r="G804" s="3" t="str">
        <f t="shared" si="12"/>
        <v/>
      </c>
    </row>
    <row r="805" spans="1:7" ht="14.25" customHeight="1" x14ac:dyDescent="0.3">
      <c r="A805" s="7"/>
      <c r="B805" s="7"/>
      <c r="C805" s="7"/>
      <c r="D805" s="7"/>
      <c r="E805" s="7"/>
      <c r="F805" s="7"/>
      <c r="G805" s="3" t="str">
        <f t="shared" si="12"/>
        <v/>
      </c>
    </row>
    <row r="806" spans="1:7" ht="14.25" customHeight="1" x14ac:dyDescent="0.3">
      <c r="A806" s="7"/>
      <c r="B806" s="7"/>
      <c r="C806" s="7"/>
      <c r="D806" s="7"/>
      <c r="E806" s="7"/>
      <c r="F806" s="7"/>
      <c r="G806" s="3" t="str">
        <f t="shared" si="12"/>
        <v/>
      </c>
    </row>
    <row r="807" spans="1:7" ht="14.25" customHeight="1" x14ac:dyDescent="0.3">
      <c r="A807" s="7"/>
      <c r="B807" s="7"/>
      <c r="C807" s="7"/>
      <c r="D807" s="7"/>
      <c r="E807" s="7"/>
      <c r="F807" s="7"/>
      <c r="G807" s="3" t="str">
        <f t="shared" si="12"/>
        <v/>
      </c>
    </row>
    <row r="808" spans="1:7" ht="14.25" customHeight="1" x14ac:dyDescent="0.3">
      <c r="A808" s="7"/>
      <c r="B808" s="7"/>
      <c r="C808" s="7"/>
      <c r="D808" s="7"/>
      <c r="E808" s="7"/>
      <c r="F808" s="7"/>
      <c r="G808" s="3" t="str">
        <f t="shared" si="12"/>
        <v/>
      </c>
    </row>
    <row r="809" spans="1:7" ht="14.25" customHeight="1" x14ac:dyDescent="0.3">
      <c r="A809" s="7"/>
      <c r="B809" s="7"/>
      <c r="C809" s="7"/>
      <c r="D809" s="7"/>
      <c r="E809" s="7"/>
      <c r="F809" s="7"/>
      <c r="G809" s="3" t="str">
        <f t="shared" si="12"/>
        <v/>
      </c>
    </row>
    <row r="810" spans="1:7" ht="14.25" customHeight="1" x14ac:dyDescent="0.3">
      <c r="A810" s="7"/>
      <c r="B810" s="7"/>
      <c r="C810" s="7"/>
      <c r="D810" s="7"/>
      <c r="E810" s="7"/>
      <c r="F810" s="7"/>
      <c r="G810" s="3" t="str">
        <f t="shared" si="12"/>
        <v/>
      </c>
    </row>
    <row r="811" spans="1:7" ht="14.25" customHeight="1" x14ac:dyDescent="0.3">
      <c r="A811" s="7"/>
      <c r="B811" s="7"/>
      <c r="C811" s="7"/>
      <c r="D811" s="7"/>
      <c r="E811" s="7"/>
      <c r="F811" s="7"/>
      <c r="G811" s="3" t="str">
        <f t="shared" si="12"/>
        <v/>
      </c>
    </row>
    <row r="812" spans="1:7" ht="14.25" customHeight="1" x14ac:dyDescent="0.3">
      <c r="A812" s="7"/>
      <c r="B812" s="7"/>
      <c r="C812" s="7"/>
      <c r="D812" s="7"/>
      <c r="E812" s="7"/>
      <c r="F812" s="7"/>
      <c r="G812" s="3" t="str">
        <f t="shared" si="12"/>
        <v/>
      </c>
    </row>
    <row r="813" spans="1:7" ht="14.25" customHeight="1" x14ac:dyDescent="0.3">
      <c r="A813" s="7"/>
      <c r="B813" s="7"/>
      <c r="C813" s="7"/>
      <c r="D813" s="7"/>
      <c r="E813" s="7"/>
      <c r="F813" s="7"/>
      <c r="G813" s="3" t="str">
        <f t="shared" si="12"/>
        <v/>
      </c>
    </row>
    <row r="814" spans="1:7" ht="14.25" customHeight="1" x14ac:dyDescent="0.3">
      <c r="A814" s="7"/>
      <c r="B814" s="7"/>
      <c r="C814" s="7"/>
      <c r="D814" s="7"/>
      <c r="E814" s="7"/>
      <c r="F814" s="7"/>
      <c r="G814" s="3" t="str">
        <f t="shared" si="12"/>
        <v/>
      </c>
    </row>
    <row r="815" spans="1:7" ht="14.25" customHeight="1" x14ac:dyDescent="0.3">
      <c r="A815" s="7"/>
      <c r="B815" s="7"/>
      <c r="C815" s="7"/>
      <c r="D815" s="7"/>
      <c r="E815" s="7"/>
      <c r="F815" s="7"/>
      <c r="G815" s="3" t="str">
        <f t="shared" si="12"/>
        <v/>
      </c>
    </row>
    <row r="816" spans="1:7" ht="14.25" customHeight="1" x14ac:dyDescent="0.3">
      <c r="A816" s="7"/>
      <c r="B816" s="7"/>
      <c r="C816" s="7"/>
      <c r="D816" s="7"/>
      <c r="E816" s="7"/>
      <c r="F816" s="7"/>
      <c r="G816" s="3" t="str">
        <f t="shared" si="12"/>
        <v/>
      </c>
    </row>
    <row r="817" spans="1:7" ht="14.25" customHeight="1" x14ac:dyDescent="0.3">
      <c r="A817" s="7"/>
      <c r="B817" s="7"/>
      <c r="C817" s="7"/>
      <c r="D817" s="7"/>
      <c r="E817" s="7"/>
      <c r="F817" s="7"/>
      <c r="G817" s="3" t="str">
        <f t="shared" si="12"/>
        <v/>
      </c>
    </row>
    <row r="818" spans="1:7" ht="14.25" customHeight="1" x14ac:dyDescent="0.3">
      <c r="A818" s="7"/>
      <c r="B818" s="7"/>
      <c r="C818" s="7"/>
      <c r="D818" s="7"/>
      <c r="E818" s="7"/>
      <c r="F818" s="7"/>
      <c r="G818" s="3" t="str">
        <f t="shared" si="12"/>
        <v/>
      </c>
    </row>
    <row r="819" spans="1:7" ht="14.25" customHeight="1" x14ac:dyDescent="0.3">
      <c r="A819" s="7"/>
      <c r="B819" s="7"/>
      <c r="C819" s="7"/>
      <c r="D819" s="7"/>
      <c r="E819" s="7"/>
      <c r="F819" s="7"/>
      <c r="G819" s="3" t="str">
        <f t="shared" si="12"/>
        <v/>
      </c>
    </row>
    <row r="820" spans="1:7" ht="14.25" customHeight="1" x14ac:dyDescent="0.3">
      <c r="A820" s="7"/>
      <c r="B820" s="7"/>
      <c r="C820" s="7"/>
      <c r="D820" s="7"/>
      <c r="E820" s="7"/>
      <c r="F820" s="7"/>
      <c r="G820" s="3" t="str">
        <f t="shared" si="12"/>
        <v/>
      </c>
    </row>
    <row r="821" spans="1:7" ht="14.25" customHeight="1" x14ac:dyDescent="0.3">
      <c r="A821" s="7"/>
      <c r="B821" s="7"/>
      <c r="C821" s="7"/>
      <c r="D821" s="7"/>
      <c r="E821" s="7"/>
      <c r="F821" s="7"/>
      <c r="G821" s="3" t="str">
        <f t="shared" si="12"/>
        <v/>
      </c>
    </row>
    <row r="822" spans="1:7" ht="14.25" customHeight="1" x14ac:dyDescent="0.3">
      <c r="A822" s="7"/>
      <c r="B822" s="7"/>
      <c r="C822" s="7"/>
      <c r="D822" s="7"/>
      <c r="E822" s="7"/>
      <c r="F822" s="7"/>
      <c r="G822" s="3" t="str">
        <f t="shared" si="12"/>
        <v/>
      </c>
    </row>
    <row r="823" spans="1:7" ht="14.25" customHeight="1" x14ac:dyDescent="0.3">
      <c r="A823" s="7"/>
      <c r="B823" s="7"/>
      <c r="C823" s="7"/>
      <c r="D823" s="7"/>
      <c r="E823" s="7"/>
      <c r="F823" s="7"/>
      <c r="G823" s="3" t="str">
        <f t="shared" si="12"/>
        <v/>
      </c>
    </row>
    <row r="824" spans="1:7" ht="14.25" customHeight="1" x14ac:dyDescent="0.3">
      <c r="A824" s="7"/>
      <c r="B824" s="7"/>
      <c r="C824" s="7"/>
      <c r="D824" s="7"/>
      <c r="E824" s="7"/>
      <c r="F824" s="7"/>
      <c r="G824" s="3" t="str">
        <f t="shared" si="12"/>
        <v/>
      </c>
    </row>
    <row r="825" spans="1:7" ht="14.25" customHeight="1" x14ac:dyDescent="0.3">
      <c r="A825" s="7"/>
      <c r="B825" s="7"/>
      <c r="C825" s="7"/>
      <c r="D825" s="7"/>
      <c r="E825" s="7"/>
      <c r="F825" s="7"/>
      <c r="G825" s="3" t="str">
        <f t="shared" si="12"/>
        <v/>
      </c>
    </row>
    <row r="826" spans="1:7" ht="14.25" customHeight="1" x14ac:dyDescent="0.3">
      <c r="A826" s="7"/>
      <c r="B826" s="7"/>
      <c r="C826" s="7"/>
      <c r="D826" s="7"/>
      <c r="E826" s="7"/>
      <c r="F826" s="7"/>
      <c r="G826" s="3" t="str">
        <f t="shared" si="12"/>
        <v/>
      </c>
    </row>
    <row r="827" spans="1:7" ht="14.25" customHeight="1" x14ac:dyDescent="0.3">
      <c r="A827" s="7"/>
      <c r="B827" s="7"/>
      <c r="C827" s="7"/>
      <c r="D827" s="7"/>
      <c r="E827" s="7"/>
      <c r="F827" s="7"/>
      <c r="G827" s="3" t="str">
        <f t="shared" si="12"/>
        <v/>
      </c>
    </row>
    <row r="828" spans="1:7" ht="14.25" customHeight="1" x14ac:dyDescent="0.3">
      <c r="A828" s="7"/>
      <c r="B828" s="7"/>
      <c r="C828" s="7"/>
      <c r="D828" s="7"/>
      <c r="E828" s="7"/>
      <c r="F828" s="7"/>
      <c r="G828" s="3" t="str">
        <f t="shared" si="12"/>
        <v/>
      </c>
    </row>
    <row r="829" spans="1:7" ht="14.25" customHeight="1" x14ac:dyDescent="0.3">
      <c r="A829" s="7"/>
      <c r="B829" s="7"/>
      <c r="C829" s="7"/>
      <c r="D829" s="7"/>
      <c r="E829" s="7"/>
      <c r="F829" s="7"/>
      <c r="G829" s="3" t="str">
        <f t="shared" si="12"/>
        <v/>
      </c>
    </row>
    <row r="830" spans="1:7" ht="14.25" customHeight="1" x14ac:dyDescent="0.3">
      <c r="A830" s="7"/>
      <c r="B830" s="7"/>
      <c r="C830" s="7"/>
      <c r="D830" s="7"/>
      <c r="E830" s="7"/>
      <c r="F830" s="7"/>
      <c r="G830" s="3" t="str">
        <f t="shared" si="12"/>
        <v/>
      </c>
    </row>
    <row r="831" spans="1:7" ht="14.25" customHeight="1" x14ac:dyDescent="0.3">
      <c r="A831" s="7"/>
      <c r="B831" s="7"/>
      <c r="C831" s="7"/>
      <c r="D831" s="7"/>
      <c r="E831" s="7"/>
      <c r="F831" s="7"/>
      <c r="G831" s="3" t="str">
        <f t="shared" si="12"/>
        <v/>
      </c>
    </row>
    <row r="832" spans="1:7" ht="14.25" customHeight="1" x14ac:dyDescent="0.3">
      <c r="A832" s="7"/>
      <c r="B832" s="7"/>
      <c r="C832" s="7"/>
      <c r="D832" s="7"/>
      <c r="E832" s="7"/>
      <c r="F832" s="7"/>
      <c r="G832" s="3" t="str">
        <f t="shared" si="12"/>
        <v/>
      </c>
    </row>
    <row r="833" spans="1:7" ht="14.25" customHeight="1" x14ac:dyDescent="0.3">
      <c r="A833" s="7"/>
      <c r="B833" s="7"/>
      <c r="C833" s="7"/>
      <c r="D833" s="7"/>
      <c r="E833" s="7"/>
      <c r="F833" s="7"/>
      <c r="G833" s="3" t="str">
        <f t="shared" si="12"/>
        <v/>
      </c>
    </row>
    <row r="834" spans="1:7" ht="14.25" customHeight="1" x14ac:dyDescent="0.3">
      <c r="A834" s="7"/>
      <c r="B834" s="7"/>
      <c r="C834" s="7"/>
      <c r="D834" s="7"/>
      <c r="E834" s="7"/>
      <c r="F834" s="7"/>
      <c r="G834" s="3" t="str">
        <f t="shared" ref="G834:G897" si="13">IF(COUNTA(A834:F834)=0,"",IF(COUNTIF($A$2:$A$1000,A834)&gt;1,"DUPLICATE COURSE CODE","OK"))</f>
        <v/>
      </c>
    </row>
    <row r="835" spans="1:7" ht="14.25" customHeight="1" x14ac:dyDescent="0.3">
      <c r="A835" s="7"/>
      <c r="B835" s="7"/>
      <c r="C835" s="7"/>
      <c r="D835" s="7"/>
      <c r="E835" s="7"/>
      <c r="F835" s="7"/>
      <c r="G835" s="3" t="str">
        <f t="shared" si="13"/>
        <v/>
      </c>
    </row>
    <row r="836" spans="1:7" ht="14.25" customHeight="1" x14ac:dyDescent="0.3">
      <c r="A836" s="7"/>
      <c r="B836" s="7"/>
      <c r="C836" s="7"/>
      <c r="D836" s="7"/>
      <c r="E836" s="7"/>
      <c r="F836" s="7"/>
      <c r="G836" s="3" t="str">
        <f t="shared" si="13"/>
        <v/>
      </c>
    </row>
    <row r="837" spans="1:7" ht="14.25" customHeight="1" x14ac:dyDescent="0.3">
      <c r="A837" s="7"/>
      <c r="B837" s="7"/>
      <c r="C837" s="7"/>
      <c r="D837" s="7"/>
      <c r="E837" s="7"/>
      <c r="F837" s="7"/>
      <c r="G837" s="3" t="str">
        <f t="shared" si="13"/>
        <v/>
      </c>
    </row>
    <row r="838" spans="1:7" ht="14.25" customHeight="1" x14ac:dyDescent="0.3">
      <c r="A838" s="7"/>
      <c r="B838" s="7"/>
      <c r="C838" s="7"/>
      <c r="D838" s="7"/>
      <c r="E838" s="7"/>
      <c r="F838" s="7"/>
      <c r="G838" s="3" t="str">
        <f t="shared" si="13"/>
        <v/>
      </c>
    </row>
    <row r="839" spans="1:7" ht="14.25" customHeight="1" x14ac:dyDescent="0.3">
      <c r="A839" s="7"/>
      <c r="B839" s="7"/>
      <c r="C839" s="7"/>
      <c r="D839" s="7"/>
      <c r="E839" s="7"/>
      <c r="F839" s="7"/>
      <c r="G839" s="3" t="str">
        <f t="shared" si="13"/>
        <v/>
      </c>
    </row>
    <row r="840" spans="1:7" ht="14.25" customHeight="1" x14ac:dyDescent="0.3">
      <c r="A840" s="7"/>
      <c r="B840" s="7"/>
      <c r="C840" s="7"/>
      <c r="D840" s="7"/>
      <c r="E840" s="7"/>
      <c r="F840" s="7"/>
      <c r="G840" s="3" t="str">
        <f t="shared" si="13"/>
        <v/>
      </c>
    </row>
    <row r="841" spans="1:7" ht="14.25" customHeight="1" x14ac:dyDescent="0.3">
      <c r="A841" s="7"/>
      <c r="B841" s="7"/>
      <c r="C841" s="7"/>
      <c r="D841" s="7"/>
      <c r="E841" s="7"/>
      <c r="F841" s="7"/>
      <c r="G841" s="3" t="str">
        <f t="shared" si="13"/>
        <v/>
      </c>
    </row>
    <row r="842" spans="1:7" ht="14.25" customHeight="1" x14ac:dyDescent="0.3">
      <c r="A842" s="7"/>
      <c r="B842" s="7"/>
      <c r="C842" s="7"/>
      <c r="D842" s="7"/>
      <c r="E842" s="7"/>
      <c r="F842" s="7"/>
      <c r="G842" s="3" t="str">
        <f t="shared" si="13"/>
        <v/>
      </c>
    </row>
    <row r="843" spans="1:7" ht="14.25" customHeight="1" x14ac:dyDescent="0.3">
      <c r="A843" s="7"/>
      <c r="B843" s="7"/>
      <c r="C843" s="7"/>
      <c r="D843" s="7"/>
      <c r="E843" s="7"/>
      <c r="F843" s="7"/>
      <c r="G843" s="3" t="str">
        <f t="shared" si="13"/>
        <v/>
      </c>
    </row>
    <row r="844" spans="1:7" ht="14.25" customHeight="1" x14ac:dyDescent="0.3">
      <c r="A844" s="7"/>
      <c r="B844" s="7"/>
      <c r="C844" s="7"/>
      <c r="D844" s="7"/>
      <c r="E844" s="7"/>
      <c r="F844" s="7"/>
      <c r="G844" s="3" t="str">
        <f t="shared" si="13"/>
        <v/>
      </c>
    </row>
    <row r="845" spans="1:7" ht="14.25" customHeight="1" x14ac:dyDescent="0.3">
      <c r="A845" s="7"/>
      <c r="B845" s="7"/>
      <c r="C845" s="7"/>
      <c r="D845" s="7"/>
      <c r="E845" s="7"/>
      <c r="F845" s="7"/>
      <c r="G845" s="3" t="str">
        <f t="shared" si="13"/>
        <v/>
      </c>
    </row>
    <row r="846" spans="1:7" ht="14.25" customHeight="1" x14ac:dyDescent="0.3">
      <c r="A846" s="7"/>
      <c r="B846" s="7"/>
      <c r="C846" s="7"/>
      <c r="D846" s="7"/>
      <c r="E846" s="7"/>
      <c r="F846" s="7"/>
      <c r="G846" s="3" t="str">
        <f t="shared" si="13"/>
        <v/>
      </c>
    </row>
    <row r="847" spans="1:7" ht="14.25" customHeight="1" x14ac:dyDescent="0.3">
      <c r="A847" s="7"/>
      <c r="B847" s="7"/>
      <c r="C847" s="7"/>
      <c r="D847" s="7"/>
      <c r="E847" s="7"/>
      <c r="F847" s="7"/>
      <c r="G847" s="3" t="str">
        <f t="shared" si="13"/>
        <v/>
      </c>
    </row>
    <row r="848" spans="1:7" ht="14.25" customHeight="1" x14ac:dyDescent="0.3">
      <c r="A848" s="7"/>
      <c r="B848" s="7"/>
      <c r="C848" s="7"/>
      <c r="D848" s="7"/>
      <c r="E848" s="7"/>
      <c r="F848" s="7"/>
      <c r="G848" s="3" t="str">
        <f t="shared" si="13"/>
        <v/>
      </c>
    </row>
    <row r="849" spans="1:7" ht="14.25" customHeight="1" x14ac:dyDescent="0.3">
      <c r="A849" s="7"/>
      <c r="B849" s="7"/>
      <c r="C849" s="7"/>
      <c r="D849" s="7"/>
      <c r="E849" s="7"/>
      <c r="F849" s="7"/>
      <c r="G849" s="3" t="str">
        <f t="shared" si="13"/>
        <v/>
      </c>
    </row>
    <row r="850" spans="1:7" ht="14.25" customHeight="1" x14ac:dyDescent="0.3">
      <c r="A850" s="7"/>
      <c r="B850" s="7"/>
      <c r="C850" s="7"/>
      <c r="D850" s="7"/>
      <c r="E850" s="7"/>
      <c r="F850" s="7"/>
      <c r="G850" s="3" t="str">
        <f t="shared" si="13"/>
        <v/>
      </c>
    </row>
    <row r="851" spans="1:7" ht="14.25" customHeight="1" x14ac:dyDescent="0.3">
      <c r="A851" s="7"/>
      <c r="B851" s="7"/>
      <c r="C851" s="7"/>
      <c r="D851" s="7"/>
      <c r="E851" s="7"/>
      <c r="F851" s="7"/>
      <c r="G851" s="3" t="str">
        <f t="shared" si="13"/>
        <v/>
      </c>
    </row>
    <row r="852" spans="1:7" ht="14.25" customHeight="1" x14ac:dyDescent="0.3">
      <c r="A852" s="7"/>
      <c r="B852" s="7"/>
      <c r="C852" s="7"/>
      <c r="D852" s="7"/>
      <c r="E852" s="7"/>
      <c r="F852" s="7"/>
      <c r="G852" s="3" t="str">
        <f t="shared" si="13"/>
        <v/>
      </c>
    </row>
    <row r="853" spans="1:7" ht="14.25" customHeight="1" x14ac:dyDescent="0.3">
      <c r="A853" s="7"/>
      <c r="B853" s="7"/>
      <c r="C853" s="7"/>
      <c r="D853" s="7"/>
      <c r="E853" s="7"/>
      <c r="F853" s="7"/>
      <c r="G853" s="3" t="str">
        <f t="shared" si="13"/>
        <v/>
      </c>
    </row>
    <row r="854" spans="1:7" ht="14.25" customHeight="1" x14ac:dyDescent="0.3">
      <c r="A854" s="7"/>
      <c r="B854" s="7"/>
      <c r="C854" s="7"/>
      <c r="D854" s="7"/>
      <c r="E854" s="7"/>
      <c r="F854" s="7"/>
      <c r="G854" s="3" t="str">
        <f t="shared" si="13"/>
        <v/>
      </c>
    </row>
    <row r="855" spans="1:7" ht="14.25" customHeight="1" x14ac:dyDescent="0.3">
      <c r="A855" s="7"/>
      <c r="B855" s="7"/>
      <c r="C855" s="7"/>
      <c r="D855" s="7"/>
      <c r="E855" s="7"/>
      <c r="F855" s="7"/>
      <c r="G855" s="3" t="str">
        <f t="shared" si="13"/>
        <v/>
      </c>
    </row>
    <row r="856" spans="1:7" ht="14.25" customHeight="1" x14ac:dyDescent="0.3">
      <c r="A856" s="7"/>
      <c r="B856" s="7"/>
      <c r="C856" s="7"/>
      <c r="D856" s="7"/>
      <c r="E856" s="7"/>
      <c r="F856" s="7"/>
      <c r="G856" s="3" t="str">
        <f t="shared" si="13"/>
        <v/>
      </c>
    </row>
    <row r="857" spans="1:7" ht="14.25" customHeight="1" x14ac:dyDescent="0.3">
      <c r="A857" s="7"/>
      <c r="B857" s="7"/>
      <c r="C857" s="7"/>
      <c r="D857" s="7"/>
      <c r="E857" s="7"/>
      <c r="F857" s="7"/>
      <c r="G857" s="3" t="str">
        <f t="shared" si="13"/>
        <v/>
      </c>
    </row>
    <row r="858" spans="1:7" ht="14.25" customHeight="1" x14ac:dyDescent="0.3">
      <c r="A858" s="7"/>
      <c r="B858" s="7"/>
      <c r="C858" s="7"/>
      <c r="D858" s="7"/>
      <c r="E858" s="7"/>
      <c r="F858" s="7"/>
      <c r="G858" s="3" t="str">
        <f t="shared" si="13"/>
        <v/>
      </c>
    </row>
    <row r="859" spans="1:7" ht="14.25" customHeight="1" x14ac:dyDescent="0.3">
      <c r="A859" s="7"/>
      <c r="B859" s="7"/>
      <c r="C859" s="7"/>
      <c r="D859" s="7"/>
      <c r="E859" s="7"/>
      <c r="F859" s="7"/>
      <c r="G859" s="3" t="str">
        <f t="shared" si="13"/>
        <v/>
      </c>
    </row>
    <row r="860" spans="1:7" ht="14.25" customHeight="1" x14ac:dyDescent="0.3">
      <c r="A860" s="7"/>
      <c r="B860" s="7"/>
      <c r="C860" s="7"/>
      <c r="D860" s="7"/>
      <c r="E860" s="7"/>
      <c r="F860" s="7"/>
      <c r="G860" s="3" t="str">
        <f t="shared" si="13"/>
        <v/>
      </c>
    </row>
    <row r="861" spans="1:7" ht="14.25" customHeight="1" x14ac:dyDescent="0.3">
      <c r="A861" s="7"/>
      <c r="B861" s="7"/>
      <c r="C861" s="7"/>
      <c r="D861" s="7"/>
      <c r="E861" s="7"/>
      <c r="F861" s="7"/>
      <c r="G861" s="3" t="str">
        <f t="shared" si="13"/>
        <v/>
      </c>
    </row>
    <row r="862" spans="1:7" ht="14.25" customHeight="1" x14ac:dyDescent="0.3">
      <c r="A862" s="7"/>
      <c r="B862" s="7"/>
      <c r="C862" s="7"/>
      <c r="D862" s="7"/>
      <c r="E862" s="7"/>
      <c r="F862" s="7"/>
      <c r="G862" s="3" t="str">
        <f t="shared" si="13"/>
        <v/>
      </c>
    </row>
    <row r="863" spans="1:7" ht="14.25" customHeight="1" x14ac:dyDescent="0.3">
      <c r="A863" s="7"/>
      <c r="B863" s="7"/>
      <c r="C863" s="7"/>
      <c r="D863" s="7"/>
      <c r="E863" s="7"/>
      <c r="F863" s="7"/>
      <c r="G863" s="3" t="str">
        <f t="shared" si="13"/>
        <v/>
      </c>
    </row>
    <row r="864" spans="1:7" ht="14.25" customHeight="1" x14ac:dyDescent="0.3">
      <c r="A864" s="7"/>
      <c r="B864" s="7"/>
      <c r="C864" s="7"/>
      <c r="D864" s="7"/>
      <c r="E864" s="7"/>
      <c r="F864" s="7"/>
      <c r="G864" s="3" t="str">
        <f t="shared" si="13"/>
        <v/>
      </c>
    </row>
    <row r="865" spans="1:7" ht="14.25" customHeight="1" x14ac:dyDescent="0.3">
      <c r="A865" s="7"/>
      <c r="B865" s="7"/>
      <c r="C865" s="7"/>
      <c r="D865" s="7"/>
      <c r="E865" s="7"/>
      <c r="F865" s="7"/>
      <c r="G865" s="3" t="str">
        <f t="shared" si="13"/>
        <v/>
      </c>
    </row>
    <row r="866" spans="1:7" ht="14.25" customHeight="1" x14ac:dyDescent="0.3">
      <c r="A866" s="7"/>
      <c r="B866" s="7"/>
      <c r="C866" s="7"/>
      <c r="D866" s="7"/>
      <c r="E866" s="7"/>
      <c r="F866" s="7"/>
      <c r="G866" s="3" t="str">
        <f t="shared" si="13"/>
        <v/>
      </c>
    </row>
    <row r="867" spans="1:7" ht="14.25" customHeight="1" x14ac:dyDescent="0.3">
      <c r="A867" s="7"/>
      <c r="B867" s="7"/>
      <c r="C867" s="7"/>
      <c r="D867" s="7"/>
      <c r="E867" s="7"/>
      <c r="F867" s="7"/>
      <c r="G867" s="3" t="str">
        <f t="shared" si="13"/>
        <v/>
      </c>
    </row>
    <row r="868" spans="1:7" ht="14.25" customHeight="1" x14ac:dyDescent="0.3">
      <c r="A868" s="7"/>
      <c r="B868" s="7"/>
      <c r="C868" s="7"/>
      <c r="D868" s="7"/>
      <c r="E868" s="7"/>
      <c r="F868" s="7"/>
      <c r="G868" s="3" t="str">
        <f t="shared" si="13"/>
        <v/>
      </c>
    </row>
    <row r="869" spans="1:7" ht="14.25" customHeight="1" x14ac:dyDescent="0.3">
      <c r="A869" s="7"/>
      <c r="B869" s="7"/>
      <c r="C869" s="7"/>
      <c r="D869" s="7"/>
      <c r="E869" s="7"/>
      <c r="F869" s="7"/>
      <c r="G869" s="3" t="str">
        <f t="shared" si="13"/>
        <v/>
      </c>
    </row>
    <row r="870" spans="1:7" ht="14.25" customHeight="1" x14ac:dyDescent="0.3">
      <c r="A870" s="7"/>
      <c r="B870" s="7"/>
      <c r="C870" s="7"/>
      <c r="D870" s="7"/>
      <c r="E870" s="7"/>
      <c r="F870" s="7"/>
      <c r="G870" s="3" t="str">
        <f t="shared" si="13"/>
        <v/>
      </c>
    </row>
    <row r="871" spans="1:7" ht="14.25" customHeight="1" x14ac:dyDescent="0.3">
      <c r="A871" s="7"/>
      <c r="B871" s="7"/>
      <c r="C871" s="7"/>
      <c r="D871" s="7"/>
      <c r="E871" s="7"/>
      <c r="F871" s="7"/>
      <c r="G871" s="3" t="str">
        <f t="shared" si="13"/>
        <v/>
      </c>
    </row>
    <row r="872" spans="1:7" ht="14.25" customHeight="1" x14ac:dyDescent="0.3">
      <c r="A872" s="7"/>
      <c r="B872" s="7"/>
      <c r="C872" s="7"/>
      <c r="D872" s="7"/>
      <c r="E872" s="7"/>
      <c r="F872" s="7"/>
      <c r="G872" s="3" t="str">
        <f t="shared" si="13"/>
        <v/>
      </c>
    </row>
    <row r="873" spans="1:7" ht="14.25" customHeight="1" x14ac:dyDescent="0.3">
      <c r="A873" s="7"/>
      <c r="B873" s="7"/>
      <c r="C873" s="7"/>
      <c r="D873" s="7"/>
      <c r="E873" s="7"/>
      <c r="F873" s="7"/>
      <c r="G873" s="3" t="str">
        <f t="shared" si="13"/>
        <v/>
      </c>
    </row>
    <row r="874" spans="1:7" ht="14.25" customHeight="1" x14ac:dyDescent="0.3">
      <c r="A874" s="7"/>
      <c r="B874" s="7"/>
      <c r="C874" s="7"/>
      <c r="D874" s="7"/>
      <c r="E874" s="7"/>
      <c r="F874" s="7"/>
      <c r="G874" s="3" t="str">
        <f t="shared" si="13"/>
        <v/>
      </c>
    </row>
    <row r="875" spans="1:7" ht="14.25" customHeight="1" x14ac:dyDescent="0.3">
      <c r="A875" s="7"/>
      <c r="B875" s="7"/>
      <c r="C875" s="7"/>
      <c r="D875" s="7"/>
      <c r="E875" s="7"/>
      <c r="F875" s="7"/>
      <c r="G875" s="3" t="str">
        <f t="shared" si="13"/>
        <v/>
      </c>
    </row>
    <row r="876" spans="1:7" ht="14.25" customHeight="1" x14ac:dyDescent="0.3">
      <c r="A876" s="7"/>
      <c r="B876" s="7"/>
      <c r="C876" s="7"/>
      <c r="D876" s="7"/>
      <c r="E876" s="7"/>
      <c r="F876" s="7"/>
      <c r="G876" s="3" t="str">
        <f t="shared" si="13"/>
        <v/>
      </c>
    </row>
    <row r="877" spans="1:7" ht="14.25" customHeight="1" x14ac:dyDescent="0.3">
      <c r="A877" s="7"/>
      <c r="B877" s="7"/>
      <c r="C877" s="7"/>
      <c r="D877" s="7"/>
      <c r="E877" s="7"/>
      <c r="F877" s="7"/>
      <c r="G877" s="3" t="str">
        <f t="shared" si="13"/>
        <v/>
      </c>
    </row>
    <row r="878" spans="1:7" ht="14.25" customHeight="1" x14ac:dyDescent="0.3">
      <c r="A878" s="7"/>
      <c r="B878" s="7"/>
      <c r="C878" s="7"/>
      <c r="D878" s="7"/>
      <c r="E878" s="7"/>
      <c r="F878" s="7"/>
      <c r="G878" s="3" t="str">
        <f t="shared" si="13"/>
        <v/>
      </c>
    </row>
    <row r="879" spans="1:7" ht="14.25" customHeight="1" x14ac:dyDescent="0.3">
      <c r="A879" s="7"/>
      <c r="B879" s="7"/>
      <c r="C879" s="7"/>
      <c r="D879" s="7"/>
      <c r="E879" s="7"/>
      <c r="F879" s="7"/>
      <c r="G879" s="3" t="str">
        <f t="shared" si="13"/>
        <v/>
      </c>
    </row>
    <row r="880" spans="1:7" ht="14.25" customHeight="1" x14ac:dyDescent="0.3">
      <c r="A880" s="7"/>
      <c r="B880" s="7"/>
      <c r="C880" s="7"/>
      <c r="D880" s="7"/>
      <c r="E880" s="7"/>
      <c r="F880" s="7"/>
      <c r="G880" s="3" t="str">
        <f t="shared" si="13"/>
        <v/>
      </c>
    </row>
    <row r="881" spans="1:7" ht="14.25" customHeight="1" x14ac:dyDescent="0.3">
      <c r="A881" s="7"/>
      <c r="B881" s="7"/>
      <c r="C881" s="7"/>
      <c r="D881" s="7"/>
      <c r="E881" s="7"/>
      <c r="F881" s="7"/>
      <c r="G881" s="3" t="str">
        <f t="shared" si="13"/>
        <v/>
      </c>
    </row>
    <row r="882" spans="1:7" ht="14.25" customHeight="1" x14ac:dyDescent="0.3">
      <c r="A882" s="7"/>
      <c r="B882" s="7"/>
      <c r="C882" s="7"/>
      <c r="D882" s="7"/>
      <c r="E882" s="7"/>
      <c r="F882" s="7"/>
      <c r="G882" s="3" t="str">
        <f t="shared" si="13"/>
        <v/>
      </c>
    </row>
    <row r="883" spans="1:7" ht="14.25" customHeight="1" x14ac:dyDescent="0.3">
      <c r="A883" s="7"/>
      <c r="B883" s="7"/>
      <c r="C883" s="7"/>
      <c r="D883" s="7"/>
      <c r="E883" s="7"/>
      <c r="F883" s="7"/>
      <c r="G883" s="3" t="str">
        <f t="shared" si="13"/>
        <v/>
      </c>
    </row>
    <row r="884" spans="1:7" ht="14.25" customHeight="1" x14ac:dyDescent="0.3">
      <c r="A884" s="7"/>
      <c r="B884" s="7"/>
      <c r="C884" s="7"/>
      <c r="D884" s="7"/>
      <c r="E884" s="7"/>
      <c r="F884" s="7"/>
      <c r="G884" s="3" t="str">
        <f t="shared" si="13"/>
        <v/>
      </c>
    </row>
    <row r="885" spans="1:7" ht="14.25" customHeight="1" x14ac:dyDescent="0.3">
      <c r="A885" s="7"/>
      <c r="B885" s="7"/>
      <c r="C885" s="7"/>
      <c r="D885" s="7"/>
      <c r="E885" s="7"/>
      <c r="F885" s="7"/>
      <c r="G885" s="3" t="str">
        <f t="shared" si="13"/>
        <v/>
      </c>
    </row>
    <row r="886" spans="1:7" ht="14.25" customHeight="1" x14ac:dyDescent="0.3">
      <c r="A886" s="7"/>
      <c r="B886" s="7"/>
      <c r="C886" s="7"/>
      <c r="D886" s="7"/>
      <c r="E886" s="7"/>
      <c r="F886" s="7"/>
      <c r="G886" s="3" t="str">
        <f t="shared" si="13"/>
        <v/>
      </c>
    </row>
    <row r="887" spans="1:7" ht="14.25" customHeight="1" x14ac:dyDescent="0.3">
      <c r="A887" s="7"/>
      <c r="B887" s="7"/>
      <c r="C887" s="7"/>
      <c r="D887" s="7"/>
      <c r="E887" s="7"/>
      <c r="F887" s="7"/>
      <c r="G887" s="3" t="str">
        <f t="shared" si="13"/>
        <v/>
      </c>
    </row>
    <row r="888" spans="1:7" ht="14.25" customHeight="1" x14ac:dyDescent="0.3">
      <c r="A888" s="7"/>
      <c r="B888" s="7"/>
      <c r="C888" s="7"/>
      <c r="D888" s="7"/>
      <c r="E888" s="7"/>
      <c r="F888" s="7"/>
      <c r="G888" s="3" t="str">
        <f t="shared" si="13"/>
        <v/>
      </c>
    </row>
    <row r="889" spans="1:7" ht="14.25" customHeight="1" x14ac:dyDescent="0.3">
      <c r="A889" s="7"/>
      <c r="B889" s="7"/>
      <c r="C889" s="7"/>
      <c r="D889" s="7"/>
      <c r="E889" s="7"/>
      <c r="F889" s="7"/>
      <c r="G889" s="3" t="str">
        <f t="shared" si="13"/>
        <v/>
      </c>
    </row>
    <row r="890" spans="1:7" ht="14.25" customHeight="1" x14ac:dyDescent="0.3">
      <c r="A890" s="7"/>
      <c r="B890" s="7"/>
      <c r="C890" s="7"/>
      <c r="D890" s="7"/>
      <c r="E890" s="7"/>
      <c r="F890" s="7"/>
      <c r="G890" s="3" t="str">
        <f t="shared" si="13"/>
        <v/>
      </c>
    </row>
    <row r="891" spans="1:7" ht="14.25" customHeight="1" x14ac:dyDescent="0.3">
      <c r="A891" s="7"/>
      <c r="B891" s="7"/>
      <c r="C891" s="7"/>
      <c r="D891" s="7"/>
      <c r="E891" s="7"/>
      <c r="F891" s="7"/>
      <c r="G891" s="3" t="str">
        <f t="shared" si="13"/>
        <v/>
      </c>
    </row>
    <row r="892" spans="1:7" ht="14.25" customHeight="1" x14ac:dyDescent="0.3">
      <c r="A892" s="7"/>
      <c r="B892" s="7"/>
      <c r="C892" s="7"/>
      <c r="D892" s="7"/>
      <c r="E892" s="7"/>
      <c r="F892" s="7"/>
      <c r="G892" s="3" t="str">
        <f t="shared" si="13"/>
        <v/>
      </c>
    </row>
    <row r="893" spans="1:7" ht="14.25" customHeight="1" x14ac:dyDescent="0.3">
      <c r="A893" s="7"/>
      <c r="B893" s="7"/>
      <c r="C893" s="7"/>
      <c r="D893" s="7"/>
      <c r="E893" s="7"/>
      <c r="F893" s="7"/>
      <c r="G893" s="3" t="str">
        <f t="shared" si="13"/>
        <v/>
      </c>
    </row>
    <row r="894" spans="1:7" ht="14.25" customHeight="1" x14ac:dyDescent="0.3">
      <c r="A894" s="7"/>
      <c r="B894" s="7"/>
      <c r="C894" s="7"/>
      <c r="D894" s="7"/>
      <c r="E894" s="7"/>
      <c r="F894" s="7"/>
      <c r="G894" s="3" t="str">
        <f t="shared" si="13"/>
        <v/>
      </c>
    </row>
    <row r="895" spans="1:7" ht="14.25" customHeight="1" x14ac:dyDescent="0.3">
      <c r="A895" s="7"/>
      <c r="B895" s="7"/>
      <c r="C895" s="7"/>
      <c r="D895" s="7"/>
      <c r="E895" s="7"/>
      <c r="F895" s="7"/>
      <c r="G895" s="3" t="str">
        <f t="shared" si="13"/>
        <v/>
      </c>
    </row>
    <row r="896" spans="1:7" ht="14.25" customHeight="1" x14ac:dyDescent="0.3">
      <c r="A896" s="7"/>
      <c r="B896" s="7"/>
      <c r="C896" s="7"/>
      <c r="D896" s="7"/>
      <c r="E896" s="7"/>
      <c r="F896" s="7"/>
      <c r="G896" s="3" t="str">
        <f t="shared" si="13"/>
        <v/>
      </c>
    </row>
    <row r="897" spans="1:7" ht="14.25" customHeight="1" x14ac:dyDescent="0.3">
      <c r="A897" s="7"/>
      <c r="B897" s="7"/>
      <c r="C897" s="7"/>
      <c r="D897" s="7"/>
      <c r="E897" s="7"/>
      <c r="F897" s="7"/>
      <c r="G897" s="3" t="str">
        <f t="shared" si="13"/>
        <v/>
      </c>
    </row>
    <row r="898" spans="1:7" ht="14.25" customHeight="1" x14ac:dyDescent="0.3">
      <c r="A898" s="7"/>
      <c r="B898" s="7"/>
      <c r="C898" s="7"/>
      <c r="D898" s="7"/>
      <c r="E898" s="7"/>
      <c r="F898" s="7"/>
      <c r="G898" s="3" t="str">
        <f t="shared" ref="G898:G961" si="14">IF(COUNTA(A898:F898)=0,"",IF(COUNTIF($A$2:$A$1000,A898)&gt;1,"DUPLICATE COURSE CODE","OK"))</f>
        <v/>
      </c>
    </row>
    <row r="899" spans="1:7" ht="14.25" customHeight="1" x14ac:dyDescent="0.3">
      <c r="A899" s="7"/>
      <c r="B899" s="7"/>
      <c r="C899" s="7"/>
      <c r="D899" s="7"/>
      <c r="E899" s="7"/>
      <c r="F899" s="7"/>
      <c r="G899" s="3" t="str">
        <f t="shared" si="14"/>
        <v/>
      </c>
    </row>
    <row r="900" spans="1:7" ht="14.25" customHeight="1" x14ac:dyDescent="0.3">
      <c r="A900" s="7"/>
      <c r="B900" s="7"/>
      <c r="C900" s="7"/>
      <c r="D900" s="7"/>
      <c r="E900" s="7"/>
      <c r="F900" s="7"/>
      <c r="G900" s="3" t="str">
        <f t="shared" si="14"/>
        <v/>
      </c>
    </row>
    <row r="901" spans="1:7" ht="14.25" customHeight="1" x14ac:dyDescent="0.3">
      <c r="A901" s="7"/>
      <c r="B901" s="7"/>
      <c r="C901" s="7"/>
      <c r="D901" s="7"/>
      <c r="E901" s="7"/>
      <c r="F901" s="7"/>
      <c r="G901" s="3" t="str">
        <f t="shared" si="14"/>
        <v/>
      </c>
    </row>
    <row r="902" spans="1:7" ht="14.25" customHeight="1" x14ac:dyDescent="0.3">
      <c r="A902" s="7"/>
      <c r="B902" s="7"/>
      <c r="C902" s="7"/>
      <c r="D902" s="7"/>
      <c r="E902" s="7"/>
      <c r="F902" s="7"/>
      <c r="G902" s="3" t="str">
        <f t="shared" si="14"/>
        <v/>
      </c>
    </row>
    <row r="903" spans="1:7" ht="14.25" customHeight="1" x14ac:dyDescent="0.3">
      <c r="A903" s="7"/>
      <c r="B903" s="7"/>
      <c r="C903" s="7"/>
      <c r="D903" s="7"/>
      <c r="E903" s="7"/>
      <c r="F903" s="7"/>
      <c r="G903" s="3" t="str">
        <f t="shared" si="14"/>
        <v/>
      </c>
    </row>
    <row r="904" spans="1:7" ht="14.25" customHeight="1" x14ac:dyDescent="0.3">
      <c r="A904" s="7"/>
      <c r="B904" s="7"/>
      <c r="C904" s="7"/>
      <c r="D904" s="7"/>
      <c r="E904" s="7"/>
      <c r="F904" s="7"/>
      <c r="G904" s="3" t="str">
        <f t="shared" si="14"/>
        <v/>
      </c>
    </row>
    <row r="905" spans="1:7" ht="14.25" customHeight="1" x14ac:dyDescent="0.3">
      <c r="A905" s="7"/>
      <c r="B905" s="7"/>
      <c r="C905" s="7"/>
      <c r="D905" s="7"/>
      <c r="E905" s="7"/>
      <c r="F905" s="7"/>
      <c r="G905" s="3" t="str">
        <f t="shared" si="14"/>
        <v/>
      </c>
    </row>
    <row r="906" spans="1:7" ht="14.25" customHeight="1" x14ac:dyDescent="0.3">
      <c r="A906" s="7"/>
      <c r="B906" s="7"/>
      <c r="C906" s="7"/>
      <c r="D906" s="7"/>
      <c r="E906" s="7"/>
      <c r="F906" s="7"/>
      <c r="G906" s="3" t="str">
        <f t="shared" si="14"/>
        <v/>
      </c>
    </row>
    <row r="907" spans="1:7" ht="14.25" customHeight="1" x14ac:dyDescent="0.3">
      <c r="A907" s="7"/>
      <c r="B907" s="7"/>
      <c r="C907" s="7"/>
      <c r="D907" s="7"/>
      <c r="E907" s="7"/>
      <c r="F907" s="7"/>
      <c r="G907" s="3" t="str">
        <f t="shared" si="14"/>
        <v/>
      </c>
    </row>
    <row r="908" spans="1:7" ht="14.25" customHeight="1" x14ac:dyDescent="0.3">
      <c r="A908" s="7"/>
      <c r="B908" s="7"/>
      <c r="C908" s="7"/>
      <c r="D908" s="7"/>
      <c r="E908" s="7"/>
      <c r="F908" s="7"/>
      <c r="G908" s="3" t="str">
        <f t="shared" si="14"/>
        <v/>
      </c>
    </row>
    <row r="909" spans="1:7" ht="14.25" customHeight="1" x14ac:dyDescent="0.3">
      <c r="A909" s="7"/>
      <c r="B909" s="7"/>
      <c r="C909" s="7"/>
      <c r="D909" s="7"/>
      <c r="E909" s="7"/>
      <c r="F909" s="7"/>
      <c r="G909" s="3" t="str">
        <f t="shared" si="14"/>
        <v/>
      </c>
    </row>
    <row r="910" spans="1:7" ht="14.25" customHeight="1" x14ac:dyDescent="0.3">
      <c r="A910" s="7"/>
      <c r="B910" s="7"/>
      <c r="C910" s="7"/>
      <c r="D910" s="7"/>
      <c r="E910" s="7"/>
      <c r="F910" s="7"/>
      <c r="G910" s="3" t="str">
        <f t="shared" si="14"/>
        <v/>
      </c>
    </row>
    <row r="911" spans="1:7" ht="14.25" customHeight="1" x14ac:dyDescent="0.3">
      <c r="A911" s="7"/>
      <c r="B911" s="7"/>
      <c r="C911" s="7"/>
      <c r="D911" s="7"/>
      <c r="E911" s="7"/>
      <c r="F911" s="7"/>
      <c r="G911" s="3" t="str">
        <f t="shared" si="14"/>
        <v/>
      </c>
    </row>
    <row r="912" spans="1:7" ht="14.25" customHeight="1" x14ac:dyDescent="0.3">
      <c r="A912" s="7"/>
      <c r="B912" s="7"/>
      <c r="C912" s="7"/>
      <c r="D912" s="7"/>
      <c r="E912" s="7"/>
      <c r="F912" s="7"/>
      <c r="G912" s="3" t="str">
        <f t="shared" si="14"/>
        <v/>
      </c>
    </row>
    <row r="913" spans="1:7" ht="14.25" customHeight="1" x14ac:dyDescent="0.3">
      <c r="A913" s="7"/>
      <c r="B913" s="7"/>
      <c r="C913" s="7"/>
      <c r="D913" s="7"/>
      <c r="E913" s="7"/>
      <c r="F913" s="7"/>
      <c r="G913" s="3" t="str">
        <f t="shared" si="14"/>
        <v/>
      </c>
    </row>
    <row r="914" spans="1:7" ht="14.25" customHeight="1" x14ac:dyDescent="0.3">
      <c r="A914" s="7"/>
      <c r="B914" s="7"/>
      <c r="C914" s="7"/>
      <c r="D914" s="7"/>
      <c r="E914" s="7"/>
      <c r="F914" s="7"/>
      <c r="G914" s="3" t="str">
        <f t="shared" si="14"/>
        <v/>
      </c>
    </row>
    <row r="915" spans="1:7" ht="14.25" customHeight="1" x14ac:dyDescent="0.3">
      <c r="A915" s="7"/>
      <c r="B915" s="7"/>
      <c r="C915" s="7"/>
      <c r="D915" s="7"/>
      <c r="E915" s="7"/>
      <c r="F915" s="7"/>
      <c r="G915" s="3" t="str">
        <f t="shared" si="14"/>
        <v/>
      </c>
    </row>
    <row r="916" spans="1:7" ht="14.25" customHeight="1" x14ac:dyDescent="0.3">
      <c r="A916" s="7"/>
      <c r="B916" s="7"/>
      <c r="C916" s="7"/>
      <c r="D916" s="7"/>
      <c r="E916" s="7"/>
      <c r="F916" s="7"/>
      <c r="G916" s="3" t="str">
        <f t="shared" si="14"/>
        <v/>
      </c>
    </row>
    <row r="917" spans="1:7" ht="14.25" customHeight="1" x14ac:dyDescent="0.3">
      <c r="A917" s="7"/>
      <c r="B917" s="7"/>
      <c r="C917" s="7"/>
      <c r="D917" s="7"/>
      <c r="E917" s="7"/>
      <c r="F917" s="7"/>
      <c r="G917" s="3" t="str">
        <f t="shared" si="14"/>
        <v/>
      </c>
    </row>
    <row r="918" spans="1:7" ht="14.25" customHeight="1" x14ac:dyDescent="0.3">
      <c r="A918" s="7"/>
      <c r="B918" s="7"/>
      <c r="C918" s="7"/>
      <c r="D918" s="7"/>
      <c r="E918" s="7"/>
      <c r="F918" s="7"/>
      <c r="G918" s="3" t="str">
        <f t="shared" si="14"/>
        <v/>
      </c>
    </row>
    <row r="919" spans="1:7" ht="14.25" customHeight="1" x14ac:dyDescent="0.3">
      <c r="A919" s="7"/>
      <c r="B919" s="7"/>
      <c r="C919" s="7"/>
      <c r="D919" s="7"/>
      <c r="E919" s="7"/>
      <c r="F919" s="7"/>
      <c r="G919" s="3" t="str">
        <f t="shared" si="14"/>
        <v/>
      </c>
    </row>
    <row r="920" spans="1:7" ht="14.25" customHeight="1" x14ac:dyDescent="0.3">
      <c r="A920" s="7"/>
      <c r="B920" s="7"/>
      <c r="C920" s="7"/>
      <c r="D920" s="7"/>
      <c r="E920" s="7"/>
      <c r="F920" s="7"/>
      <c r="G920" s="3" t="str">
        <f t="shared" si="14"/>
        <v/>
      </c>
    </row>
    <row r="921" spans="1:7" ht="14.25" customHeight="1" x14ac:dyDescent="0.3">
      <c r="A921" s="7"/>
      <c r="B921" s="7"/>
      <c r="C921" s="7"/>
      <c r="D921" s="7"/>
      <c r="E921" s="7"/>
      <c r="F921" s="7"/>
      <c r="G921" s="3" t="str">
        <f t="shared" si="14"/>
        <v/>
      </c>
    </row>
    <row r="922" spans="1:7" ht="14.25" customHeight="1" x14ac:dyDescent="0.3">
      <c r="A922" s="7"/>
      <c r="B922" s="7"/>
      <c r="C922" s="7"/>
      <c r="D922" s="7"/>
      <c r="E922" s="7"/>
      <c r="F922" s="7"/>
      <c r="G922" s="3" t="str">
        <f t="shared" si="14"/>
        <v/>
      </c>
    </row>
    <row r="923" spans="1:7" ht="14.25" customHeight="1" x14ac:dyDescent="0.3">
      <c r="A923" s="7"/>
      <c r="B923" s="7"/>
      <c r="C923" s="7"/>
      <c r="D923" s="7"/>
      <c r="E923" s="7"/>
      <c r="F923" s="7"/>
      <c r="G923" s="3" t="str">
        <f t="shared" si="14"/>
        <v/>
      </c>
    </row>
    <row r="924" spans="1:7" ht="14.25" customHeight="1" x14ac:dyDescent="0.3">
      <c r="A924" s="7"/>
      <c r="B924" s="7"/>
      <c r="C924" s="7"/>
      <c r="D924" s="7"/>
      <c r="E924" s="7"/>
      <c r="F924" s="7"/>
      <c r="G924" s="3" t="str">
        <f t="shared" si="14"/>
        <v/>
      </c>
    </row>
    <row r="925" spans="1:7" ht="14.25" customHeight="1" x14ac:dyDescent="0.3">
      <c r="A925" s="7"/>
      <c r="B925" s="7"/>
      <c r="C925" s="7"/>
      <c r="D925" s="7"/>
      <c r="E925" s="7"/>
      <c r="F925" s="7"/>
      <c r="G925" s="3" t="str">
        <f t="shared" si="14"/>
        <v/>
      </c>
    </row>
    <row r="926" spans="1:7" ht="14.25" customHeight="1" x14ac:dyDescent="0.3">
      <c r="A926" s="7"/>
      <c r="B926" s="7"/>
      <c r="C926" s="7"/>
      <c r="D926" s="7"/>
      <c r="E926" s="7"/>
      <c r="F926" s="7"/>
      <c r="G926" s="3" t="str">
        <f t="shared" si="14"/>
        <v/>
      </c>
    </row>
    <row r="927" spans="1:7" ht="14.25" customHeight="1" x14ac:dyDescent="0.3">
      <c r="A927" s="7"/>
      <c r="B927" s="7"/>
      <c r="C927" s="7"/>
      <c r="D927" s="7"/>
      <c r="E927" s="7"/>
      <c r="F927" s="7"/>
      <c r="G927" s="3" t="str">
        <f t="shared" si="14"/>
        <v/>
      </c>
    </row>
    <row r="928" spans="1:7" ht="14.25" customHeight="1" x14ac:dyDescent="0.3">
      <c r="A928" s="7"/>
      <c r="B928" s="7"/>
      <c r="C928" s="7"/>
      <c r="D928" s="7"/>
      <c r="E928" s="7"/>
      <c r="F928" s="7"/>
      <c r="G928" s="3" t="str">
        <f t="shared" si="14"/>
        <v/>
      </c>
    </row>
    <row r="929" spans="1:7" ht="14.25" customHeight="1" x14ac:dyDescent="0.3">
      <c r="A929" s="7"/>
      <c r="B929" s="7"/>
      <c r="C929" s="7"/>
      <c r="D929" s="7"/>
      <c r="E929" s="7"/>
      <c r="F929" s="7"/>
      <c r="G929" s="3" t="str">
        <f t="shared" si="14"/>
        <v/>
      </c>
    </row>
    <row r="930" spans="1:7" ht="14.25" customHeight="1" x14ac:dyDescent="0.3">
      <c r="A930" s="7"/>
      <c r="B930" s="7"/>
      <c r="C930" s="7"/>
      <c r="D930" s="7"/>
      <c r="E930" s="7"/>
      <c r="F930" s="7"/>
      <c r="G930" s="3" t="str">
        <f t="shared" si="14"/>
        <v/>
      </c>
    </row>
    <row r="931" spans="1:7" ht="14.25" customHeight="1" x14ac:dyDescent="0.3">
      <c r="A931" s="7"/>
      <c r="B931" s="7"/>
      <c r="C931" s="7"/>
      <c r="D931" s="7"/>
      <c r="E931" s="7"/>
      <c r="F931" s="7"/>
      <c r="G931" s="3" t="str">
        <f t="shared" si="14"/>
        <v/>
      </c>
    </row>
    <row r="932" spans="1:7" ht="14.25" customHeight="1" x14ac:dyDescent="0.3">
      <c r="A932" s="7"/>
      <c r="B932" s="7"/>
      <c r="C932" s="7"/>
      <c r="D932" s="7"/>
      <c r="E932" s="7"/>
      <c r="F932" s="7"/>
      <c r="G932" s="3" t="str">
        <f t="shared" si="14"/>
        <v/>
      </c>
    </row>
    <row r="933" spans="1:7" ht="14.25" customHeight="1" x14ac:dyDescent="0.3">
      <c r="A933" s="7"/>
      <c r="B933" s="7"/>
      <c r="C933" s="7"/>
      <c r="D933" s="7"/>
      <c r="E933" s="7"/>
      <c r="F933" s="7"/>
      <c r="G933" s="3" t="str">
        <f t="shared" si="14"/>
        <v/>
      </c>
    </row>
    <row r="934" spans="1:7" ht="14.25" customHeight="1" x14ac:dyDescent="0.3">
      <c r="A934" s="7"/>
      <c r="B934" s="7"/>
      <c r="C934" s="7"/>
      <c r="D934" s="7"/>
      <c r="E934" s="7"/>
      <c r="F934" s="7"/>
      <c r="G934" s="3" t="str">
        <f t="shared" si="14"/>
        <v/>
      </c>
    </row>
    <row r="935" spans="1:7" ht="14.25" customHeight="1" x14ac:dyDescent="0.3">
      <c r="A935" s="7"/>
      <c r="B935" s="7"/>
      <c r="C935" s="7"/>
      <c r="D935" s="7"/>
      <c r="E935" s="7"/>
      <c r="F935" s="7"/>
      <c r="G935" s="3" t="str">
        <f t="shared" si="14"/>
        <v/>
      </c>
    </row>
    <row r="936" spans="1:7" ht="14.25" customHeight="1" x14ac:dyDescent="0.3">
      <c r="A936" s="7"/>
      <c r="B936" s="7"/>
      <c r="C936" s="7"/>
      <c r="D936" s="7"/>
      <c r="E936" s="7"/>
      <c r="F936" s="7"/>
      <c r="G936" s="3" t="str">
        <f t="shared" si="14"/>
        <v/>
      </c>
    </row>
    <row r="937" spans="1:7" ht="14.25" customHeight="1" x14ac:dyDescent="0.3">
      <c r="A937" s="7"/>
      <c r="B937" s="7"/>
      <c r="C937" s="7"/>
      <c r="D937" s="7"/>
      <c r="E937" s="7"/>
      <c r="F937" s="7"/>
      <c r="G937" s="3" t="str">
        <f t="shared" si="14"/>
        <v/>
      </c>
    </row>
    <row r="938" spans="1:7" ht="14.25" customHeight="1" x14ac:dyDescent="0.3">
      <c r="A938" s="7"/>
      <c r="B938" s="7"/>
      <c r="C938" s="7"/>
      <c r="D938" s="7"/>
      <c r="E938" s="7"/>
      <c r="F938" s="7"/>
      <c r="G938" s="3" t="str">
        <f t="shared" si="14"/>
        <v/>
      </c>
    </row>
    <row r="939" spans="1:7" ht="14.25" customHeight="1" x14ac:dyDescent="0.3">
      <c r="A939" s="7"/>
      <c r="B939" s="7"/>
      <c r="C939" s="7"/>
      <c r="D939" s="7"/>
      <c r="E939" s="7"/>
      <c r="F939" s="7"/>
      <c r="G939" s="3" t="str">
        <f t="shared" si="14"/>
        <v/>
      </c>
    </row>
    <row r="940" spans="1:7" ht="14.25" customHeight="1" x14ac:dyDescent="0.3">
      <c r="A940" s="7"/>
      <c r="B940" s="7"/>
      <c r="C940" s="7"/>
      <c r="D940" s="7"/>
      <c r="E940" s="7"/>
      <c r="F940" s="7"/>
      <c r="G940" s="3" t="str">
        <f t="shared" si="14"/>
        <v/>
      </c>
    </row>
    <row r="941" spans="1:7" ht="14.25" customHeight="1" x14ac:dyDescent="0.3">
      <c r="A941" s="7"/>
      <c r="B941" s="7"/>
      <c r="C941" s="7"/>
      <c r="D941" s="7"/>
      <c r="E941" s="7"/>
      <c r="F941" s="7"/>
      <c r="G941" s="3" t="str">
        <f t="shared" si="14"/>
        <v/>
      </c>
    </row>
    <row r="942" spans="1:7" ht="14.25" customHeight="1" x14ac:dyDescent="0.3">
      <c r="A942" s="7"/>
      <c r="B942" s="7"/>
      <c r="C942" s="7"/>
      <c r="D942" s="7"/>
      <c r="E942" s="7"/>
      <c r="F942" s="7"/>
      <c r="G942" s="3" t="str">
        <f t="shared" si="14"/>
        <v/>
      </c>
    </row>
    <row r="943" spans="1:7" ht="14.25" customHeight="1" x14ac:dyDescent="0.3">
      <c r="A943" s="7"/>
      <c r="B943" s="7"/>
      <c r="C943" s="7"/>
      <c r="D943" s="7"/>
      <c r="E943" s="7"/>
      <c r="F943" s="7"/>
      <c r="G943" s="3" t="str">
        <f t="shared" si="14"/>
        <v/>
      </c>
    </row>
    <row r="944" spans="1:7" ht="14.25" customHeight="1" x14ac:dyDescent="0.3">
      <c r="A944" s="7"/>
      <c r="B944" s="7"/>
      <c r="C944" s="7"/>
      <c r="D944" s="7"/>
      <c r="E944" s="7"/>
      <c r="F944" s="7"/>
      <c r="G944" s="3" t="str">
        <f t="shared" si="14"/>
        <v/>
      </c>
    </row>
    <row r="945" spans="1:7" ht="14.25" customHeight="1" x14ac:dyDescent="0.3">
      <c r="A945" s="7"/>
      <c r="B945" s="7"/>
      <c r="C945" s="7"/>
      <c r="D945" s="7"/>
      <c r="E945" s="7"/>
      <c r="F945" s="7"/>
      <c r="G945" s="3" t="str">
        <f t="shared" si="14"/>
        <v/>
      </c>
    </row>
    <row r="946" spans="1:7" ht="14.25" customHeight="1" x14ac:dyDescent="0.3">
      <c r="A946" s="7"/>
      <c r="B946" s="7"/>
      <c r="C946" s="7"/>
      <c r="D946" s="7"/>
      <c r="E946" s="7"/>
      <c r="F946" s="7"/>
      <c r="G946" s="3" t="str">
        <f t="shared" si="14"/>
        <v/>
      </c>
    </row>
    <row r="947" spans="1:7" ht="14.25" customHeight="1" x14ac:dyDescent="0.3">
      <c r="A947" s="7"/>
      <c r="B947" s="7"/>
      <c r="C947" s="7"/>
      <c r="D947" s="7"/>
      <c r="E947" s="7"/>
      <c r="F947" s="7"/>
      <c r="G947" s="3" t="str">
        <f t="shared" si="14"/>
        <v/>
      </c>
    </row>
    <row r="948" spans="1:7" ht="14.25" customHeight="1" x14ac:dyDescent="0.3">
      <c r="A948" s="7"/>
      <c r="B948" s="7"/>
      <c r="C948" s="7"/>
      <c r="D948" s="7"/>
      <c r="E948" s="7"/>
      <c r="F948" s="7"/>
      <c r="G948" s="3" t="str">
        <f t="shared" si="14"/>
        <v/>
      </c>
    </row>
    <row r="949" spans="1:7" ht="14.25" customHeight="1" x14ac:dyDescent="0.3">
      <c r="A949" s="7"/>
      <c r="B949" s="7"/>
      <c r="C949" s="7"/>
      <c r="D949" s="7"/>
      <c r="E949" s="7"/>
      <c r="F949" s="7"/>
      <c r="G949" s="3" t="str">
        <f t="shared" si="14"/>
        <v/>
      </c>
    </row>
    <row r="950" spans="1:7" ht="14.25" customHeight="1" x14ac:dyDescent="0.3">
      <c r="A950" s="7"/>
      <c r="B950" s="7"/>
      <c r="C950" s="7"/>
      <c r="D950" s="7"/>
      <c r="E950" s="7"/>
      <c r="F950" s="7"/>
      <c r="G950" s="3" t="str">
        <f t="shared" si="14"/>
        <v/>
      </c>
    </row>
    <row r="951" spans="1:7" ht="14.25" customHeight="1" x14ac:dyDescent="0.3">
      <c r="A951" s="7"/>
      <c r="B951" s="7"/>
      <c r="C951" s="7"/>
      <c r="D951" s="7"/>
      <c r="E951" s="7"/>
      <c r="F951" s="7"/>
      <c r="G951" s="3" t="str">
        <f t="shared" si="14"/>
        <v/>
      </c>
    </row>
    <row r="952" spans="1:7" ht="14.25" customHeight="1" x14ac:dyDescent="0.3">
      <c r="A952" s="7"/>
      <c r="B952" s="7"/>
      <c r="C952" s="7"/>
      <c r="D952" s="7"/>
      <c r="E952" s="7"/>
      <c r="F952" s="7"/>
      <c r="G952" s="3" t="str">
        <f t="shared" si="14"/>
        <v/>
      </c>
    </row>
    <row r="953" spans="1:7" ht="14.25" customHeight="1" x14ac:dyDescent="0.3">
      <c r="A953" s="7"/>
      <c r="B953" s="7"/>
      <c r="C953" s="7"/>
      <c r="D953" s="7"/>
      <c r="E953" s="7"/>
      <c r="F953" s="7"/>
      <c r="G953" s="3" t="str">
        <f t="shared" si="14"/>
        <v/>
      </c>
    </row>
    <row r="954" spans="1:7" ht="14.25" customHeight="1" x14ac:dyDescent="0.3">
      <c r="A954" s="7"/>
      <c r="B954" s="7"/>
      <c r="C954" s="7"/>
      <c r="D954" s="7"/>
      <c r="E954" s="7"/>
      <c r="F954" s="7"/>
      <c r="G954" s="3" t="str">
        <f t="shared" si="14"/>
        <v/>
      </c>
    </row>
    <row r="955" spans="1:7" ht="14.25" customHeight="1" x14ac:dyDescent="0.3">
      <c r="A955" s="7"/>
      <c r="B955" s="7"/>
      <c r="C955" s="7"/>
      <c r="D955" s="7"/>
      <c r="E955" s="7"/>
      <c r="F955" s="7"/>
      <c r="G955" s="3" t="str">
        <f t="shared" si="14"/>
        <v/>
      </c>
    </row>
    <row r="956" spans="1:7" ht="14.25" customHeight="1" x14ac:dyDescent="0.3">
      <c r="A956" s="7"/>
      <c r="B956" s="7"/>
      <c r="C956" s="7"/>
      <c r="D956" s="7"/>
      <c r="E956" s="7"/>
      <c r="F956" s="7"/>
      <c r="G956" s="3" t="str">
        <f t="shared" si="14"/>
        <v/>
      </c>
    </row>
    <row r="957" spans="1:7" ht="14.25" customHeight="1" x14ac:dyDescent="0.3">
      <c r="A957" s="7"/>
      <c r="B957" s="7"/>
      <c r="C957" s="7"/>
      <c r="D957" s="7"/>
      <c r="E957" s="7"/>
      <c r="F957" s="7"/>
      <c r="G957" s="3" t="str">
        <f t="shared" si="14"/>
        <v/>
      </c>
    </row>
    <row r="958" spans="1:7" ht="14.25" customHeight="1" x14ac:dyDescent="0.3">
      <c r="A958" s="7"/>
      <c r="B958" s="7"/>
      <c r="C958" s="7"/>
      <c r="D958" s="7"/>
      <c r="E958" s="7"/>
      <c r="F958" s="7"/>
      <c r="G958" s="3" t="str">
        <f t="shared" si="14"/>
        <v/>
      </c>
    </row>
    <row r="959" spans="1:7" ht="14.25" customHeight="1" x14ac:dyDescent="0.3">
      <c r="A959" s="7"/>
      <c r="B959" s="7"/>
      <c r="C959" s="7"/>
      <c r="D959" s="7"/>
      <c r="E959" s="7"/>
      <c r="F959" s="7"/>
      <c r="G959" s="3" t="str">
        <f t="shared" si="14"/>
        <v/>
      </c>
    </row>
    <row r="960" spans="1:7" ht="14.25" customHeight="1" x14ac:dyDescent="0.3">
      <c r="A960" s="7"/>
      <c r="B960" s="7"/>
      <c r="C960" s="7"/>
      <c r="D960" s="7"/>
      <c r="E960" s="7"/>
      <c r="F960" s="7"/>
      <c r="G960" s="3" t="str">
        <f t="shared" si="14"/>
        <v/>
      </c>
    </row>
    <row r="961" spans="1:7" ht="14.25" customHeight="1" x14ac:dyDescent="0.3">
      <c r="A961" s="7"/>
      <c r="B961" s="7"/>
      <c r="C961" s="7"/>
      <c r="D961" s="7"/>
      <c r="E961" s="7"/>
      <c r="F961" s="7"/>
      <c r="G961" s="3" t="str">
        <f t="shared" si="14"/>
        <v/>
      </c>
    </row>
    <row r="962" spans="1:7" ht="14.25" customHeight="1" x14ac:dyDescent="0.3">
      <c r="A962" s="7"/>
      <c r="B962" s="7"/>
      <c r="C962" s="7"/>
      <c r="D962" s="7"/>
      <c r="E962" s="7"/>
      <c r="F962" s="7"/>
      <c r="G962" s="3" t="str">
        <f t="shared" ref="G962:G1000" si="15">IF(COUNTA(A962:F962)=0,"",IF(COUNTIF($A$2:$A$1000,A962)&gt;1,"DUPLICATE COURSE CODE","OK"))</f>
        <v/>
      </c>
    </row>
    <row r="963" spans="1:7" ht="14.25" customHeight="1" x14ac:dyDescent="0.3">
      <c r="A963" s="7"/>
      <c r="B963" s="7"/>
      <c r="C963" s="7"/>
      <c r="D963" s="7"/>
      <c r="E963" s="7"/>
      <c r="F963" s="7"/>
      <c r="G963" s="3" t="str">
        <f t="shared" si="15"/>
        <v/>
      </c>
    </row>
    <row r="964" spans="1:7" ht="14.25" customHeight="1" x14ac:dyDescent="0.3">
      <c r="A964" s="7"/>
      <c r="B964" s="7"/>
      <c r="C964" s="7"/>
      <c r="D964" s="7"/>
      <c r="E964" s="7"/>
      <c r="F964" s="7"/>
      <c r="G964" s="3" t="str">
        <f t="shared" si="15"/>
        <v/>
      </c>
    </row>
    <row r="965" spans="1:7" ht="14.25" customHeight="1" x14ac:dyDescent="0.3">
      <c r="A965" s="7"/>
      <c r="B965" s="7"/>
      <c r="C965" s="7"/>
      <c r="D965" s="7"/>
      <c r="E965" s="7"/>
      <c r="F965" s="7"/>
      <c r="G965" s="3" t="str">
        <f t="shared" si="15"/>
        <v/>
      </c>
    </row>
    <row r="966" spans="1:7" ht="14.25" customHeight="1" x14ac:dyDescent="0.3">
      <c r="A966" s="7"/>
      <c r="B966" s="7"/>
      <c r="C966" s="7"/>
      <c r="D966" s="7"/>
      <c r="E966" s="7"/>
      <c r="F966" s="7"/>
      <c r="G966" s="3" t="str">
        <f t="shared" si="15"/>
        <v/>
      </c>
    </row>
    <row r="967" spans="1:7" ht="14.25" customHeight="1" x14ac:dyDescent="0.3">
      <c r="A967" s="7"/>
      <c r="B967" s="7"/>
      <c r="C967" s="7"/>
      <c r="D967" s="7"/>
      <c r="E967" s="7"/>
      <c r="F967" s="7"/>
      <c r="G967" s="3" t="str">
        <f t="shared" si="15"/>
        <v/>
      </c>
    </row>
    <row r="968" spans="1:7" ht="14.25" customHeight="1" x14ac:dyDescent="0.3">
      <c r="A968" s="7"/>
      <c r="B968" s="7"/>
      <c r="C968" s="7"/>
      <c r="D968" s="7"/>
      <c r="E968" s="7"/>
      <c r="F968" s="7"/>
      <c r="G968" s="3" t="str">
        <f t="shared" si="15"/>
        <v/>
      </c>
    </row>
    <row r="969" spans="1:7" ht="14.25" customHeight="1" x14ac:dyDescent="0.3">
      <c r="A969" s="7"/>
      <c r="B969" s="7"/>
      <c r="C969" s="7"/>
      <c r="D969" s="7"/>
      <c r="E969" s="7"/>
      <c r="F969" s="7"/>
      <c r="G969" s="3" t="str">
        <f t="shared" si="15"/>
        <v/>
      </c>
    </row>
    <row r="970" spans="1:7" ht="14.25" customHeight="1" x14ac:dyDescent="0.3">
      <c r="A970" s="7"/>
      <c r="B970" s="7"/>
      <c r="C970" s="7"/>
      <c r="D970" s="7"/>
      <c r="E970" s="7"/>
      <c r="F970" s="7"/>
      <c r="G970" s="3" t="str">
        <f t="shared" si="15"/>
        <v/>
      </c>
    </row>
    <row r="971" spans="1:7" ht="14.25" customHeight="1" x14ac:dyDescent="0.3">
      <c r="A971" s="7"/>
      <c r="B971" s="7"/>
      <c r="C971" s="7"/>
      <c r="D971" s="7"/>
      <c r="E971" s="7"/>
      <c r="F971" s="7"/>
      <c r="G971" s="3" t="str">
        <f t="shared" si="15"/>
        <v/>
      </c>
    </row>
    <row r="972" spans="1:7" ht="14.25" customHeight="1" x14ac:dyDescent="0.3">
      <c r="A972" s="7"/>
      <c r="B972" s="7"/>
      <c r="C972" s="7"/>
      <c r="D972" s="7"/>
      <c r="E972" s="7"/>
      <c r="F972" s="7"/>
      <c r="G972" s="3" t="str">
        <f t="shared" si="15"/>
        <v/>
      </c>
    </row>
    <row r="973" spans="1:7" ht="14.25" customHeight="1" x14ac:dyDescent="0.3">
      <c r="A973" s="7"/>
      <c r="B973" s="7"/>
      <c r="C973" s="7"/>
      <c r="D973" s="7"/>
      <c r="E973" s="7"/>
      <c r="F973" s="7"/>
      <c r="G973" s="3" t="str">
        <f t="shared" si="15"/>
        <v/>
      </c>
    </row>
    <row r="974" spans="1:7" ht="14.25" customHeight="1" x14ac:dyDescent="0.3">
      <c r="A974" s="7"/>
      <c r="B974" s="7"/>
      <c r="C974" s="7"/>
      <c r="D974" s="7"/>
      <c r="E974" s="7"/>
      <c r="F974" s="7"/>
      <c r="G974" s="3" t="str">
        <f t="shared" si="15"/>
        <v/>
      </c>
    </row>
    <row r="975" spans="1:7" ht="14.25" customHeight="1" x14ac:dyDescent="0.3">
      <c r="A975" s="7"/>
      <c r="B975" s="7"/>
      <c r="C975" s="7"/>
      <c r="D975" s="7"/>
      <c r="E975" s="7"/>
      <c r="F975" s="7"/>
      <c r="G975" s="3" t="str">
        <f t="shared" si="15"/>
        <v/>
      </c>
    </row>
    <row r="976" spans="1:7" ht="14.25" customHeight="1" x14ac:dyDescent="0.3">
      <c r="A976" s="7"/>
      <c r="B976" s="7"/>
      <c r="C976" s="7"/>
      <c r="D976" s="7"/>
      <c r="E976" s="7"/>
      <c r="F976" s="7"/>
      <c r="G976" s="3" t="str">
        <f t="shared" si="15"/>
        <v/>
      </c>
    </row>
    <row r="977" spans="1:7" ht="14.25" customHeight="1" x14ac:dyDescent="0.3">
      <c r="A977" s="7"/>
      <c r="B977" s="7"/>
      <c r="C977" s="7"/>
      <c r="D977" s="7"/>
      <c r="E977" s="7"/>
      <c r="F977" s="7"/>
      <c r="G977" s="3" t="str">
        <f t="shared" si="15"/>
        <v/>
      </c>
    </row>
    <row r="978" spans="1:7" ht="14.25" customHeight="1" x14ac:dyDescent="0.3">
      <c r="A978" s="7"/>
      <c r="B978" s="7"/>
      <c r="C978" s="7"/>
      <c r="D978" s="7"/>
      <c r="E978" s="7"/>
      <c r="F978" s="7"/>
      <c r="G978" s="3" t="str">
        <f t="shared" si="15"/>
        <v/>
      </c>
    </row>
    <row r="979" spans="1:7" ht="14.25" customHeight="1" x14ac:dyDescent="0.3">
      <c r="A979" s="7"/>
      <c r="B979" s="7"/>
      <c r="C979" s="7"/>
      <c r="D979" s="7"/>
      <c r="E979" s="7"/>
      <c r="F979" s="7"/>
      <c r="G979" s="3" t="str">
        <f t="shared" si="15"/>
        <v/>
      </c>
    </row>
    <row r="980" spans="1:7" ht="14.25" customHeight="1" x14ac:dyDescent="0.3">
      <c r="A980" s="7"/>
      <c r="B980" s="7"/>
      <c r="C980" s="7"/>
      <c r="D980" s="7"/>
      <c r="E980" s="7"/>
      <c r="F980" s="7"/>
      <c r="G980" s="3" t="str">
        <f t="shared" si="15"/>
        <v/>
      </c>
    </row>
    <row r="981" spans="1:7" ht="14.25" customHeight="1" x14ac:dyDescent="0.3">
      <c r="A981" s="7"/>
      <c r="B981" s="7"/>
      <c r="C981" s="7"/>
      <c r="D981" s="7"/>
      <c r="E981" s="7"/>
      <c r="F981" s="7"/>
      <c r="G981" s="3" t="str">
        <f t="shared" si="15"/>
        <v/>
      </c>
    </row>
    <row r="982" spans="1:7" ht="14.25" customHeight="1" x14ac:dyDescent="0.3">
      <c r="A982" s="7"/>
      <c r="B982" s="7"/>
      <c r="C982" s="7"/>
      <c r="D982" s="7"/>
      <c r="E982" s="7"/>
      <c r="F982" s="7"/>
      <c r="G982" s="3" t="str">
        <f t="shared" si="15"/>
        <v/>
      </c>
    </row>
    <row r="983" spans="1:7" ht="14.25" customHeight="1" x14ac:dyDescent="0.3">
      <c r="A983" s="7"/>
      <c r="B983" s="7"/>
      <c r="C983" s="7"/>
      <c r="D983" s="7"/>
      <c r="E983" s="7"/>
      <c r="F983" s="7"/>
      <c r="G983" s="3" t="str">
        <f t="shared" si="15"/>
        <v/>
      </c>
    </row>
    <row r="984" spans="1:7" ht="14.25" customHeight="1" x14ac:dyDescent="0.3">
      <c r="A984" s="7"/>
      <c r="B984" s="7"/>
      <c r="C984" s="7"/>
      <c r="D984" s="7"/>
      <c r="E984" s="7"/>
      <c r="F984" s="7"/>
      <c r="G984" s="3" t="str">
        <f t="shared" si="15"/>
        <v/>
      </c>
    </row>
    <row r="985" spans="1:7" ht="14.25" customHeight="1" x14ac:dyDescent="0.3">
      <c r="A985" s="7"/>
      <c r="B985" s="7"/>
      <c r="C985" s="7"/>
      <c r="D985" s="7"/>
      <c r="E985" s="7"/>
      <c r="F985" s="7"/>
      <c r="G985" s="3" t="str">
        <f t="shared" si="15"/>
        <v/>
      </c>
    </row>
    <row r="986" spans="1:7" ht="14.25" customHeight="1" x14ac:dyDescent="0.3">
      <c r="A986" s="7"/>
      <c r="B986" s="7"/>
      <c r="C986" s="7"/>
      <c r="D986" s="7"/>
      <c r="E986" s="7"/>
      <c r="F986" s="7"/>
      <c r="G986" s="3" t="str">
        <f t="shared" si="15"/>
        <v/>
      </c>
    </row>
    <row r="987" spans="1:7" ht="14.25" customHeight="1" x14ac:dyDescent="0.3">
      <c r="A987" s="7"/>
      <c r="B987" s="7"/>
      <c r="C987" s="7"/>
      <c r="D987" s="7"/>
      <c r="E987" s="7"/>
      <c r="F987" s="7"/>
      <c r="G987" s="3" t="str">
        <f t="shared" si="15"/>
        <v/>
      </c>
    </row>
    <row r="988" spans="1:7" ht="14.25" customHeight="1" x14ac:dyDescent="0.3">
      <c r="A988" s="7"/>
      <c r="B988" s="7"/>
      <c r="C988" s="7"/>
      <c r="D988" s="7"/>
      <c r="E988" s="7"/>
      <c r="F988" s="7"/>
      <c r="G988" s="3" t="str">
        <f t="shared" si="15"/>
        <v/>
      </c>
    </row>
    <row r="989" spans="1:7" ht="14.25" customHeight="1" x14ac:dyDescent="0.3">
      <c r="A989" s="7"/>
      <c r="B989" s="7"/>
      <c r="C989" s="7"/>
      <c r="D989" s="7"/>
      <c r="E989" s="7"/>
      <c r="F989" s="7"/>
      <c r="G989" s="3" t="str">
        <f t="shared" si="15"/>
        <v/>
      </c>
    </row>
    <row r="990" spans="1:7" ht="14.25" customHeight="1" x14ac:dyDescent="0.3">
      <c r="A990" s="7"/>
      <c r="B990" s="7"/>
      <c r="C990" s="7"/>
      <c r="D990" s="7"/>
      <c r="E990" s="7"/>
      <c r="F990" s="7"/>
      <c r="G990" s="3" t="str">
        <f t="shared" si="15"/>
        <v/>
      </c>
    </row>
    <row r="991" spans="1:7" ht="14.25" customHeight="1" x14ac:dyDescent="0.3">
      <c r="A991" s="7"/>
      <c r="B991" s="7"/>
      <c r="C991" s="7"/>
      <c r="D991" s="7"/>
      <c r="E991" s="7"/>
      <c r="F991" s="7"/>
      <c r="G991" s="3" t="str">
        <f t="shared" si="15"/>
        <v/>
      </c>
    </row>
    <row r="992" spans="1:7" ht="14.25" customHeight="1" x14ac:dyDescent="0.3">
      <c r="A992" s="7"/>
      <c r="B992" s="7"/>
      <c r="C992" s="7"/>
      <c r="D992" s="7"/>
      <c r="E992" s="7"/>
      <c r="F992" s="7"/>
      <c r="G992" s="3" t="str">
        <f t="shared" si="15"/>
        <v/>
      </c>
    </row>
    <row r="993" spans="1:7" ht="14.25" customHeight="1" x14ac:dyDescent="0.3">
      <c r="A993" s="7"/>
      <c r="B993" s="7"/>
      <c r="C993" s="7"/>
      <c r="D993" s="7"/>
      <c r="E993" s="7"/>
      <c r="F993" s="7"/>
      <c r="G993" s="3" t="str">
        <f t="shared" si="15"/>
        <v/>
      </c>
    </row>
    <row r="994" spans="1:7" ht="14.25" customHeight="1" x14ac:dyDescent="0.3">
      <c r="A994" s="7"/>
      <c r="B994" s="7"/>
      <c r="C994" s="7"/>
      <c r="D994" s="7"/>
      <c r="E994" s="7"/>
      <c r="F994" s="7"/>
      <c r="G994" s="3" t="str">
        <f t="shared" si="15"/>
        <v/>
      </c>
    </row>
    <row r="995" spans="1:7" ht="14.25" customHeight="1" x14ac:dyDescent="0.3">
      <c r="A995" s="7"/>
      <c r="B995" s="7"/>
      <c r="C995" s="7"/>
      <c r="D995" s="7"/>
      <c r="E995" s="7"/>
      <c r="F995" s="7"/>
      <c r="G995" s="3" t="str">
        <f t="shared" si="15"/>
        <v/>
      </c>
    </row>
    <row r="996" spans="1:7" ht="14.25" customHeight="1" x14ac:dyDescent="0.3">
      <c r="A996" s="7"/>
      <c r="B996" s="7"/>
      <c r="C996" s="7"/>
      <c r="D996" s="7"/>
      <c r="E996" s="7"/>
      <c r="F996" s="7"/>
      <c r="G996" s="3" t="str">
        <f t="shared" si="15"/>
        <v/>
      </c>
    </row>
    <row r="997" spans="1:7" ht="14.25" customHeight="1" x14ac:dyDescent="0.3">
      <c r="A997" s="7"/>
      <c r="B997" s="7"/>
      <c r="C997" s="7"/>
      <c r="D997" s="7"/>
      <c r="E997" s="7"/>
      <c r="F997" s="7"/>
      <c r="G997" s="3" t="str">
        <f t="shared" si="15"/>
        <v/>
      </c>
    </row>
    <row r="998" spans="1:7" ht="14.25" customHeight="1" x14ac:dyDescent="0.3">
      <c r="A998" s="7"/>
      <c r="B998" s="7"/>
      <c r="C998" s="7"/>
      <c r="D998" s="7"/>
      <c r="E998" s="7"/>
      <c r="F998" s="7"/>
      <c r="G998" s="3" t="str">
        <f t="shared" si="15"/>
        <v/>
      </c>
    </row>
    <row r="999" spans="1:7" ht="14.25" customHeight="1" x14ac:dyDescent="0.3">
      <c r="A999" s="7"/>
      <c r="B999" s="7"/>
      <c r="C999" s="7"/>
      <c r="D999" s="7"/>
      <c r="E999" s="7"/>
      <c r="F999" s="7"/>
      <c r="G999" s="3" t="str">
        <f t="shared" si="15"/>
        <v/>
      </c>
    </row>
    <row r="1000" spans="1:7" ht="14.25" customHeight="1" x14ac:dyDescent="0.3">
      <c r="A1000" s="7"/>
      <c r="B1000" s="7"/>
      <c r="C1000" s="7"/>
      <c r="D1000" s="7"/>
      <c r="E1000" s="7"/>
      <c r="F1000" s="7"/>
      <c r="G1000" s="3" t="str">
        <f t="shared" si="15"/>
        <v/>
      </c>
    </row>
  </sheetData>
  <conditionalFormatting sqref="A2:F1000">
    <cfRule type="expression" dxfId="15" priority="2">
      <formula>AND(COUNTA($A2:$F2)&gt;0,A2="")</formula>
    </cfRule>
    <cfRule type="expression" dxfId="14" priority="3">
      <formula>AND($G2&lt;&gt;"",$G2&lt;&gt;"OK")</formula>
    </cfRule>
  </conditionalFormatting>
  <conditionalFormatting sqref="G2:G1000">
    <cfRule type="expression" dxfId="13" priority="4">
      <formula>AND($G2&lt;&gt;"",$G2&lt;&gt;"OK")</formula>
    </cfRule>
  </conditionalFormatting>
  <dataValidations count="4">
    <dataValidation type="list" errorStyle="information" allowBlank="1" showInputMessage="1" errorTitle="Custom value accepted" error="A custom value is allowed. Choose an existing option or continue with your typed value." promptTitle="Department" prompt="Select the full department name, including its abbreviation in brackets where listed." sqref="D2:D1000" xr:uid="{00000000-0002-0000-0600-000000000000}">
      <formula1>dv_Department</formula1>
      <formula2>0</formula2>
    </dataValidation>
    <dataValidation type="list" errorStyle="information" allowBlank="1" showInputMessage="1" errorTitle="Custom value accepted" error="A custom value is allowed. Choose an existing option or continue with your typed value." promptTitle="Search or add custom value" prompt="Type to search an existing option, or enter a new custom value if no match exists." sqref="C2:C1000" xr:uid="{00000000-0002-0000-0600-000001000000}">
      <formula1>dv_CreditValue</formula1>
      <formula2>0</formula2>
    </dataValidation>
    <dataValidation type="list" errorStyle="information" allowBlank="1" showInputMessage="1" errorTitle="Custom value accepted" error="A custom value is allowed. Choose an existing option or continue with your typed value." promptTitle="Search or add custom value" prompt="Type to search an existing option, or enter a new custom value if no match exists." sqref="E2:E1000" xr:uid="{00000000-0002-0000-0600-000002000000}">
      <formula1>dv_YearSem</formula1>
      <formula2>0</formula2>
    </dataValidation>
    <dataValidation type="list" errorStyle="information" allowBlank="1" showInputMessage="1" errorTitle="Custom value accepted" error="A custom value is allowed. Choose an existing option or continue with your typed value." promptTitle="Search or add custom value" prompt="Type to search an existing option, or enter a new custom value if no match exists." sqref="F2:F1000" xr:uid="{00000000-0002-0000-0600-000003000000}">
      <formula1>dv_TeacherAbbr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showGridLines="0" zoomScaleNormal="100" workbookViewId="0">
      <pane ySplit="1" topLeftCell="A2" activePane="bottomLeft" state="frozen"/>
      <selection pane="bottomLeft" activeCell="B3" sqref="B3"/>
    </sheetView>
  </sheetViews>
  <sheetFormatPr defaultColWidth="14.44140625" defaultRowHeight="14.4" x14ac:dyDescent="0.3"/>
  <cols>
    <col min="1" max="1" width="12" customWidth="1"/>
    <col min="2" max="2" width="20" customWidth="1"/>
    <col min="3" max="3" width="22" customWidth="1"/>
    <col min="4" max="26" width="24" customWidth="1"/>
  </cols>
  <sheetData>
    <row r="1" spans="1:4" ht="14.25" customHeight="1" x14ac:dyDescent="0.3">
      <c r="A1" s="2" t="s">
        <v>270</v>
      </c>
      <c r="B1" s="2" t="s">
        <v>271</v>
      </c>
      <c r="C1" s="2" t="s">
        <v>173</v>
      </c>
      <c r="D1" s="2" t="s">
        <v>2</v>
      </c>
    </row>
    <row r="2" spans="1:4" ht="14.25" customHeight="1" x14ac:dyDescent="0.3">
      <c r="A2" s="7" t="s">
        <v>272</v>
      </c>
      <c r="B2" s="7" t="s">
        <v>273</v>
      </c>
      <c r="C2" s="7" t="s">
        <v>95</v>
      </c>
      <c r="D2" s="3" t="str">
        <f t="shared" ref="D2:D65" si="0">IF(COUNTA(A2:C2)=0,"",IF(COUNTIF($A$2:$A$500,A2)&gt;1,"DUPLICATE ROOM ID","OK"))</f>
        <v>OK</v>
      </c>
    </row>
    <row r="3" spans="1:4" ht="14.25" customHeight="1" x14ac:dyDescent="0.3">
      <c r="A3" s="7" t="s">
        <v>274</v>
      </c>
      <c r="B3" s="7" t="s">
        <v>275</v>
      </c>
      <c r="C3" s="7" t="s">
        <v>95</v>
      </c>
      <c r="D3" s="3" t="str">
        <f t="shared" si="0"/>
        <v>OK</v>
      </c>
    </row>
    <row r="4" spans="1:4" ht="14.25" customHeight="1" x14ac:dyDescent="0.3">
      <c r="A4" s="7" t="s">
        <v>276</v>
      </c>
      <c r="B4" s="7" t="s">
        <v>277</v>
      </c>
      <c r="C4" s="7" t="s">
        <v>80</v>
      </c>
      <c r="D4" s="3" t="str">
        <f t="shared" si="0"/>
        <v>OK</v>
      </c>
    </row>
    <row r="5" spans="1:4" ht="14.25" customHeight="1" x14ac:dyDescent="0.3">
      <c r="A5" s="7" t="s">
        <v>278</v>
      </c>
      <c r="B5" s="7" t="s">
        <v>279</v>
      </c>
      <c r="C5" s="7" t="s">
        <v>80</v>
      </c>
      <c r="D5" s="3" t="str">
        <f t="shared" si="0"/>
        <v>OK</v>
      </c>
    </row>
    <row r="6" spans="1:4" ht="14.25" customHeight="1" x14ac:dyDescent="0.3">
      <c r="A6" s="7" t="s">
        <v>280</v>
      </c>
      <c r="B6" s="7" t="s">
        <v>281</v>
      </c>
      <c r="C6" s="7" t="s">
        <v>80</v>
      </c>
      <c r="D6" s="3" t="str">
        <f t="shared" si="0"/>
        <v>OK</v>
      </c>
    </row>
    <row r="7" spans="1:4" ht="15" customHeight="1" x14ac:dyDescent="0.3">
      <c r="A7" s="7"/>
      <c r="B7" s="7"/>
      <c r="C7" s="7"/>
      <c r="D7" s="3" t="str">
        <f t="shared" si="0"/>
        <v/>
      </c>
    </row>
    <row r="8" spans="1:4" ht="14.25" customHeight="1" x14ac:dyDescent="0.3">
      <c r="A8" s="7"/>
      <c r="B8" s="7"/>
      <c r="C8" s="7"/>
      <c r="D8" s="3" t="str">
        <f t="shared" si="0"/>
        <v/>
      </c>
    </row>
    <row r="9" spans="1:4" ht="14.25" customHeight="1" x14ac:dyDescent="0.3">
      <c r="A9" s="7"/>
      <c r="B9" s="7"/>
      <c r="C9" s="7"/>
      <c r="D9" s="3" t="str">
        <f t="shared" si="0"/>
        <v/>
      </c>
    </row>
    <row r="10" spans="1:4" ht="14.25" customHeight="1" x14ac:dyDescent="0.3">
      <c r="A10" s="7"/>
      <c r="B10" s="7"/>
      <c r="C10" s="7"/>
      <c r="D10" s="3" t="str">
        <f t="shared" si="0"/>
        <v/>
      </c>
    </row>
    <row r="11" spans="1:4" ht="14.25" customHeight="1" x14ac:dyDescent="0.3">
      <c r="A11" s="7"/>
      <c r="B11" s="7"/>
      <c r="C11" s="7"/>
      <c r="D11" s="3" t="str">
        <f t="shared" si="0"/>
        <v/>
      </c>
    </row>
    <row r="12" spans="1:4" ht="14.25" customHeight="1" x14ac:dyDescent="0.3">
      <c r="A12" s="7"/>
      <c r="B12" s="7"/>
      <c r="C12" s="7"/>
      <c r="D12" s="3" t="str">
        <f t="shared" si="0"/>
        <v/>
      </c>
    </row>
    <row r="13" spans="1:4" ht="14.25" customHeight="1" x14ac:dyDescent="0.3">
      <c r="A13" s="7"/>
      <c r="B13" s="7"/>
      <c r="C13" s="7"/>
      <c r="D13" s="3" t="str">
        <f t="shared" si="0"/>
        <v/>
      </c>
    </row>
    <row r="14" spans="1:4" ht="14.25" customHeight="1" x14ac:dyDescent="0.3">
      <c r="A14" s="7"/>
      <c r="B14" s="7"/>
      <c r="C14" s="7"/>
      <c r="D14" s="3" t="str">
        <f t="shared" si="0"/>
        <v/>
      </c>
    </row>
    <row r="15" spans="1:4" ht="14.25" customHeight="1" x14ac:dyDescent="0.3">
      <c r="A15" s="7"/>
      <c r="B15" s="7"/>
      <c r="C15" s="7"/>
      <c r="D15" s="3" t="str">
        <f t="shared" si="0"/>
        <v/>
      </c>
    </row>
    <row r="16" spans="1:4" ht="14.25" customHeight="1" x14ac:dyDescent="0.3">
      <c r="A16" s="7"/>
      <c r="B16" s="7"/>
      <c r="C16" s="7"/>
      <c r="D16" s="3" t="str">
        <f t="shared" si="0"/>
        <v/>
      </c>
    </row>
    <row r="17" spans="1:4" ht="14.25" customHeight="1" x14ac:dyDescent="0.3">
      <c r="A17" s="7"/>
      <c r="B17" s="7"/>
      <c r="C17" s="7"/>
      <c r="D17" s="3" t="str">
        <f t="shared" si="0"/>
        <v/>
      </c>
    </row>
    <row r="18" spans="1:4" ht="14.25" customHeight="1" x14ac:dyDescent="0.3">
      <c r="A18" s="7"/>
      <c r="B18" s="7"/>
      <c r="C18" s="7"/>
      <c r="D18" s="3" t="str">
        <f t="shared" si="0"/>
        <v/>
      </c>
    </row>
    <row r="19" spans="1:4" ht="14.25" customHeight="1" x14ac:dyDescent="0.3">
      <c r="A19" s="7"/>
      <c r="B19" s="7"/>
      <c r="C19" s="7"/>
      <c r="D19" s="3" t="str">
        <f t="shared" si="0"/>
        <v/>
      </c>
    </row>
    <row r="20" spans="1:4" ht="14.25" customHeight="1" x14ac:dyDescent="0.3">
      <c r="A20" s="7"/>
      <c r="B20" s="7"/>
      <c r="C20" s="7"/>
      <c r="D20" s="3" t="str">
        <f t="shared" si="0"/>
        <v/>
      </c>
    </row>
    <row r="21" spans="1:4" ht="14.25" customHeight="1" x14ac:dyDescent="0.3">
      <c r="A21" s="7"/>
      <c r="B21" s="7"/>
      <c r="C21" s="7"/>
      <c r="D21" s="3" t="str">
        <f t="shared" si="0"/>
        <v/>
      </c>
    </row>
    <row r="22" spans="1:4" ht="14.25" customHeight="1" x14ac:dyDescent="0.3">
      <c r="A22" s="7"/>
      <c r="B22" s="7"/>
      <c r="C22" s="7"/>
      <c r="D22" s="3" t="str">
        <f t="shared" si="0"/>
        <v/>
      </c>
    </row>
    <row r="23" spans="1:4" ht="14.25" customHeight="1" x14ac:dyDescent="0.3">
      <c r="A23" s="7"/>
      <c r="B23" s="7"/>
      <c r="C23" s="7"/>
      <c r="D23" s="3" t="str">
        <f t="shared" si="0"/>
        <v/>
      </c>
    </row>
    <row r="24" spans="1:4" ht="14.25" customHeight="1" x14ac:dyDescent="0.3">
      <c r="A24" s="7"/>
      <c r="B24" s="7"/>
      <c r="C24" s="7"/>
      <c r="D24" s="3" t="str">
        <f t="shared" si="0"/>
        <v/>
      </c>
    </row>
    <row r="25" spans="1:4" ht="14.25" customHeight="1" x14ac:dyDescent="0.3">
      <c r="A25" s="7"/>
      <c r="B25" s="7"/>
      <c r="C25" s="7"/>
      <c r="D25" s="3" t="str">
        <f t="shared" si="0"/>
        <v/>
      </c>
    </row>
    <row r="26" spans="1:4" ht="14.25" customHeight="1" x14ac:dyDescent="0.3">
      <c r="A26" s="7"/>
      <c r="B26" s="7"/>
      <c r="C26" s="7"/>
      <c r="D26" s="3" t="str">
        <f t="shared" si="0"/>
        <v/>
      </c>
    </row>
    <row r="27" spans="1:4" ht="14.25" customHeight="1" x14ac:dyDescent="0.3">
      <c r="A27" s="7"/>
      <c r="B27" s="7"/>
      <c r="C27" s="7"/>
      <c r="D27" s="3" t="str">
        <f t="shared" si="0"/>
        <v/>
      </c>
    </row>
    <row r="28" spans="1:4" ht="14.25" customHeight="1" x14ac:dyDescent="0.3">
      <c r="A28" s="7"/>
      <c r="B28" s="7"/>
      <c r="C28" s="7"/>
      <c r="D28" s="3" t="str">
        <f t="shared" si="0"/>
        <v/>
      </c>
    </row>
    <row r="29" spans="1:4" ht="14.25" customHeight="1" x14ac:dyDescent="0.3">
      <c r="A29" s="7"/>
      <c r="B29" s="7"/>
      <c r="C29" s="7"/>
      <c r="D29" s="3" t="str">
        <f t="shared" si="0"/>
        <v/>
      </c>
    </row>
    <row r="30" spans="1:4" ht="14.25" customHeight="1" x14ac:dyDescent="0.3">
      <c r="A30" s="7"/>
      <c r="B30" s="7"/>
      <c r="C30" s="7"/>
      <c r="D30" s="3" t="str">
        <f t="shared" si="0"/>
        <v/>
      </c>
    </row>
    <row r="31" spans="1:4" ht="14.25" customHeight="1" x14ac:dyDescent="0.3">
      <c r="A31" s="7"/>
      <c r="B31" s="7"/>
      <c r="C31" s="7"/>
      <c r="D31" s="3" t="str">
        <f t="shared" si="0"/>
        <v/>
      </c>
    </row>
    <row r="32" spans="1:4" ht="14.25" customHeight="1" x14ac:dyDescent="0.3">
      <c r="A32" s="7"/>
      <c r="B32" s="7"/>
      <c r="C32" s="7"/>
      <c r="D32" s="3" t="str">
        <f t="shared" si="0"/>
        <v/>
      </c>
    </row>
    <row r="33" spans="1:4" ht="14.25" customHeight="1" x14ac:dyDescent="0.3">
      <c r="A33" s="7"/>
      <c r="B33" s="7"/>
      <c r="C33" s="7"/>
      <c r="D33" s="3" t="str">
        <f t="shared" si="0"/>
        <v/>
      </c>
    </row>
    <row r="34" spans="1:4" ht="14.25" customHeight="1" x14ac:dyDescent="0.3">
      <c r="A34" s="7"/>
      <c r="B34" s="7"/>
      <c r="C34" s="7"/>
      <c r="D34" s="3" t="str">
        <f t="shared" si="0"/>
        <v/>
      </c>
    </row>
    <row r="35" spans="1:4" ht="14.25" customHeight="1" x14ac:dyDescent="0.3">
      <c r="A35" s="7"/>
      <c r="B35" s="7"/>
      <c r="C35" s="7"/>
      <c r="D35" s="3" t="str">
        <f t="shared" si="0"/>
        <v/>
      </c>
    </row>
    <row r="36" spans="1:4" ht="14.25" customHeight="1" x14ac:dyDescent="0.3">
      <c r="A36" s="7"/>
      <c r="B36" s="7"/>
      <c r="C36" s="7"/>
      <c r="D36" s="3" t="str">
        <f t="shared" si="0"/>
        <v/>
      </c>
    </row>
    <row r="37" spans="1:4" ht="14.25" customHeight="1" x14ac:dyDescent="0.3">
      <c r="A37" s="7"/>
      <c r="B37" s="7"/>
      <c r="C37" s="7"/>
      <c r="D37" s="3" t="str">
        <f t="shared" si="0"/>
        <v/>
      </c>
    </row>
    <row r="38" spans="1:4" ht="14.25" customHeight="1" x14ac:dyDescent="0.3">
      <c r="A38" s="7"/>
      <c r="B38" s="7"/>
      <c r="C38" s="7"/>
      <c r="D38" s="3" t="str">
        <f t="shared" si="0"/>
        <v/>
      </c>
    </row>
    <row r="39" spans="1:4" ht="14.25" customHeight="1" x14ac:dyDescent="0.3">
      <c r="A39" s="7"/>
      <c r="B39" s="7"/>
      <c r="C39" s="7"/>
      <c r="D39" s="3" t="str">
        <f t="shared" si="0"/>
        <v/>
      </c>
    </row>
    <row r="40" spans="1:4" ht="14.25" customHeight="1" x14ac:dyDescent="0.3">
      <c r="A40" s="7"/>
      <c r="B40" s="7"/>
      <c r="C40" s="7"/>
      <c r="D40" s="3" t="str">
        <f t="shared" si="0"/>
        <v/>
      </c>
    </row>
    <row r="41" spans="1:4" ht="14.25" customHeight="1" x14ac:dyDescent="0.3">
      <c r="A41" s="7"/>
      <c r="B41" s="7"/>
      <c r="C41" s="7"/>
      <c r="D41" s="3" t="str">
        <f t="shared" si="0"/>
        <v/>
      </c>
    </row>
    <row r="42" spans="1:4" ht="14.25" customHeight="1" x14ac:dyDescent="0.3">
      <c r="A42" s="7"/>
      <c r="B42" s="7"/>
      <c r="C42" s="7"/>
      <c r="D42" s="3" t="str">
        <f t="shared" si="0"/>
        <v/>
      </c>
    </row>
    <row r="43" spans="1:4" ht="14.25" customHeight="1" x14ac:dyDescent="0.3">
      <c r="A43" s="7"/>
      <c r="B43" s="7"/>
      <c r="C43" s="7"/>
      <c r="D43" s="3" t="str">
        <f t="shared" si="0"/>
        <v/>
      </c>
    </row>
    <row r="44" spans="1:4" ht="14.25" customHeight="1" x14ac:dyDescent="0.3">
      <c r="A44" s="7"/>
      <c r="B44" s="7"/>
      <c r="C44" s="7"/>
      <c r="D44" s="3" t="str">
        <f t="shared" si="0"/>
        <v/>
      </c>
    </row>
    <row r="45" spans="1:4" ht="14.25" customHeight="1" x14ac:dyDescent="0.3">
      <c r="A45" s="7"/>
      <c r="B45" s="7"/>
      <c r="C45" s="7"/>
      <c r="D45" s="3" t="str">
        <f t="shared" si="0"/>
        <v/>
      </c>
    </row>
    <row r="46" spans="1:4" ht="14.25" customHeight="1" x14ac:dyDescent="0.3">
      <c r="A46" s="7"/>
      <c r="B46" s="7"/>
      <c r="C46" s="7"/>
      <c r="D46" s="3" t="str">
        <f t="shared" si="0"/>
        <v/>
      </c>
    </row>
    <row r="47" spans="1:4" ht="14.25" customHeight="1" x14ac:dyDescent="0.3">
      <c r="A47" s="7"/>
      <c r="B47" s="7"/>
      <c r="C47" s="7"/>
      <c r="D47" s="3" t="str">
        <f t="shared" si="0"/>
        <v/>
      </c>
    </row>
    <row r="48" spans="1:4" ht="14.25" customHeight="1" x14ac:dyDescent="0.3">
      <c r="A48" s="7"/>
      <c r="B48" s="7"/>
      <c r="C48" s="7"/>
      <c r="D48" s="3" t="str">
        <f t="shared" si="0"/>
        <v/>
      </c>
    </row>
    <row r="49" spans="1:4" ht="14.25" customHeight="1" x14ac:dyDescent="0.3">
      <c r="A49" s="7"/>
      <c r="B49" s="7"/>
      <c r="C49" s="7"/>
      <c r="D49" s="3" t="str">
        <f t="shared" si="0"/>
        <v/>
      </c>
    </row>
    <row r="50" spans="1:4" ht="14.25" customHeight="1" x14ac:dyDescent="0.3">
      <c r="A50" s="7"/>
      <c r="B50" s="7"/>
      <c r="C50" s="7"/>
      <c r="D50" s="3" t="str">
        <f t="shared" si="0"/>
        <v/>
      </c>
    </row>
    <row r="51" spans="1:4" ht="14.25" customHeight="1" x14ac:dyDescent="0.3">
      <c r="A51" s="7"/>
      <c r="B51" s="7"/>
      <c r="C51" s="7"/>
      <c r="D51" s="3" t="str">
        <f t="shared" si="0"/>
        <v/>
      </c>
    </row>
    <row r="52" spans="1:4" ht="14.25" customHeight="1" x14ac:dyDescent="0.3">
      <c r="A52" s="7"/>
      <c r="B52" s="7"/>
      <c r="C52" s="7"/>
      <c r="D52" s="3" t="str">
        <f t="shared" si="0"/>
        <v/>
      </c>
    </row>
    <row r="53" spans="1:4" ht="14.25" customHeight="1" x14ac:dyDescent="0.3">
      <c r="A53" s="7"/>
      <c r="B53" s="7"/>
      <c r="C53" s="7"/>
      <c r="D53" s="3" t="str">
        <f t="shared" si="0"/>
        <v/>
      </c>
    </row>
    <row r="54" spans="1:4" ht="14.25" customHeight="1" x14ac:dyDescent="0.3">
      <c r="A54" s="7"/>
      <c r="B54" s="7"/>
      <c r="C54" s="7"/>
      <c r="D54" s="3" t="str">
        <f t="shared" si="0"/>
        <v/>
      </c>
    </row>
    <row r="55" spans="1:4" ht="14.25" customHeight="1" x14ac:dyDescent="0.3">
      <c r="A55" s="7"/>
      <c r="B55" s="7"/>
      <c r="C55" s="7"/>
      <c r="D55" s="3" t="str">
        <f t="shared" si="0"/>
        <v/>
      </c>
    </row>
    <row r="56" spans="1:4" ht="14.25" customHeight="1" x14ac:dyDescent="0.3">
      <c r="A56" s="7"/>
      <c r="B56" s="7"/>
      <c r="C56" s="7"/>
      <c r="D56" s="3" t="str">
        <f t="shared" si="0"/>
        <v/>
      </c>
    </row>
    <row r="57" spans="1:4" ht="14.25" customHeight="1" x14ac:dyDescent="0.3">
      <c r="A57" s="7"/>
      <c r="B57" s="7"/>
      <c r="C57" s="7"/>
      <c r="D57" s="3" t="str">
        <f t="shared" si="0"/>
        <v/>
      </c>
    </row>
    <row r="58" spans="1:4" ht="14.25" customHeight="1" x14ac:dyDescent="0.3">
      <c r="A58" s="7"/>
      <c r="B58" s="7"/>
      <c r="C58" s="7"/>
      <c r="D58" s="3" t="str">
        <f t="shared" si="0"/>
        <v/>
      </c>
    </row>
    <row r="59" spans="1:4" ht="14.25" customHeight="1" x14ac:dyDescent="0.3">
      <c r="A59" s="7"/>
      <c r="B59" s="7"/>
      <c r="C59" s="7"/>
      <c r="D59" s="3" t="str">
        <f t="shared" si="0"/>
        <v/>
      </c>
    </row>
    <row r="60" spans="1:4" ht="14.25" customHeight="1" x14ac:dyDescent="0.3">
      <c r="A60" s="7"/>
      <c r="B60" s="7"/>
      <c r="C60" s="7"/>
      <c r="D60" s="3" t="str">
        <f t="shared" si="0"/>
        <v/>
      </c>
    </row>
    <row r="61" spans="1:4" ht="14.25" customHeight="1" x14ac:dyDescent="0.3">
      <c r="A61" s="7"/>
      <c r="B61" s="7"/>
      <c r="C61" s="7"/>
      <c r="D61" s="3" t="str">
        <f t="shared" si="0"/>
        <v/>
      </c>
    </row>
    <row r="62" spans="1:4" ht="14.25" customHeight="1" x14ac:dyDescent="0.3">
      <c r="A62" s="7"/>
      <c r="B62" s="7"/>
      <c r="C62" s="7"/>
      <c r="D62" s="3" t="str">
        <f t="shared" si="0"/>
        <v/>
      </c>
    </row>
    <row r="63" spans="1:4" ht="14.25" customHeight="1" x14ac:dyDescent="0.3">
      <c r="A63" s="7"/>
      <c r="B63" s="7"/>
      <c r="C63" s="7"/>
      <c r="D63" s="3" t="str">
        <f t="shared" si="0"/>
        <v/>
      </c>
    </row>
    <row r="64" spans="1:4" ht="14.25" customHeight="1" x14ac:dyDescent="0.3">
      <c r="A64" s="7"/>
      <c r="B64" s="7"/>
      <c r="C64" s="7"/>
      <c r="D64" s="3" t="str">
        <f t="shared" si="0"/>
        <v/>
      </c>
    </row>
    <row r="65" spans="1:4" ht="14.25" customHeight="1" x14ac:dyDescent="0.3">
      <c r="A65" s="7"/>
      <c r="B65" s="7"/>
      <c r="C65" s="7"/>
      <c r="D65" s="3" t="str">
        <f t="shared" si="0"/>
        <v/>
      </c>
    </row>
    <row r="66" spans="1:4" ht="14.25" customHeight="1" x14ac:dyDescent="0.3">
      <c r="A66" s="7"/>
      <c r="B66" s="7"/>
      <c r="C66" s="7"/>
      <c r="D66" s="3" t="str">
        <f t="shared" ref="D66:D129" si="1">IF(COUNTA(A66:C66)=0,"",IF(COUNTIF($A$2:$A$500,A66)&gt;1,"DUPLICATE ROOM ID","OK"))</f>
        <v/>
      </c>
    </row>
    <row r="67" spans="1:4" ht="14.25" customHeight="1" x14ac:dyDescent="0.3">
      <c r="A67" s="7"/>
      <c r="B67" s="7"/>
      <c r="C67" s="7"/>
      <c r="D67" s="3" t="str">
        <f t="shared" si="1"/>
        <v/>
      </c>
    </row>
    <row r="68" spans="1:4" ht="14.25" customHeight="1" x14ac:dyDescent="0.3">
      <c r="A68" s="7"/>
      <c r="B68" s="7"/>
      <c r="C68" s="7"/>
      <c r="D68" s="3" t="str">
        <f t="shared" si="1"/>
        <v/>
      </c>
    </row>
    <row r="69" spans="1:4" ht="14.25" customHeight="1" x14ac:dyDescent="0.3">
      <c r="A69" s="7"/>
      <c r="B69" s="7"/>
      <c r="C69" s="7"/>
      <c r="D69" s="3" t="str">
        <f t="shared" si="1"/>
        <v/>
      </c>
    </row>
    <row r="70" spans="1:4" ht="14.25" customHeight="1" x14ac:dyDescent="0.3">
      <c r="A70" s="7"/>
      <c r="B70" s="7"/>
      <c r="C70" s="7"/>
      <c r="D70" s="3" t="str">
        <f t="shared" si="1"/>
        <v/>
      </c>
    </row>
    <row r="71" spans="1:4" ht="14.25" customHeight="1" x14ac:dyDescent="0.3">
      <c r="A71" s="7"/>
      <c r="B71" s="7"/>
      <c r="C71" s="7"/>
      <c r="D71" s="3" t="str">
        <f t="shared" si="1"/>
        <v/>
      </c>
    </row>
    <row r="72" spans="1:4" ht="14.25" customHeight="1" x14ac:dyDescent="0.3">
      <c r="A72" s="7"/>
      <c r="B72" s="7"/>
      <c r="C72" s="7"/>
      <c r="D72" s="3" t="str">
        <f t="shared" si="1"/>
        <v/>
      </c>
    </row>
    <row r="73" spans="1:4" ht="14.25" customHeight="1" x14ac:dyDescent="0.3">
      <c r="A73" s="7"/>
      <c r="B73" s="7"/>
      <c r="C73" s="7"/>
      <c r="D73" s="3" t="str">
        <f t="shared" si="1"/>
        <v/>
      </c>
    </row>
    <row r="74" spans="1:4" ht="14.25" customHeight="1" x14ac:dyDescent="0.3">
      <c r="A74" s="7"/>
      <c r="B74" s="7"/>
      <c r="C74" s="7"/>
      <c r="D74" s="3" t="str">
        <f t="shared" si="1"/>
        <v/>
      </c>
    </row>
    <row r="75" spans="1:4" ht="14.25" customHeight="1" x14ac:dyDescent="0.3">
      <c r="A75" s="7"/>
      <c r="B75" s="7"/>
      <c r="C75" s="7"/>
      <c r="D75" s="3" t="str">
        <f t="shared" si="1"/>
        <v/>
      </c>
    </row>
    <row r="76" spans="1:4" ht="14.25" customHeight="1" x14ac:dyDescent="0.3">
      <c r="A76" s="7"/>
      <c r="B76" s="7"/>
      <c r="C76" s="7"/>
      <c r="D76" s="3" t="str">
        <f t="shared" si="1"/>
        <v/>
      </c>
    </row>
    <row r="77" spans="1:4" ht="14.25" customHeight="1" x14ac:dyDescent="0.3">
      <c r="A77" s="7"/>
      <c r="B77" s="7"/>
      <c r="C77" s="7"/>
      <c r="D77" s="3" t="str">
        <f t="shared" si="1"/>
        <v/>
      </c>
    </row>
    <row r="78" spans="1:4" ht="14.25" customHeight="1" x14ac:dyDescent="0.3">
      <c r="A78" s="7"/>
      <c r="B78" s="7"/>
      <c r="C78" s="7"/>
      <c r="D78" s="3" t="str">
        <f t="shared" si="1"/>
        <v/>
      </c>
    </row>
    <row r="79" spans="1:4" ht="14.25" customHeight="1" x14ac:dyDescent="0.3">
      <c r="A79" s="7"/>
      <c r="B79" s="7"/>
      <c r="C79" s="7"/>
      <c r="D79" s="3" t="str">
        <f t="shared" si="1"/>
        <v/>
      </c>
    </row>
    <row r="80" spans="1:4" ht="14.25" customHeight="1" x14ac:dyDescent="0.3">
      <c r="A80" s="7"/>
      <c r="B80" s="7"/>
      <c r="C80" s="7"/>
      <c r="D80" s="3" t="str">
        <f t="shared" si="1"/>
        <v/>
      </c>
    </row>
    <row r="81" spans="1:4" ht="14.25" customHeight="1" x14ac:dyDescent="0.3">
      <c r="A81" s="7"/>
      <c r="B81" s="7"/>
      <c r="C81" s="7"/>
      <c r="D81" s="3" t="str">
        <f t="shared" si="1"/>
        <v/>
      </c>
    </row>
    <row r="82" spans="1:4" ht="14.25" customHeight="1" x14ac:dyDescent="0.3">
      <c r="A82" s="7"/>
      <c r="B82" s="7"/>
      <c r="C82" s="7"/>
      <c r="D82" s="3" t="str">
        <f t="shared" si="1"/>
        <v/>
      </c>
    </row>
    <row r="83" spans="1:4" ht="14.25" customHeight="1" x14ac:dyDescent="0.3">
      <c r="A83" s="7"/>
      <c r="B83" s="7"/>
      <c r="C83" s="7"/>
      <c r="D83" s="3" t="str">
        <f t="shared" si="1"/>
        <v/>
      </c>
    </row>
    <row r="84" spans="1:4" ht="14.25" customHeight="1" x14ac:dyDescent="0.3">
      <c r="A84" s="7"/>
      <c r="B84" s="7"/>
      <c r="C84" s="7"/>
      <c r="D84" s="3" t="str">
        <f t="shared" si="1"/>
        <v/>
      </c>
    </row>
    <row r="85" spans="1:4" ht="14.25" customHeight="1" x14ac:dyDescent="0.3">
      <c r="A85" s="7"/>
      <c r="B85" s="7"/>
      <c r="C85" s="7"/>
      <c r="D85" s="3" t="str">
        <f t="shared" si="1"/>
        <v/>
      </c>
    </row>
    <row r="86" spans="1:4" ht="14.25" customHeight="1" x14ac:dyDescent="0.3">
      <c r="A86" s="7"/>
      <c r="B86" s="7"/>
      <c r="C86" s="7"/>
      <c r="D86" s="3" t="str">
        <f t="shared" si="1"/>
        <v/>
      </c>
    </row>
    <row r="87" spans="1:4" ht="14.25" customHeight="1" x14ac:dyDescent="0.3">
      <c r="A87" s="7"/>
      <c r="B87" s="7"/>
      <c r="C87" s="7"/>
      <c r="D87" s="3" t="str">
        <f t="shared" si="1"/>
        <v/>
      </c>
    </row>
    <row r="88" spans="1:4" ht="14.25" customHeight="1" x14ac:dyDescent="0.3">
      <c r="A88" s="7"/>
      <c r="B88" s="7"/>
      <c r="C88" s="7"/>
      <c r="D88" s="3" t="str">
        <f t="shared" si="1"/>
        <v/>
      </c>
    </row>
    <row r="89" spans="1:4" ht="14.25" customHeight="1" x14ac:dyDescent="0.3">
      <c r="A89" s="7"/>
      <c r="B89" s="7"/>
      <c r="C89" s="7"/>
      <c r="D89" s="3" t="str">
        <f t="shared" si="1"/>
        <v/>
      </c>
    </row>
    <row r="90" spans="1:4" ht="14.25" customHeight="1" x14ac:dyDescent="0.3">
      <c r="A90" s="7"/>
      <c r="B90" s="7"/>
      <c r="C90" s="7"/>
      <c r="D90" s="3" t="str">
        <f t="shared" si="1"/>
        <v/>
      </c>
    </row>
    <row r="91" spans="1:4" ht="14.25" customHeight="1" x14ac:dyDescent="0.3">
      <c r="A91" s="7"/>
      <c r="B91" s="7"/>
      <c r="C91" s="7"/>
      <c r="D91" s="3" t="str">
        <f t="shared" si="1"/>
        <v/>
      </c>
    </row>
    <row r="92" spans="1:4" ht="14.25" customHeight="1" x14ac:dyDescent="0.3">
      <c r="A92" s="7"/>
      <c r="B92" s="7"/>
      <c r="C92" s="7"/>
      <c r="D92" s="3" t="str">
        <f t="shared" si="1"/>
        <v/>
      </c>
    </row>
    <row r="93" spans="1:4" ht="14.25" customHeight="1" x14ac:dyDescent="0.3">
      <c r="A93" s="7"/>
      <c r="B93" s="7"/>
      <c r="C93" s="7"/>
      <c r="D93" s="3" t="str">
        <f t="shared" si="1"/>
        <v/>
      </c>
    </row>
    <row r="94" spans="1:4" ht="14.25" customHeight="1" x14ac:dyDescent="0.3">
      <c r="A94" s="7"/>
      <c r="B94" s="7"/>
      <c r="C94" s="7"/>
      <c r="D94" s="3" t="str">
        <f t="shared" si="1"/>
        <v/>
      </c>
    </row>
    <row r="95" spans="1:4" ht="14.25" customHeight="1" x14ac:dyDescent="0.3">
      <c r="A95" s="7"/>
      <c r="B95" s="7"/>
      <c r="C95" s="7"/>
      <c r="D95" s="3" t="str">
        <f t="shared" si="1"/>
        <v/>
      </c>
    </row>
    <row r="96" spans="1:4" ht="14.25" customHeight="1" x14ac:dyDescent="0.3">
      <c r="A96" s="7"/>
      <c r="B96" s="7"/>
      <c r="C96" s="7"/>
      <c r="D96" s="3" t="str">
        <f t="shared" si="1"/>
        <v/>
      </c>
    </row>
    <row r="97" spans="1:4" ht="14.25" customHeight="1" x14ac:dyDescent="0.3">
      <c r="A97" s="7"/>
      <c r="B97" s="7"/>
      <c r="C97" s="7"/>
      <c r="D97" s="3" t="str">
        <f t="shared" si="1"/>
        <v/>
      </c>
    </row>
    <row r="98" spans="1:4" ht="14.25" customHeight="1" x14ac:dyDescent="0.3">
      <c r="A98" s="7"/>
      <c r="B98" s="7"/>
      <c r="C98" s="7"/>
      <c r="D98" s="3" t="str">
        <f t="shared" si="1"/>
        <v/>
      </c>
    </row>
    <row r="99" spans="1:4" ht="14.25" customHeight="1" x14ac:dyDescent="0.3">
      <c r="A99" s="7"/>
      <c r="B99" s="7"/>
      <c r="C99" s="7"/>
      <c r="D99" s="3" t="str">
        <f t="shared" si="1"/>
        <v/>
      </c>
    </row>
    <row r="100" spans="1:4" ht="14.25" customHeight="1" x14ac:dyDescent="0.3">
      <c r="A100" s="7"/>
      <c r="B100" s="7"/>
      <c r="C100" s="7"/>
      <c r="D100" s="3" t="str">
        <f t="shared" si="1"/>
        <v/>
      </c>
    </row>
    <row r="101" spans="1:4" ht="14.25" customHeight="1" x14ac:dyDescent="0.3">
      <c r="A101" s="7"/>
      <c r="B101" s="7"/>
      <c r="C101" s="7"/>
      <c r="D101" s="3" t="str">
        <f t="shared" si="1"/>
        <v/>
      </c>
    </row>
    <row r="102" spans="1:4" ht="14.25" customHeight="1" x14ac:dyDescent="0.3">
      <c r="A102" s="7"/>
      <c r="B102" s="7"/>
      <c r="C102" s="7"/>
      <c r="D102" s="3" t="str">
        <f t="shared" si="1"/>
        <v/>
      </c>
    </row>
    <row r="103" spans="1:4" ht="14.25" customHeight="1" x14ac:dyDescent="0.3">
      <c r="A103" s="7"/>
      <c r="B103" s="7"/>
      <c r="C103" s="7"/>
      <c r="D103" s="3" t="str">
        <f t="shared" si="1"/>
        <v/>
      </c>
    </row>
    <row r="104" spans="1:4" ht="14.25" customHeight="1" x14ac:dyDescent="0.3">
      <c r="A104" s="7"/>
      <c r="B104" s="7"/>
      <c r="C104" s="7"/>
      <c r="D104" s="3" t="str">
        <f t="shared" si="1"/>
        <v/>
      </c>
    </row>
    <row r="105" spans="1:4" ht="14.25" customHeight="1" x14ac:dyDescent="0.3">
      <c r="A105" s="7"/>
      <c r="B105" s="7"/>
      <c r="C105" s="7"/>
      <c r="D105" s="3" t="str">
        <f t="shared" si="1"/>
        <v/>
      </c>
    </row>
    <row r="106" spans="1:4" ht="14.25" customHeight="1" x14ac:dyDescent="0.3">
      <c r="A106" s="7"/>
      <c r="B106" s="7"/>
      <c r="C106" s="7"/>
      <c r="D106" s="3" t="str">
        <f t="shared" si="1"/>
        <v/>
      </c>
    </row>
    <row r="107" spans="1:4" ht="14.25" customHeight="1" x14ac:dyDescent="0.3">
      <c r="A107" s="7"/>
      <c r="B107" s="7"/>
      <c r="C107" s="7"/>
      <c r="D107" s="3" t="str">
        <f t="shared" si="1"/>
        <v/>
      </c>
    </row>
    <row r="108" spans="1:4" ht="14.25" customHeight="1" x14ac:dyDescent="0.3">
      <c r="A108" s="7"/>
      <c r="B108" s="7"/>
      <c r="C108" s="7"/>
      <c r="D108" s="3" t="str">
        <f t="shared" si="1"/>
        <v/>
      </c>
    </row>
    <row r="109" spans="1:4" ht="14.25" customHeight="1" x14ac:dyDescent="0.3">
      <c r="A109" s="7"/>
      <c r="B109" s="7"/>
      <c r="C109" s="7"/>
      <c r="D109" s="3" t="str">
        <f t="shared" si="1"/>
        <v/>
      </c>
    </row>
    <row r="110" spans="1:4" ht="14.25" customHeight="1" x14ac:dyDescent="0.3">
      <c r="A110" s="7"/>
      <c r="B110" s="7"/>
      <c r="C110" s="7"/>
      <c r="D110" s="3" t="str">
        <f t="shared" si="1"/>
        <v/>
      </c>
    </row>
    <row r="111" spans="1:4" ht="14.25" customHeight="1" x14ac:dyDescent="0.3">
      <c r="A111" s="7"/>
      <c r="B111" s="7"/>
      <c r="C111" s="7"/>
      <c r="D111" s="3" t="str">
        <f t="shared" si="1"/>
        <v/>
      </c>
    </row>
    <row r="112" spans="1:4" ht="14.25" customHeight="1" x14ac:dyDescent="0.3">
      <c r="A112" s="7"/>
      <c r="B112" s="7"/>
      <c r="C112" s="7"/>
      <c r="D112" s="3" t="str">
        <f t="shared" si="1"/>
        <v/>
      </c>
    </row>
    <row r="113" spans="1:4" ht="14.25" customHeight="1" x14ac:dyDescent="0.3">
      <c r="A113" s="7"/>
      <c r="B113" s="7"/>
      <c r="C113" s="7"/>
      <c r="D113" s="3" t="str">
        <f t="shared" si="1"/>
        <v/>
      </c>
    </row>
    <row r="114" spans="1:4" ht="14.25" customHeight="1" x14ac:dyDescent="0.3">
      <c r="A114" s="7"/>
      <c r="B114" s="7"/>
      <c r="C114" s="7"/>
      <c r="D114" s="3" t="str">
        <f t="shared" si="1"/>
        <v/>
      </c>
    </row>
    <row r="115" spans="1:4" ht="14.25" customHeight="1" x14ac:dyDescent="0.3">
      <c r="A115" s="7"/>
      <c r="B115" s="7"/>
      <c r="C115" s="7"/>
      <c r="D115" s="3" t="str">
        <f t="shared" si="1"/>
        <v/>
      </c>
    </row>
    <row r="116" spans="1:4" ht="14.25" customHeight="1" x14ac:dyDescent="0.3">
      <c r="A116" s="7"/>
      <c r="B116" s="7"/>
      <c r="C116" s="7"/>
      <c r="D116" s="3" t="str">
        <f t="shared" si="1"/>
        <v/>
      </c>
    </row>
    <row r="117" spans="1:4" ht="14.25" customHeight="1" x14ac:dyDescent="0.3">
      <c r="A117" s="7"/>
      <c r="B117" s="7"/>
      <c r="C117" s="7"/>
      <c r="D117" s="3" t="str">
        <f t="shared" si="1"/>
        <v/>
      </c>
    </row>
    <row r="118" spans="1:4" ht="14.25" customHeight="1" x14ac:dyDescent="0.3">
      <c r="A118" s="7"/>
      <c r="B118" s="7"/>
      <c r="C118" s="7"/>
      <c r="D118" s="3" t="str">
        <f t="shared" si="1"/>
        <v/>
      </c>
    </row>
    <row r="119" spans="1:4" ht="14.25" customHeight="1" x14ac:dyDescent="0.3">
      <c r="A119" s="7"/>
      <c r="B119" s="7"/>
      <c r="C119" s="7"/>
      <c r="D119" s="3" t="str">
        <f t="shared" si="1"/>
        <v/>
      </c>
    </row>
    <row r="120" spans="1:4" ht="14.25" customHeight="1" x14ac:dyDescent="0.3">
      <c r="A120" s="7"/>
      <c r="B120" s="7"/>
      <c r="C120" s="7"/>
      <c r="D120" s="3" t="str">
        <f t="shared" si="1"/>
        <v/>
      </c>
    </row>
    <row r="121" spans="1:4" ht="14.25" customHeight="1" x14ac:dyDescent="0.3">
      <c r="A121" s="7"/>
      <c r="B121" s="7"/>
      <c r="C121" s="7"/>
      <c r="D121" s="3" t="str">
        <f t="shared" si="1"/>
        <v/>
      </c>
    </row>
    <row r="122" spans="1:4" ht="14.25" customHeight="1" x14ac:dyDescent="0.3">
      <c r="A122" s="7"/>
      <c r="B122" s="7"/>
      <c r="C122" s="7"/>
      <c r="D122" s="3" t="str">
        <f t="shared" si="1"/>
        <v/>
      </c>
    </row>
    <row r="123" spans="1:4" ht="14.25" customHeight="1" x14ac:dyDescent="0.3">
      <c r="A123" s="7"/>
      <c r="B123" s="7"/>
      <c r="C123" s="7"/>
      <c r="D123" s="3" t="str">
        <f t="shared" si="1"/>
        <v/>
      </c>
    </row>
    <row r="124" spans="1:4" ht="14.25" customHeight="1" x14ac:dyDescent="0.3">
      <c r="A124" s="7"/>
      <c r="B124" s="7"/>
      <c r="C124" s="7"/>
      <c r="D124" s="3" t="str">
        <f t="shared" si="1"/>
        <v/>
      </c>
    </row>
    <row r="125" spans="1:4" ht="14.25" customHeight="1" x14ac:dyDescent="0.3">
      <c r="A125" s="7"/>
      <c r="B125" s="7"/>
      <c r="C125" s="7"/>
      <c r="D125" s="3" t="str">
        <f t="shared" si="1"/>
        <v/>
      </c>
    </row>
    <row r="126" spans="1:4" ht="14.25" customHeight="1" x14ac:dyDescent="0.3">
      <c r="A126" s="7"/>
      <c r="B126" s="7"/>
      <c r="C126" s="7"/>
      <c r="D126" s="3" t="str">
        <f t="shared" si="1"/>
        <v/>
      </c>
    </row>
    <row r="127" spans="1:4" ht="14.25" customHeight="1" x14ac:dyDescent="0.3">
      <c r="A127" s="7"/>
      <c r="B127" s="7"/>
      <c r="C127" s="7"/>
      <c r="D127" s="3" t="str">
        <f t="shared" si="1"/>
        <v/>
      </c>
    </row>
    <row r="128" spans="1:4" ht="14.25" customHeight="1" x14ac:dyDescent="0.3">
      <c r="A128" s="7"/>
      <c r="B128" s="7"/>
      <c r="C128" s="7"/>
      <c r="D128" s="3" t="str">
        <f t="shared" si="1"/>
        <v/>
      </c>
    </row>
    <row r="129" spans="1:4" ht="14.25" customHeight="1" x14ac:dyDescent="0.3">
      <c r="A129" s="7"/>
      <c r="B129" s="7"/>
      <c r="C129" s="7"/>
      <c r="D129" s="3" t="str">
        <f t="shared" si="1"/>
        <v/>
      </c>
    </row>
    <row r="130" spans="1:4" ht="14.25" customHeight="1" x14ac:dyDescent="0.3">
      <c r="A130" s="7"/>
      <c r="B130" s="7"/>
      <c r="C130" s="7"/>
      <c r="D130" s="3" t="str">
        <f t="shared" ref="D130:D193" si="2">IF(COUNTA(A130:C130)=0,"",IF(COUNTIF($A$2:$A$500,A130)&gt;1,"DUPLICATE ROOM ID","OK"))</f>
        <v/>
      </c>
    </row>
    <row r="131" spans="1:4" ht="14.25" customHeight="1" x14ac:dyDescent="0.3">
      <c r="A131" s="7"/>
      <c r="B131" s="7"/>
      <c r="C131" s="7"/>
      <c r="D131" s="3" t="str">
        <f t="shared" si="2"/>
        <v/>
      </c>
    </row>
    <row r="132" spans="1:4" ht="14.25" customHeight="1" x14ac:dyDescent="0.3">
      <c r="A132" s="7"/>
      <c r="B132" s="7"/>
      <c r="C132" s="7"/>
      <c r="D132" s="3" t="str">
        <f t="shared" si="2"/>
        <v/>
      </c>
    </row>
    <row r="133" spans="1:4" ht="14.25" customHeight="1" x14ac:dyDescent="0.3">
      <c r="A133" s="7"/>
      <c r="B133" s="7"/>
      <c r="C133" s="7"/>
      <c r="D133" s="3" t="str">
        <f t="shared" si="2"/>
        <v/>
      </c>
    </row>
    <row r="134" spans="1:4" ht="14.25" customHeight="1" x14ac:dyDescent="0.3">
      <c r="A134" s="7"/>
      <c r="B134" s="7"/>
      <c r="C134" s="7"/>
      <c r="D134" s="3" t="str">
        <f t="shared" si="2"/>
        <v/>
      </c>
    </row>
    <row r="135" spans="1:4" ht="14.25" customHeight="1" x14ac:dyDescent="0.3">
      <c r="A135" s="7"/>
      <c r="B135" s="7"/>
      <c r="C135" s="7"/>
      <c r="D135" s="3" t="str">
        <f t="shared" si="2"/>
        <v/>
      </c>
    </row>
    <row r="136" spans="1:4" ht="14.25" customHeight="1" x14ac:dyDescent="0.3">
      <c r="A136" s="7"/>
      <c r="B136" s="7"/>
      <c r="C136" s="7"/>
      <c r="D136" s="3" t="str">
        <f t="shared" si="2"/>
        <v/>
      </c>
    </row>
    <row r="137" spans="1:4" ht="14.25" customHeight="1" x14ac:dyDescent="0.3">
      <c r="A137" s="7"/>
      <c r="B137" s="7"/>
      <c r="C137" s="7"/>
      <c r="D137" s="3" t="str">
        <f t="shared" si="2"/>
        <v/>
      </c>
    </row>
    <row r="138" spans="1:4" ht="14.25" customHeight="1" x14ac:dyDescent="0.3">
      <c r="A138" s="7"/>
      <c r="B138" s="7"/>
      <c r="C138" s="7"/>
      <c r="D138" s="3" t="str">
        <f t="shared" si="2"/>
        <v/>
      </c>
    </row>
    <row r="139" spans="1:4" ht="14.25" customHeight="1" x14ac:dyDescent="0.3">
      <c r="A139" s="7"/>
      <c r="B139" s="7"/>
      <c r="C139" s="7"/>
      <c r="D139" s="3" t="str">
        <f t="shared" si="2"/>
        <v/>
      </c>
    </row>
    <row r="140" spans="1:4" ht="14.25" customHeight="1" x14ac:dyDescent="0.3">
      <c r="A140" s="7"/>
      <c r="B140" s="7"/>
      <c r="C140" s="7"/>
      <c r="D140" s="3" t="str">
        <f t="shared" si="2"/>
        <v/>
      </c>
    </row>
    <row r="141" spans="1:4" ht="14.25" customHeight="1" x14ac:dyDescent="0.3">
      <c r="A141" s="7"/>
      <c r="B141" s="7"/>
      <c r="C141" s="7"/>
      <c r="D141" s="3" t="str">
        <f t="shared" si="2"/>
        <v/>
      </c>
    </row>
    <row r="142" spans="1:4" ht="14.25" customHeight="1" x14ac:dyDescent="0.3">
      <c r="A142" s="7"/>
      <c r="B142" s="7"/>
      <c r="C142" s="7"/>
      <c r="D142" s="3" t="str">
        <f t="shared" si="2"/>
        <v/>
      </c>
    </row>
    <row r="143" spans="1:4" ht="14.25" customHeight="1" x14ac:dyDescent="0.3">
      <c r="A143" s="7"/>
      <c r="B143" s="7"/>
      <c r="C143" s="7"/>
      <c r="D143" s="3" t="str">
        <f t="shared" si="2"/>
        <v/>
      </c>
    </row>
    <row r="144" spans="1:4" ht="14.25" customHeight="1" x14ac:dyDescent="0.3">
      <c r="A144" s="7"/>
      <c r="B144" s="7"/>
      <c r="C144" s="7"/>
      <c r="D144" s="3" t="str">
        <f t="shared" si="2"/>
        <v/>
      </c>
    </row>
    <row r="145" spans="1:4" ht="14.25" customHeight="1" x14ac:dyDescent="0.3">
      <c r="A145" s="7"/>
      <c r="B145" s="7"/>
      <c r="C145" s="7"/>
      <c r="D145" s="3" t="str">
        <f t="shared" si="2"/>
        <v/>
      </c>
    </row>
    <row r="146" spans="1:4" ht="14.25" customHeight="1" x14ac:dyDescent="0.3">
      <c r="A146" s="7"/>
      <c r="B146" s="7"/>
      <c r="C146" s="7"/>
      <c r="D146" s="3" t="str">
        <f t="shared" si="2"/>
        <v/>
      </c>
    </row>
    <row r="147" spans="1:4" ht="14.25" customHeight="1" x14ac:dyDescent="0.3">
      <c r="A147" s="7"/>
      <c r="B147" s="7"/>
      <c r="C147" s="7"/>
      <c r="D147" s="3" t="str">
        <f t="shared" si="2"/>
        <v/>
      </c>
    </row>
    <row r="148" spans="1:4" ht="14.25" customHeight="1" x14ac:dyDescent="0.3">
      <c r="A148" s="7"/>
      <c r="B148" s="7"/>
      <c r="C148" s="7"/>
      <c r="D148" s="3" t="str">
        <f t="shared" si="2"/>
        <v/>
      </c>
    </row>
    <row r="149" spans="1:4" ht="14.25" customHeight="1" x14ac:dyDescent="0.3">
      <c r="A149" s="7"/>
      <c r="B149" s="7"/>
      <c r="C149" s="7"/>
      <c r="D149" s="3" t="str">
        <f t="shared" si="2"/>
        <v/>
      </c>
    </row>
    <row r="150" spans="1:4" ht="14.25" customHeight="1" x14ac:dyDescent="0.3">
      <c r="A150" s="7"/>
      <c r="B150" s="7"/>
      <c r="C150" s="7"/>
      <c r="D150" s="3" t="str">
        <f t="shared" si="2"/>
        <v/>
      </c>
    </row>
    <row r="151" spans="1:4" ht="14.25" customHeight="1" x14ac:dyDescent="0.3">
      <c r="A151" s="7"/>
      <c r="B151" s="7"/>
      <c r="C151" s="7"/>
      <c r="D151" s="3" t="str">
        <f t="shared" si="2"/>
        <v/>
      </c>
    </row>
    <row r="152" spans="1:4" ht="14.25" customHeight="1" x14ac:dyDescent="0.3">
      <c r="A152" s="7"/>
      <c r="B152" s="7"/>
      <c r="C152" s="7"/>
      <c r="D152" s="3" t="str">
        <f t="shared" si="2"/>
        <v/>
      </c>
    </row>
    <row r="153" spans="1:4" ht="14.25" customHeight="1" x14ac:dyDescent="0.3">
      <c r="A153" s="7"/>
      <c r="B153" s="7"/>
      <c r="C153" s="7"/>
      <c r="D153" s="3" t="str">
        <f t="shared" si="2"/>
        <v/>
      </c>
    </row>
    <row r="154" spans="1:4" ht="14.25" customHeight="1" x14ac:dyDescent="0.3">
      <c r="A154" s="7"/>
      <c r="B154" s="7"/>
      <c r="C154" s="7"/>
      <c r="D154" s="3" t="str">
        <f t="shared" si="2"/>
        <v/>
      </c>
    </row>
    <row r="155" spans="1:4" ht="14.25" customHeight="1" x14ac:dyDescent="0.3">
      <c r="A155" s="7"/>
      <c r="B155" s="7"/>
      <c r="C155" s="7"/>
      <c r="D155" s="3" t="str">
        <f t="shared" si="2"/>
        <v/>
      </c>
    </row>
    <row r="156" spans="1:4" ht="14.25" customHeight="1" x14ac:dyDescent="0.3">
      <c r="A156" s="7"/>
      <c r="B156" s="7"/>
      <c r="C156" s="7"/>
      <c r="D156" s="3" t="str">
        <f t="shared" si="2"/>
        <v/>
      </c>
    </row>
    <row r="157" spans="1:4" ht="14.25" customHeight="1" x14ac:dyDescent="0.3">
      <c r="A157" s="7"/>
      <c r="B157" s="7"/>
      <c r="C157" s="7"/>
      <c r="D157" s="3" t="str">
        <f t="shared" si="2"/>
        <v/>
      </c>
    </row>
    <row r="158" spans="1:4" ht="14.25" customHeight="1" x14ac:dyDescent="0.3">
      <c r="A158" s="7"/>
      <c r="B158" s="7"/>
      <c r="C158" s="7"/>
      <c r="D158" s="3" t="str">
        <f t="shared" si="2"/>
        <v/>
      </c>
    </row>
    <row r="159" spans="1:4" ht="14.25" customHeight="1" x14ac:dyDescent="0.3">
      <c r="A159" s="7"/>
      <c r="B159" s="7"/>
      <c r="C159" s="7"/>
      <c r="D159" s="3" t="str">
        <f t="shared" si="2"/>
        <v/>
      </c>
    </row>
    <row r="160" spans="1:4" ht="14.25" customHeight="1" x14ac:dyDescent="0.3">
      <c r="A160" s="7"/>
      <c r="B160" s="7"/>
      <c r="C160" s="7"/>
      <c r="D160" s="3" t="str">
        <f t="shared" si="2"/>
        <v/>
      </c>
    </row>
    <row r="161" spans="1:4" ht="14.25" customHeight="1" x14ac:dyDescent="0.3">
      <c r="A161" s="7"/>
      <c r="B161" s="7"/>
      <c r="C161" s="7"/>
      <c r="D161" s="3" t="str">
        <f t="shared" si="2"/>
        <v/>
      </c>
    </row>
    <row r="162" spans="1:4" ht="14.25" customHeight="1" x14ac:dyDescent="0.3">
      <c r="A162" s="7"/>
      <c r="B162" s="7"/>
      <c r="C162" s="7"/>
      <c r="D162" s="3" t="str">
        <f t="shared" si="2"/>
        <v/>
      </c>
    </row>
    <row r="163" spans="1:4" ht="14.25" customHeight="1" x14ac:dyDescent="0.3">
      <c r="A163" s="7"/>
      <c r="B163" s="7"/>
      <c r="C163" s="7"/>
      <c r="D163" s="3" t="str">
        <f t="shared" si="2"/>
        <v/>
      </c>
    </row>
    <row r="164" spans="1:4" ht="14.25" customHeight="1" x14ac:dyDescent="0.3">
      <c r="A164" s="7"/>
      <c r="B164" s="7"/>
      <c r="C164" s="7"/>
      <c r="D164" s="3" t="str">
        <f t="shared" si="2"/>
        <v/>
      </c>
    </row>
    <row r="165" spans="1:4" ht="14.25" customHeight="1" x14ac:dyDescent="0.3">
      <c r="A165" s="7"/>
      <c r="B165" s="7"/>
      <c r="C165" s="7"/>
      <c r="D165" s="3" t="str">
        <f t="shared" si="2"/>
        <v/>
      </c>
    </row>
    <row r="166" spans="1:4" ht="14.25" customHeight="1" x14ac:dyDescent="0.3">
      <c r="A166" s="7"/>
      <c r="B166" s="7"/>
      <c r="C166" s="7"/>
      <c r="D166" s="3" t="str">
        <f t="shared" si="2"/>
        <v/>
      </c>
    </row>
    <row r="167" spans="1:4" ht="14.25" customHeight="1" x14ac:dyDescent="0.3">
      <c r="A167" s="7"/>
      <c r="B167" s="7"/>
      <c r="C167" s="7"/>
      <c r="D167" s="3" t="str">
        <f t="shared" si="2"/>
        <v/>
      </c>
    </row>
    <row r="168" spans="1:4" ht="14.25" customHeight="1" x14ac:dyDescent="0.3">
      <c r="A168" s="7"/>
      <c r="B168" s="7"/>
      <c r="C168" s="7"/>
      <c r="D168" s="3" t="str">
        <f t="shared" si="2"/>
        <v/>
      </c>
    </row>
    <row r="169" spans="1:4" ht="14.25" customHeight="1" x14ac:dyDescent="0.3">
      <c r="A169" s="7"/>
      <c r="B169" s="7"/>
      <c r="C169" s="7"/>
      <c r="D169" s="3" t="str">
        <f t="shared" si="2"/>
        <v/>
      </c>
    </row>
    <row r="170" spans="1:4" ht="14.25" customHeight="1" x14ac:dyDescent="0.3">
      <c r="A170" s="7"/>
      <c r="B170" s="7"/>
      <c r="C170" s="7"/>
      <c r="D170" s="3" t="str">
        <f t="shared" si="2"/>
        <v/>
      </c>
    </row>
    <row r="171" spans="1:4" ht="14.25" customHeight="1" x14ac:dyDescent="0.3">
      <c r="A171" s="7"/>
      <c r="B171" s="7"/>
      <c r="C171" s="7"/>
      <c r="D171" s="3" t="str">
        <f t="shared" si="2"/>
        <v/>
      </c>
    </row>
    <row r="172" spans="1:4" ht="14.25" customHeight="1" x14ac:dyDescent="0.3">
      <c r="A172" s="7"/>
      <c r="B172" s="7"/>
      <c r="C172" s="7"/>
      <c r="D172" s="3" t="str">
        <f t="shared" si="2"/>
        <v/>
      </c>
    </row>
    <row r="173" spans="1:4" ht="14.25" customHeight="1" x14ac:dyDescent="0.3">
      <c r="A173" s="7"/>
      <c r="B173" s="7"/>
      <c r="C173" s="7"/>
      <c r="D173" s="3" t="str">
        <f t="shared" si="2"/>
        <v/>
      </c>
    </row>
    <row r="174" spans="1:4" ht="14.25" customHeight="1" x14ac:dyDescent="0.3">
      <c r="A174" s="7"/>
      <c r="B174" s="7"/>
      <c r="C174" s="7"/>
      <c r="D174" s="3" t="str">
        <f t="shared" si="2"/>
        <v/>
      </c>
    </row>
    <row r="175" spans="1:4" ht="14.25" customHeight="1" x14ac:dyDescent="0.3">
      <c r="A175" s="7"/>
      <c r="B175" s="7"/>
      <c r="C175" s="7"/>
      <c r="D175" s="3" t="str">
        <f t="shared" si="2"/>
        <v/>
      </c>
    </row>
    <row r="176" spans="1:4" ht="14.25" customHeight="1" x14ac:dyDescent="0.3">
      <c r="A176" s="7"/>
      <c r="B176" s="7"/>
      <c r="C176" s="7"/>
      <c r="D176" s="3" t="str">
        <f t="shared" si="2"/>
        <v/>
      </c>
    </row>
    <row r="177" spans="1:4" ht="14.25" customHeight="1" x14ac:dyDescent="0.3">
      <c r="A177" s="7"/>
      <c r="B177" s="7"/>
      <c r="C177" s="7"/>
      <c r="D177" s="3" t="str">
        <f t="shared" si="2"/>
        <v/>
      </c>
    </row>
    <row r="178" spans="1:4" ht="14.25" customHeight="1" x14ac:dyDescent="0.3">
      <c r="A178" s="7"/>
      <c r="B178" s="7"/>
      <c r="C178" s="7"/>
      <c r="D178" s="3" t="str">
        <f t="shared" si="2"/>
        <v/>
      </c>
    </row>
    <row r="179" spans="1:4" ht="14.25" customHeight="1" x14ac:dyDescent="0.3">
      <c r="A179" s="7"/>
      <c r="B179" s="7"/>
      <c r="C179" s="7"/>
      <c r="D179" s="3" t="str">
        <f t="shared" si="2"/>
        <v/>
      </c>
    </row>
    <row r="180" spans="1:4" ht="14.25" customHeight="1" x14ac:dyDescent="0.3">
      <c r="A180" s="7"/>
      <c r="B180" s="7"/>
      <c r="C180" s="7"/>
      <c r="D180" s="3" t="str">
        <f t="shared" si="2"/>
        <v/>
      </c>
    </row>
    <row r="181" spans="1:4" ht="14.25" customHeight="1" x14ac:dyDescent="0.3">
      <c r="A181" s="7"/>
      <c r="B181" s="7"/>
      <c r="C181" s="7"/>
      <c r="D181" s="3" t="str">
        <f t="shared" si="2"/>
        <v/>
      </c>
    </row>
    <row r="182" spans="1:4" ht="14.25" customHeight="1" x14ac:dyDescent="0.3">
      <c r="A182" s="7"/>
      <c r="B182" s="7"/>
      <c r="C182" s="7"/>
      <c r="D182" s="3" t="str">
        <f t="shared" si="2"/>
        <v/>
      </c>
    </row>
    <row r="183" spans="1:4" ht="14.25" customHeight="1" x14ac:dyDescent="0.3">
      <c r="A183" s="7"/>
      <c r="B183" s="7"/>
      <c r="C183" s="7"/>
      <c r="D183" s="3" t="str">
        <f t="shared" si="2"/>
        <v/>
      </c>
    </row>
    <row r="184" spans="1:4" ht="14.25" customHeight="1" x14ac:dyDescent="0.3">
      <c r="A184" s="7"/>
      <c r="B184" s="7"/>
      <c r="C184" s="7"/>
      <c r="D184" s="3" t="str">
        <f t="shared" si="2"/>
        <v/>
      </c>
    </row>
    <row r="185" spans="1:4" ht="14.25" customHeight="1" x14ac:dyDescent="0.3">
      <c r="A185" s="7"/>
      <c r="B185" s="7"/>
      <c r="C185" s="7"/>
      <c r="D185" s="3" t="str">
        <f t="shared" si="2"/>
        <v/>
      </c>
    </row>
    <row r="186" spans="1:4" ht="14.25" customHeight="1" x14ac:dyDescent="0.3">
      <c r="A186" s="7"/>
      <c r="B186" s="7"/>
      <c r="C186" s="7"/>
      <c r="D186" s="3" t="str">
        <f t="shared" si="2"/>
        <v/>
      </c>
    </row>
    <row r="187" spans="1:4" ht="14.25" customHeight="1" x14ac:dyDescent="0.3">
      <c r="A187" s="7"/>
      <c r="B187" s="7"/>
      <c r="C187" s="7"/>
      <c r="D187" s="3" t="str">
        <f t="shared" si="2"/>
        <v/>
      </c>
    </row>
    <row r="188" spans="1:4" ht="14.25" customHeight="1" x14ac:dyDescent="0.3">
      <c r="A188" s="7"/>
      <c r="B188" s="7"/>
      <c r="C188" s="7"/>
      <c r="D188" s="3" t="str">
        <f t="shared" si="2"/>
        <v/>
      </c>
    </row>
    <row r="189" spans="1:4" ht="14.25" customHeight="1" x14ac:dyDescent="0.3">
      <c r="A189" s="7"/>
      <c r="B189" s="7"/>
      <c r="C189" s="7"/>
      <c r="D189" s="3" t="str">
        <f t="shared" si="2"/>
        <v/>
      </c>
    </row>
    <row r="190" spans="1:4" ht="14.25" customHeight="1" x14ac:dyDescent="0.3">
      <c r="A190" s="7"/>
      <c r="B190" s="7"/>
      <c r="C190" s="7"/>
      <c r="D190" s="3" t="str">
        <f t="shared" si="2"/>
        <v/>
      </c>
    </row>
    <row r="191" spans="1:4" ht="14.25" customHeight="1" x14ac:dyDescent="0.3">
      <c r="A191" s="7"/>
      <c r="B191" s="7"/>
      <c r="C191" s="7"/>
      <c r="D191" s="3" t="str">
        <f t="shared" si="2"/>
        <v/>
      </c>
    </row>
    <row r="192" spans="1:4" ht="14.25" customHeight="1" x14ac:dyDescent="0.3">
      <c r="A192" s="7"/>
      <c r="B192" s="7"/>
      <c r="C192" s="7"/>
      <c r="D192" s="3" t="str">
        <f t="shared" si="2"/>
        <v/>
      </c>
    </row>
    <row r="193" spans="1:4" ht="14.25" customHeight="1" x14ac:dyDescent="0.3">
      <c r="A193" s="7"/>
      <c r="B193" s="7"/>
      <c r="C193" s="7"/>
      <c r="D193" s="3" t="str">
        <f t="shared" si="2"/>
        <v/>
      </c>
    </row>
    <row r="194" spans="1:4" ht="14.25" customHeight="1" x14ac:dyDescent="0.3">
      <c r="A194" s="7"/>
      <c r="B194" s="7"/>
      <c r="C194" s="7"/>
      <c r="D194" s="3" t="str">
        <f t="shared" ref="D194:D257" si="3">IF(COUNTA(A194:C194)=0,"",IF(COUNTIF($A$2:$A$500,A194)&gt;1,"DUPLICATE ROOM ID","OK"))</f>
        <v/>
      </c>
    </row>
    <row r="195" spans="1:4" ht="14.25" customHeight="1" x14ac:dyDescent="0.3">
      <c r="A195" s="7"/>
      <c r="B195" s="7"/>
      <c r="C195" s="7"/>
      <c r="D195" s="3" t="str">
        <f t="shared" si="3"/>
        <v/>
      </c>
    </row>
    <row r="196" spans="1:4" ht="14.25" customHeight="1" x14ac:dyDescent="0.3">
      <c r="A196" s="7"/>
      <c r="B196" s="7"/>
      <c r="C196" s="7"/>
      <c r="D196" s="3" t="str">
        <f t="shared" si="3"/>
        <v/>
      </c>
    </row>
    <row r="197" spans="1:4" ht="14.25" customHeight="1" x14ac:dyDescent="0.3">
      <c r="A197" s="7"/>
      <c r="B197" s="7"/>
      <c r="C197" s="7"/>
      <c r="D197" s="3" t="str">
        <f t="shared" si="3"/>
        <v/>
      </c>
    </row>
    <row r="198" spans="1:4" ht="14.25" customHeight="1" x14ac:dyDescent="0.3">
      <c r="A198" s="7"/>
      <c r="B198" s="7"/>
      <c r="C198" s="7"/>
      <c r="D198" s="3" t="str">
        <f t="shared" si="3"/>
        <v/>
      </c>
    </row>
    <row r="199" spans="1:4" ht="14.25" customHeight="1" x14ac:dyDescent="0.3">
      <c r="A199" s="7"/>
      <c r="B199" s="7"/>
      <c r="C199" s="7"/>
      <c r="D199" s="3" t="str">
        <f t="shared" si="3"/>
        <v/>
      </c>
    </row>
    <row r="200" spans="1:4" ht="14.25" customHeight="1" x14ac:dyDescent="0.3">
      <c r="A200" s="7"/>
      <c r="B200" s="7"/>
      <c r="C200" s="7"/>
      <c r="D200" s="3" t="str">
        <f t="shared" si="3"/>
        <v/>
      </c>
    </row>
    <row r="201" spans="1:4" ht="14.25" customHeight="1" x14ac:dyDescent="0.3">
      <c r="A201" s="7"/>
      <c r="B201" s="7"/>
      <c r="C201" s="7"/>
      <c r="D201" s="3" t="str">
        <f t="shared" si="3"/>
        <v/>
      </c>
    </row>
    <row r="202" spans="1:4" ht="14.25" customHeight="1" x14ac:dyDescent="0.3">
      <c r="A202" s="7"/>
      <c r="B202" s="7"/>
      <c r="C202" s="7"/>
      <c r="D202" s="3" t="str">
        <f t="shared" si="3"/>
        <v/>
      </c>
    </row>
    <row r="203" spans="1:4" ht="14.25" customHeight="1" x14ac:dyDescent="0.3">
      <c r="A203" s="7"/>
      <c r="B203" s="7"/>
      <c r="C203" s="7"/>
      <c r="D203" s="3" t="str">
        <f t="shared" si="3"/>
        <v/>
      </c>
    </row>
    <row r="204" spans="1:4" ht="14.25" customHeight="1" x14ac:dyDescent="0.3">
      <c r="A204" s="7"/>
      <c r="B204" s="7"/>
      <c r="C204" s="7"/>
      <c r="D204" s="3" t="str">
        <f t="shared" si="3"/>
        <v/>
      </c>
    </row>
    <row r="205" spans="1:4" ht="14.25" customHeight="1" x14ac:dyDescent="0.3">
      <c r="A205" s="7"/>
      <c r="B205" s="7"/>
      <c r="C205" s="7"/>
      <c r="D205" s="3" t="str">
        <f t="shared" si="3"/>
        <v/>
      </c>
    </row>
    <row r="206" spans="1:4" ht="14.25" customHeight="1" x14ac:dyDescent="0.3">
      <c r="A206" s="7"/>
      <c r="B206" s="7"/>
      <c r="C206" s="7"/>
      <c r="D206" s="3" t="str">
        <f t="shared" si="3"/>
        <v/>
      </c>
    </row>
    <row r="207" spans="1:4" ht="14.25" customHeight="1" x14ac:dyDescent="0.3">
      <c r="A207" s="7"/>
      <c r="B207" s="7"/>
      <c r="C207" s="7"/>
      <c r="D207" s="3" t="str">
        <f t="shared" si="3"/>
        <v/>
      </c>
    </row>
    <row r="208" spans="1:4" ht="14.25" customHeight="1" x14ac:dyDescent="0.3">
      <c r="A208" s="7"/>
      <c r="B208" s="7"/>
      <c r="C208" s="7"/>
      <c r="D208" s="3" t="str">
        <f t="shared" si="3"/>
        <v/>
      </c>
    </row>
    <row r="209" spans="1:4" ht="14.25" customHeight="1" x14ac:dyDescent="0.3">
      <c r="A209" s="7"/>
      <c r="B209" s="7"/>
      <c r="C209" s="7"/>
      <c r="D209" s="3" t="str">
        <f t="shared" si="3"/>
        <v/>
      </c>
    </row>
    <row r="210" spans="1:4" ht="14.25" customHeight="1" x14ac:dyDescent="0.3">
      <c r="A210" s="7"/>
      <c r="B210" s="7"/>
      <c r="C210" s="7"/>
      <c r="D210" s="3" t="str">
        <f t="shared" si="3"/>
        <v/>
      </c>
    </row>
    <row r="211" spans="1:4" ht="14.25" customHeight="1" x14ac:dyDescent="0.3">
      <c r="A211" s="7"/>
      <c r="B211" s="7"/>
      <c r="C211" s="7"/>
      <c r="D211" s="3" t="str">
        <f t="shared" si="3"/>
        <v/>
      </c>
    </row>
    <row r="212" spans="1:4" ht="14.25" customHeight="1" x14ac:dyDescent="0.3">
      <c r="A212" s="7"/>
      <c r="B212" s="7"/>
      <c r="C212" s="7"/>
      <c r="D212" s="3" t="str">
        <f t="shared" si="3"/>
        <v/>
      </c>
    </row>
    <row r="213" spans="1:4" ht="14.25" customHeight="1" x14ac:dyDescent="0.3">
      <c r="A213" s="7"/>
      <c r="B213" s="7"/>
      <c r="C213" s="7"/>
      <c r="D213" s="3" t="str">
        <f t="shared" si="3"/>
        <v/>
      </c>
    </row>
    <row r="214" spans="1:4" ht="14.25" customHeight="1" x14ac:dyDescent="0.3">
      <c r="A214" s="7"/>
      <c r="B214" s="7"/>
      <c r="C214" s="7"/>
      <c r="D214" s="3" t="str">
        <f t="shared" si="3"/>
        <v/>
      </c>
    </row>
    <row r="215" spans="1:4" ht="14.25" customHeight="1" x14ac:dyDescent="0.3">
      <c r="A215" s="7"/>
      <c r="B215" s="7"/>
      <c r="C215" s="7"/>
      <c r="D215" s="3" t="str">
        <f t="shared" si="3"/>
        <v/>
      </c>
    </row>
    <row r="216" spans="1:4" ht="14.25" customHeight="1" x14ac:dyDescent="0.3">
      <c r="A216" s="7"/>
      <c r="B216" s="7"/>
      <c r="C216" s="7"/>
      <c r="D216" s="3" t="str">
        <f t="shared" si="3"/>
        <v/>
      </c>
    </row>
    <row r="217" spans="1:4" ht="14.25" customHeight="1" x14ac:dyDescent="0.3">
      <c r="A217" s="7"/>
      <c r="B217" s="7"/>
      <c r="C217" s="7"/>
      <c r="D217" s="3" t="str">
        <f t="shared" si="3"/>
        <v/>
      </c>
    </row>
    <row r="218" spans="1:4" ht="14.25" customHeight="1" x14ac:dyDescent="0.3">
      <c r="A218" s="7"/>
      <c r="B218" s="7"/>
      <c r="C218" s="7"/>
      <c r="D218" s="3" t="str">
        <f t="shared" si="3"/>
        <v/>
      </c>
    </row>
    <row r="219" spans="1:4" ht="14.25" customHeight="1" x14ac:dyDescent="0.3">
      <c r="A219" s="7"/>
      <c r="B219" s="7"/>
      <c r="C219" s="7"/>
      <c r="D219" s="3" t="str">
        <f t="shared" si="3"/>
        <v/>
      </c>
    </row>
    <row r="220" spans="1:4" ht="14.25" customHeight="1" x14ac:dyDescent="0.3">
      <c r="A220" s="7"/>
      <c r="B220" s="7"/>
      <c r="C220" s="7"/>
      <c r="D220" s="3" t="str">
        <f t="shared" si="3"/>
        <v/>
      </c>
    </row>
    <row r="221" spans="1:4" ht="14.25" customHeight="1" x14ac:dyDescent="0.3">
      <c r="A221" s="7"/>
      <c r="B221" s="7"/>
      <c r="C221" s="7"/>
      <c r="D221" s="3" t="str">
        <f t="shared" si="3"/>
        <v/>
      </c>
    </row>
    <row r="222" spans="1:4" ht="14.25" customHeight="1" x14ac:dyDescent="0.3">
      <c r="A222" s="7"/>
      <c r="B222" s="7"/>
      <c r="C222" s="7"/>
      <c r="D222" s="3" t="str">
        <f t="shared" si="3"/>
        <v/>
      </c>
    </row>
    <row r="223" spans="1:4" ht="14.25" customHeight="1" x14ac:dyDescent="0.3">
      <c r="A223" s="7"/>
      <c r="B223" s="7"/>
      <c r="C223" s="7"/>
      <c r="D223" s="3" t="str">
        <f t="shared" si="3"/>
        <v/>
      </c>
    </row>
    <row r="224" spans="1:4" ht="14.25" customHeight="1" x14ac:dyDescent="0.3">
      <c r="A224" s="7"/>
      <c r="B224" s="7"/>
      <c r="C224" s="7"/>
      <c r="D224" s="3" t="str">
        <f t="shared" si="3"/>
        <v/>
      </c>
    </row>
    <row r="225" spans="1:4" ht="14.25" customHeight="1" x14ac:dyDescent="0.3">
      <c r="A225" s="7"/>
      <c r="B225" s="7"/>
      <c r="C225" s="7"/>
      <c r="D225" s="3" t="str">
        <f t="shared" si="3"/>
        <v/>
      </c>
    </row>
    <row r="226" spans="1:4" ht="14.25" customHeight="1" x14ac:dyDescent="0.3">
      <c r="A226" s="7"/>
      <c r="B226" s="7"/>
      <c r="C226" s="7"/>
      <c r="D226" s="3" t="str">
        <f t="shared" si="3"/>
        <v/>
      </c>
    </row>
    <row r="227" spans="1:4" ht="14.25" customHeight="1" x14ac:dyDescent="0.3">
      <c r="A227" s="7"/>
      <c r="B227" s="7"/>
      <c r="C227" s="7"/>
      <c r="D227" s="3" t="str">
        <f t="shared" si="3"/>
        <v/>
      </c>
    </row>
    <row r="228" spans="1:4" ht="14.25" customHeight="1" x14ac:dyDescent="0.3">
      <c r="A228" s="7"/>
      <c r="B228" s="7"/>
      <c r="C228" s="7"/>
      <c r="D228" s="3" t="str">
        <f t="shared" si="3"/>
        <v/>
      </c>
    </row>
    <row r="229" spans="1:4" ht="14.25" customHeight="1" x14ac:dyDescent="0.3">
      <c r="A229" s="7"/>
      <c r="B229" s="7"/>
      <c r="C229" s="7"/>
      <c r="D229" s="3" t="str">
        <f t="shared" si="3"/>
        <v/>
      </c>
    </row>
    <row r="230" spans="1:4" ht="14.25" customHeight="1" x14ac:dyDescent="0.3">
      <c r="A230" s="7"/>
      <c r="B230" s="7"/>
      <c r="C230" s="7"/>
      <c r="D230" s="3" t="str">
        <f t="shared" si="3"/>
        <v/>
      </c>
    </row>
    <row r="231" spans="1:4" ht="14.25" customHeight="1" x14ac:dyDescent="0.3">
      <c r="A231" s="7"/>
      <c r="B231" s="7"/>
      <c r="C231" s="7"/>
      <c r="D231" s="3" t="str">
        <f t="shared" si="3"/>
        <v/>
      </c>
    </row>
    <row r="232" spans="1:4" ht="14.25" customHeight="1" x14ac:dyDescent="0.3">
      <c r="A232" s="7"/>
      <c r="B232" s="7"/>
      <c r="C232" s="7"/>
      <c r="D232" s="3" t="str">
        <f t="shared" si="3"/>
        <v/>
      </c>
    </row>
    <row r="233" spans="1:4" ht="14.25" customHeight="1" x14ac:dyDescent="0.3">
      <c r="A233" s="7"/>
      <c r="B233" s="7"/>
      <c r="C233" s="7"/>
      <c r="D233" s="3" t="str">
        <f t="shared" si="3"/>
        <v/>
      </c>
    </row>
    <row r="234" spans="1:4" ht="14.25" customHeight="1" x14ac:dyDescent="0.3">
      <c r="A234" s="7"/>
      <c r="B234" s="7"/>
      <c r="C234" s="7"/>
      <c r="D234" s="3" t="str">
        <f t="shared" si="3"/>
        <v/>
      </c>
    </row>
    <row r="235" spans="1:4" ht="14.25" customHeight="1" x14ac:dyDescent="0.3">
      <c r="A235" s="7"/>
      <c r="B235" s="7"/>
      <c r="C235" s="7"/>
      <c r="D235" s="3" t="str">
        <f t="shared" si="3"/>
        <v/>
      </c>
    </row>
    <row r="236" spans="1:4" ht="14.25" customHeight="1" x14ac:dyDescent="0.3">
      <c r="A236" s="7"/>
      <c r="B236" s="7"/>
      <c r="C236" s="7"/>
      <c r="D236" s="3" t="str">
        <f t="shared" si="3"/>
        <v/>
      </c>
    </row>
    <row r="237" spans="1:4" ht="14.25" customHeight="1" x14ac:dyDescent="0.3">
      <c r="A237" s="7"/>
      <c r="B237" s="7"/>
      <c r="C237" s="7"/>
      <c r="D237" s="3" t="str">
        <f t="shared" si="3"/>
        <v/>
      </c>
    </row>
    <row r="238" spans="1:4" ht="14.25" customHeight="1" x14ac:dyDescent="0.3">
      <c r="A238" s="7"/>
      <c r="B238" s="7"/>
      <c r="C238" s="7"/>
      <c r="D238" s="3" t="str">
        <f t="shared" si="3"/>
        <v/>
      </c>
    </row>
    <row r="239" spans="1:4" ht="14.25" customHeight="1" x14ac:dyDescent="0.3">
      <c r="A239" s="7"/>
      <c r="B239" s="7"/>
      <c r="C239" s="7"/>
      <c r="D239" s="3" t="str">
        <f t="shared" si="3"/>
        <v/>
      </c>
    </row>
    <row r="240" spans="1:4" ht="14.25" customHeight="1" x14ac:dyDescent="0.3">
      <c r="A240" s="7"/>
      <c r="B240" s="7"/>
      <c r="C240" s="7"/>
      <c r="D240" s="3" t="str">
        <f t="shared" si="3"/>
        <v/>
      </c>
    </row>
    <row r="241" spans="1:4" ht="14.25" customHeight="1" x14ac:dyDescent="0.3">
      <c r="A241" s="7"/>
      <c r="B241" s="7"/>
      <c r="C241" s="7"/>
      <c r="D241" s="3" t="str">
        <f t="shared" si="3"/>
        <v/>
      </c>
    </row>
    <row r="242" spans="1:4" ht="14.25" customHeight="1" x14ac:dyDescent="0.3">
      <c r="A242" s="7"/>
      <c r="B242" s="7"/>
      <c r="C242" s="7"/>
      <c r="D242" s="3" t="str">
        <f t="shared" si="3"/>
        <v/>
      </c>
    </row>
    <row r="243" spans="1:4" ht="14.25" customHeight="1" x14ac:dyDescent="0.3">
      <c r="A243" s="7"/>
      <c r="B243" s="7"/>
      <c r="C243" s="7"/>
      <c r="D243" s="3" t="str">
        <f t="shared" si="3"/>
        <v/>
      </c>
    </row>
    <row r="244" spans="1:4" ht="14.25" customHeight="1" x14ac:dyDescent="0.3">
      <c r="A244" s="7"/>
      <c r="B244" s="7"/>
      <c r="C244" s="7"/>
      <c r="D244" s="3" t="str">
        <f t="shared" si="3"/>
        <v/>
      </c>
    </row>
    <row r="245" spans="1:4" ht="14.25" customHeight="1" x14ac:dyDescent="0.3">
      <c r="A245" s="7"/>
      <c r="B245" s="7"/>
      <c r="C245" s="7"/>
      <c r="D245" s="3" t="str">
        <f t="shared" si="3"/>
        <v/>
      </c>
    </row>
    <row r="246" spans="1:4" ht="14.25" customHeight="1" x14ac:dyDescent="0.3">
      <c r="A246" s="7"/>
      <c r="B246" s="7"/>
      <c r="C246" s="7"/>
      <c r="D246" s="3" t="str">
        <f t="shared" si="3"/>
        <v/>
      </c>
    </row>
    <row r="247" spans="1:4" ht="14.25" customHeight="1" x14ac:dyDescent="0.3">
      <c r="A247" s="7"/>
      <c r="B247" s="7"/>
      <c r="C247" s="7"/>
      <c r="D247" s="3" t="str">
        <f t="shared" si="3"/>
        <v/>
      </c>
    </row>
    <row r="248" spans="1:4" ht="14.25" customHeight="1" x14ac:dyDescent="0.3">
      <c r="A248" s="7"/>
      <c r="B248" s="7"/>
      <c r="C248" s="7"/>
      <c r="D248" s="3" t="str">
        <f t="shared" si="3"/>
        <v/>
      </c>
    </row>
    <row r="249" spans="1:4" ht="14.25" customHeight="1" x14ac:dyDescent="0.3">
      <c r="A249" s="7"/>
      <c r="B249" s="7"/>
      <c r="C249" s="7"/>
      <c r="D249" s="3" t="str">
        <f t="shared" si="3"/>
        <v/>
      </c>
    </row>
    <row r="250" spans="1:4" ht="14.25" customHeight="1" x14ac:dyDescent="0.3">
      <c r="A250" s="7"/>
      <c r="B250" s="7"/>
      <c r="C250" s="7"/>
      <c r="D250" s="3" t="str">
        <f t="shared" si="3"/>
        <v/>
      </c>
    </row>
    <row r="251" spans="1:4" ht="14.25" customHeight="1" x14ac:dyDescent="0.3">
      <c r="A251" s="7"/>
      <c r="B251" s="7"/>
      <c r="C251" s="7"/>
      <c r="D251" s="3" t="str">
        <f t="shared" si="3"/>
        <v/>
      </c>
    </row>
    <row r="252" spans="1:4" ht="14.25" customHeight="1" x14ac:dyDescent="0.3">
      <c r="A252" s="7"/>
      <c r="B252" s="7"/>
      <c r="C252" s="7"/>
      <c r="D252" s="3" t="str">
        <f t="shared" si="3"/>
        <v/>
      </c>
    </row>
    <row r="253" spans="1:4" ht="14.25" customHeight="1" x14ac:dyDescent="0.3">
      <c r="A253" s="7"/>
      <c r="B253" s="7"/>
      <c r="C253" s="7"/>
      <c r="D253" s="3" t="str">
        <f t="shared" si="3"/>
        <v/>
      </c>
    </row>
    <row r="254" spans="1:4" ht="14.25" customHeight="1" x14ac:dyDescent="0.3">
      <c r="A254" s="7"/>
      <c r="B254" s="7"/>
      <c r="C254" s="7"/>
      <c r="D254" s="3" t="str">
        <f t="shared" si="3"/>
        <v/>
      </c>
    </row>
    <row r="255" spans="1:4" ht="14.25" customHeight="1" x14ac:dyDescent="0.3">
      <c r="A255" s="7"/>
      <c r="B255" s="7"/>
      <c r="C255" s="7"/>
      <c r="D255" s="3" t="str">
        <f t="shared" si="3"/>
        <v/>
      </c>
    </row>
    <row r="256" spans="1:4" ht="14.25" customHeight="1" x14ac:dyDescent="0.3">
      <c r="A256" s="7"/>
      <c r="B256" s="7"/>
      <c r="C256" s="7"/>
      <c r="D256" s="3" t="str">
        <f t="shared" si="3"/>
        <v/>
      </c>
    </row>
    <row r="257" spans="1:4" ht="14.25" customHeight="1" x14ac:dyDescent="0.3">
      <c r="A257" s="7"/>
      <c r="B257" s="7"/>
      <c r="C257" s="7"/>
      <c r="D257" s="3" t="str">
        <f t="shared" si="3"/>
        <v/>
      </c>
    </row>
    <row r="258" spans="1:4" ht="14.25" customHeight="1" x14ac:dyDescent="0.3">
      <c r="A258" s="7"/>
      <c r="B258" s="7"/>
      <c r="C258" s="7"/>
      <c r="D258" s="3" t="str">
        <f t="shared" ref="D258:D321" si="4">IF(COUNTA(A258:C258)=0,"",IF(COUNTIF($A$2:$A$500,A258)&gt;1,"DUPLICATE ROOM ID","OK"))</f>
        <v/>
      </c>
    </row>
    <row r="259" spans="1:4" ht="14.25" customHeight="1" x14ac:dyDescent="0.3">
      <c r="A259" s="7"/>
      <c r="B259" s="7"/>
      <c r="C259" s="7"/>
      <c r="D259" s="3" t="str">
        <f t="shared" si="4"/>
        <v/>
      </c>
    </row>
    <row r="260" spans="1:4" ht="14.25" customHeight="1" x14ac:dyDescent="0.3">
      <c r="A260" s="7"/>
      <c r="B260" s="7"/>
      <c r="C260" s="7"/>
      <c r="D260" s="3" t="str">
        <f t="shared" si="4"/>
        <v/>
      </c>
    </row>
    <row r="261" spans="1:4" ht="14.25" customHeight="1" x14ac:dyDescent="0.3">
      <c r="A261" s="7"/>
      <c r="B261" s="7"/>
      <c r="C261" s="7"/>
      <c r="D261" s="3" t="str">
        <f t="shared" si="4"/>
        <v/>
      </c>
    </row>
    <row r="262" spans="1:4" ht="14.25" customHeight="1" x14ac:dyDescent="0.3">
      <c r="A262" s="7"/>
      <c r="B262" s="7"/>
      <c r="C262" s="7"/>
      <c r="D262" s="3" t="str">
        <f t="shared" si="4"/>
        <v/>
      </c>
    </row>
    <row r="263" spans="1:4" ht="14.25" customHeight="1" x14ac:dyDescent="0.3">
      <c r="A263" s="7"/>
      <c r="B263" s="7"/>
      <c r="C263" s="7"/>
      <c r="D263" s="3" t="str">
        <f t="shared" si="4"/>
        <v/>
      </c>
    </row>
    <row r="264" spans="1:4" ht="14.25" customHeight="1" x14ac:dyDescent="0.3">
      <c r="A264" s="7"/>
      <c r="B264" s="7"/>
      <c r="C264" s="7"/>
      <c r="D264" s="3" t="str">
        <f t="shared" si="4"/>
        <v/>
      </c>
    </row>
    <row r="265" spans="1:4" ht="14.25" customHeight="1" x14ac:dyDescent="0.3">
      <c r="A265" s="7"/>
      <c r="B265" s="7"/>
      <c r="C265" s="7"/>
      <c r="D265" s="3" t="str">
        <f t="shared" si="4"/>
        <v/>
      </c>
    </row>
    <row r="266" spans="1:4" ht="14.25" customHeight="1" x14ac:dyDescent="0.3">
      <c r="A266" s="7"/>
      <c r="B266" s="7"/>
      <c r="C266" s="7"/>
      <c r="D266" s="3" t="str">
        <f t="shared" si="4"/>
        <v/>
      </c>
    </row>
    <row r="267" spans="1:4" ht="14.25" customHeight="1" x14ac:dyDescent="0.3">
      <c r="A267" s="7"/>
      <c r="B267" s="7"/>
      <c r="C267" s="7"/>
      <c r="D267" s="3" t="str">
        <f t="shared" si="4"/>
        <v/>
      </c>
    </row>
    <row r="268" spans="1:4" ht="14.25" customHeight="1" x14ac:dyDescent="0.3">
      <c r="A268" s="7"/>
      <c r="B268" s="7"/>
      <c r="C268" s="7"/>
      <c r="D268" s="3" t="str">
        <f t="shared" si="4"/>
        <v/>
      </c>
    </row>
    <row r="269" spans="1:4" ht="14.25" customHeight="1" x14ac:dyDescent="0.3">
      <c r="A269" s="7"/>
      <c r="B269" s="7"/>
      <c r="C269" s="7"/>
      <c r="D269" s="3" t="str">
        <f t="shared" si="4"/>
        <v/>
      </c>
    </row>
    <row r="270" spans="1:4" ht="14.25" customHeight="1" x14ac:dyDescent="0.3">
      <c r="A270" s="7"/>
      <c r="B270" s="7"/>
      <c r="C270" s="7"/>
      <c r="D270" s="3" t="str">
        <f t="shared" si="4"/>
        <v/>
      </c>
    </row>
    <row r="271" spans="1:4" ht="14.25" customHeight="1" x14ac:dyDescent="0.3">
      <c r="A271" s="7"/>
      <c r="B271" s="7"/>
      <c r="C271" s="7"/>
      <c r="D271" s="3" t="str">
        <f t="shared" si="4"/>
        <v/>
      </c>
    </row>
    <row r="272" spans="1:4" ht="14.25" customHeight="1" x14ac:dyDescent="0.3">
      <c r="A272" s="7"/>
      <c r="B272" s="7"/>
      <c r="C272" s="7"/>
      <c r="D272" s="3" t="str">
        <f t="shared" si="4"/>
        <v/>
      </c>
    </row>
    <row r="273" spans="1:4" ht="14.25" customHeight="1" x14ac:dyDescent="0.3">
      <c r="A273" s="7"/>
      <c r="B273" s="7"/>
      <c r="C273" s="7"/>
      <c r="D273" s="3" t="str">
        <f t="shared" si="4"/>
        <v/>
      </c>
    </row>
    <row r="274" spans="1:4" ht="14.25" customHeight="1" x14ac:dyDescent="0.3">
      <c r="A274" s="7"/>
      <c r="B274" s="7"/>
      <c r="C274" s="7"/>
      <c r="D274" s="3" t="str">
        <f t="shared" si="4"/>
        <v/>
      </c>
    </row>
    <row r="275" spans="1:4" ht="14.25" customHeight="1" x14ac:dyDescent="0.3">
      <c r="A275" s="7"/>
      <c r="B275" s="7"/>
      <c r="C275" s="7"/>
      <c r="D275" s="3" t="str">
        <f t="shared" si="4"/>
        <v/>
      </c>
    </row>
    <row r="276" spans="1:4" ht="14.25" customHeight="1" x14ac:dyDescent="0.3">
      <c r="A276" s="7"/>
      <c r="B276" s="7"/>
      <c r="C276" s="7"/>
      <c r="D276" s="3" t="str">
        <f t="shared" si="4"/>
        <v/>
      </c>
    </row>
    <row r="277" spans="1:4" ht="14.25" customHeight="1" x14ac:dyDescent="0.3">
      <c r="A277" s="7"/>
      <c r="B277" s="7"/>
      <c r="C277" s="7"/>
      <c r="D277" s="3" t="str">
        <f t="shared" si="4"/>
        <v/>
      </c>
    </row>
    <row r="278" spans="1:4" ht="14.25" customHeight="1" x14ac:dyDescent="0.3">
      <c r="A278" s="7"/>
      <c r="B278" s="7"/>
      <c r="C278" s="7"/>
      <c r="D278" s="3" t="str">
        <f t="shared" si="4"/>
        <v/>
      </c>
    </row>
    <row r="279" spans="1:4" ht="14.25" customHeight="1" x14ac:dyDescent="0.3">
      <c r="A279" s="7"/>
      <c r="B279" s="7"/>
      <c r="C279" s="7"/>
      <c r="D279" s="3" t="str">
        <f t="shared" si="4"/>
        <v/>
      </c>
    </row>
    <row r="280" spans="1:4" ht="14.25" customHeight="1" x14ac:dyDescent="0.3">
      <c r="A280" s="7"/>
      <c r="B280" s="7"/>
      <c r="C280" s="7"/>
      <c r="D280" s="3" t="str">
        <f t="shared" si="4"/>
        <v/>
      </c>
    </row>
    <row r="281" spans="1:4" ht="14.25" customHeight="1" x14ac:dyDescent="0.3">
      <c r="A281" s="7"/>
      <c r="B281" s="7"/>
      <c r="C281" s="7"/>
      <c r="D281" s="3" t="str">
        <f t="shared" si="4"/>
        <v/>
      </c>
    </row>
    <row r="282" spans="1:4" ht="14.25" customHeight="1" x14ac:dyDescent="0.3">
      <c r="A282" s="7"/>
      <c r="B282" s="7"/>
      <c r="C282" s="7"/>
      <c r="D282" s="3" t="str">
        <f t="shared" si="4"/>
        <v/>
      </c>
    </row>
    <row r="283" spans="1:4" ht="14.25" customHeight="1" x14ac:dyDescent="0.3">
      <c r="A283" s="7"/>
      <c r="B283" s="7"/>
      <c r="C283" s="7"/>
      <c r="D283" s="3" t="str">
        <f t="shared" si="4"/>
        <v/>
      </c>
    </row>
    <row r="284" spans="1:4" ht="14.25" customHeight="1" x14ac:dyDescent="0.3">
      <c r="A284" s="7"/>
      <c r="B284" s="7"/>
      <c r="C284" s="7"/>
      <c r="D284" s="3" t="str">
        <f t="shared" si="4"/>
        <v/>
      </c>
    </row>
    <row r="285" spans="1:4" ht="14.25" customHeight="1" x14ac:dyDescent="0.3">
      <c r="A285" s="7"/>
      <c r="B285" s="7"/>
      <c r="C285" s="7"/>
      <c r="D285" s="3" t="str">
        <f t="shared" si="4"/>
        <v/>
      </c>
    </row>
    <row r="286" spans="1:4" ht="14.25" customHeight="1" x14ac:dyDescent="0.3">
      <c r="A286" s="7"/>
      <c r="B286" s="7"/>
      <c r="C286" s="7"/>
      <c r="D286" s="3" t="str">
        <f t="shared" si="4"/>
        <v/>
      </c>
    </row>
    <row r="287" spans="1:4" ht="14.25" customHeight="1" x14ac:dyDescent="0.3">
      <c r="A287" s="7"/>
      <c r="B287" s="7"/>
      <c r="C287" s="7"/>
      <c r="D287" s="3" t="str">
        <f t="shared" si="4"/>
        <v/>
      </c>
    </row>
    <row r="288" spans="1:4" ht="14.25" customHeight="1" x14ac:dyDescent="0.3">
      <c r="A288" s="7"/>
      <c r="B288" s="7"/>
      <c r="C288" s="7"/>
      <c r="D288" s="3" t="str">
        <f t="shared" si="4"/>
        <v/>
      </c>
    </row>
    <row r="289" spans="1:4" ht="14.25" customHeight="1" x14ac:dyDescent="0.3">
      <c r="A289" s="7"/>
      <c r="B289" s="7"/>
      <c r="C289" s="7"/>
      <c r="D289" s="3" t="str">
        <f t="shared" si="4"/>
        <v/>
      </c>
    </row>
    <row r="290" spans="1:4" ht="14.25" customHeight="1" x14ac:dyDescent="0.3">
      <c r="A290" s="7"/>
      <c r="B290" s="7"/>
      <c r="C290" s="7"/>
      <c r="D290" s="3" t="str">
        <f t="shared" si="4"/>
        <v/>
      </c>
    </row>
    <row r="291" spans="1:4" ht="14.25" customHeight="1" x14ac:dyDescent="0.3">
      <c r="A291" s="7"/>
      <c r="B291" s="7"/>
      <c r="C291" s="7"/>
      <c r="D291" s="3" t="str">
        <f t="shared" si="4"/>
        <v/>
      </c>
    </row>
    <row r="292" spans="1:4" ht="14.25" customHeight="1" x14ac:dyDescent="0.3">
      <c r="A292" s="7"/>
      <c r="B292" s="7"/>
      <c r="C292" s="7"/>
      <c r="D292" s="3" t="str">
        <f t="shared" si="4"/>
        <v/>
      </c>
    </row>
    <row r="293" spans="1:4" ht="14.25" customHeight="1" x14ac:dyDescent="0.3">
      <c r="A293" s="7"/>
      <c r="B293" s="7"/>
      <c r="C293" s="7"/>
      <c r="D293" s="3" t="str">
        <f t="shared" si="4"/>
        <v/>
      </c>
    </row>
    <row r="294" spans="1:4" ht="14.25" customHeight="1" x14ac:dyDescent="0.3">
      <c r="A294" s="7"/>
      <c r="B294" s="7"/>
      <c r="C294" s="7"/>
      <c r="D294" s="3" t="str">
        <f t="shared" si="4"/>
        <v/>
      </c>
    </row>
    <row r="295" spans="1:4" ht="14.25" customHeight="1" x14ac:dyDescent="0.3">
      <c r="A295" s="7"/>
      <c r="B295" s="7"/>
      <c r="C295" s="7"/>
      <c r="D295" s="3" t="str">
        <f t="shared" si="4"/>
        <v/>
      </c>
    </row>
    <row r="296" spans="1:4" ht="14.25" customHeight="1" x14ac:dyDescent="0.3">
      <c r="A296" s="7"/>
      <c r="B296" s="7"/>
      <c r="C296" s="7"/>
      <c r="D296" s="3" t="str">
        <f t="shared" si="4"/>
        <v/>
      </c>
    </row>
    <row r="297" spans="1:4" ht="14.25" customHeight="1" x14ac:dyDescent="0.3">
      <c r="A297" s="7"/>
      <c r="B297" s="7"/>
      <c r="C297" s="7"/>
      <c r="D297" s="3" t="str">
        <f t="shared" si="4"/>
        <v/>
      </c>
    </row>
    <row r="298" spans="1:4" ht="14.25" customHeight="1" x14ac:dyDescent="0.3">
      <c r="A298" s="7"/>
      <c r="B298" s="7"/>
      <c r="C298" s="7"/>
      <c r="D298" s="3" t="str">
        <f t="shared" si="4"/>
        <v/>
      </c>
    </row>
    <row r="299" spans="1:4" ht="14.25" customHeight="1" x14ac:dyDescent="0.3">
      <c r="A299" s="7"/>
      <c r="B299" s="7"/>
      <c r="C299" s="7"/>
      <c r="D299" s="3" t="str">
        <f t="shared" si="4"/>
        <v/>
      </c>
    </row>
    <row r="300" spans="1:4" ht="14.25" customHeight="1" x14ac:dyDescent="0.3">
      <c r="A300" s="7"/>
      <c r="B300" s="7"/>
      <c r="C300" s="7"/>
      <c r="D300" s="3" t="str">
        <f t="shared" si="4"/>
        <v/>
      </c>
    </row>
    <row r="301" spans="1:4" ht="14.25" customHeight="1" x14ac:dyDescent="0.3">
      <c r="A301" s="7"/>
      <c r="B301" s="7"/>
      <c r="C301" s="7"/>
      <c r="D301" s="3" t="str">
        <f t="shared" si="4"/>
        <v/>
      </c>
    </row>
    <row r="302" spans="1:4" ht="14.25" customHeight="1" x14ac:dyDescent="0.3">
      <c r="A302" s="7"/>
      <c r="B302" s="7"/>
      <c r="C302" s="7"/>
      <c r="D302" s="3" t="str">
        <f t="shared" si="4"/>
        <v/>
      </c>
    </row>
    <row r="303" spans="1:4" ht="14.25" customHeight="1" x14ac:dyDescent="0.3">
      <c r="A303" s="7"/>
      <c r="B303" s="7"/>
      <c r="C303" s="7"/>
      <c r="D303" s="3" t="str">
        <f t="shared" si="4"/>
        <v/>
      </c>
    </row>
    <row r="304" spans="1:4" ht="14.25" customHeight="1" x14ac:dyDescent="0.3">
      <c r="A304" s="7"/>
      <c r="B304" s="7"/>
      <c r="C304" s="7"/>
      <c r="D304" s="3" t="str">
        <f t="shared" si="4"/>
        <v/>
      </c>
    </row>
    <row r="305" spans="1:4" ht="14.25" customHeight="1" x14ac:dyDescent="0.3">
      <c r="A305" s="7"/>
      <c r="B305" s="7"/>
      <c r="C305" s="7"/>
      <c r="D305" s="3" t="str">
        <f t="shared" si="4"/>
        <v/>
      </c>
    </row>
    <row r="306" spans="1:4" ht="14.25" customHeight="1" x14ac:dyDescent="0.3">
      <c r="A306" s="7"/>
      <c r="B306" s="7"/>
      <c r="C306" s="7"/>
      <c r="D306" s="3" t="str">
        <f t="shared" si="4"/>
        <v/>
      </c>
    </row>
    <row r="307" spans="1:4" ht="14.25" customHeight="1" x14ac:dyDescent="0.3">
      <c r="A307" s="7"/>
      <c r="B307" s="7"/>
      <c r="C307" s="7"/>
      <c r="D307" s="3" t="str">
        <f t="shared" si="4"/>
        <v/>
      </c>
    </row>
    <row r="308" spans="1:4" ht="14.25" customHeight="1" x14ac:dyDescent="0.3">
      <c r="A308" s="7"/>
      <c r="B308" s="7"/>
      <c r="C308" s="7"/>
      <c r="D308" s="3" t="str">
        <f t="shared" si="4"/>
        <v/>
      </c>
    </row>
    <row r="309" spans="1:4" ht="14.25" customHeight="1" x14ac:dyDescent="0.3">
      <c r="A309" s="7"/>
      <c r="B309" s="7"/>
      <c r="C309" s="7"/>
      <c r="D309" s="3" t="str">
        <f t="shared" si="4"/>
        <v/>
      </c>
    </row>
    <row r="310" spans="1:4" ht="14.25" customHeight="1" x14ac:dyDescent="0.3">
      <c r="A310" s="7"/>
      <c r="B310" s="7"/>
      <c r="C310" s="7"/>
      <c r="D310" s="3" t="str">
        <f t="shared" si="4"/>
        <v/>
      </c>
    </row>
    <row r="311" spans="1:4" ht="14.25" customHeight="1" x14ac:dyDescent="0.3">
      <c r="A311" s="7"/>
      <c r="B311" s="7"/>
      <c r="C311" s="7"/>
      <c r="D311" s="3" t="str">
        <f t="shared" si="4"/>
        <v/>
      </c>
    </row>
    <row r="312" spans="1:4" ht="14.25" customHeight="1" x14ac:dyDescent="0.3">
      <c r="A312" s="7"/>
      <c r="B312" s="7"/>
      <c r="C312" s="7"/>
      <c r="D312" s="3" t="str">
        <f t="shared" si="4"/>
        <v/>
      </c>
    </row>
    <row r="313" spans="1:4" ht="14.25" customHeight="1" x14ac:dyDescent="0.3">
      <c r="A313" s="7"/>
      <c r="B313" s="7"/>
      <c r="C313" s="7"/>
      <c r="D313" s="3" t="str">
        <f t="shared" si="4"/>
        <v/>
      </c>
    </row>
    <row r="314" spans="1:4" ht="14.25" customHeight="1" x14ac:dyDescent="0.3">
      <c r="A314" s="7"/>
      <c r="B314" s="7"/>
      <c r="C314" s="7"/>
      <c r="D314" s="3" t="str">
        <f t="shared" si="4"/>
        <v/>
      </c>
    </row>
    <row r="315" spans="1:4" ht="14.25" customHeight="1" x14ac:dyDescent="0.3">
      <c r="A315" s="7"/>
      <c r="B315" s="7"/>
      <c r="C315" s="7"/>
      <c r="D315" s="3" t="str">
        <f t="shared" si="4"/>
        <v/>
      </c>
    </row>
    <row r="316" spans="1:4" ht="14.25" customHeight="1" x14ac:dyDescent="0.3">
      <c r="A316" s="7"/>
      <c r="B316" s="7"/>
      <c r="C316" s="7"/>
      <c r="D316" s="3" t="str">
        <f t="shared" si="4"/>
        <v/>
      </c>
    </row>
    <row r="317" spans="1:4" ht="14.25" customHeight="1" x14ac:dyDescent="0.3">
      <c r="A317" s="7"/>
      <c r="B317" s="7"/>
      <c r="C317" s="7"/>
      <c r="D317" s="3" t="str">
        <f t="shared" si="4"/>
        <v/>
      </c>
    </row>
    <row r="318" spans="1:4" ht="14.25" customHeight="1" x14ac:dyDescent="0.3">
      <c r="A318" s="7"/>
      <c r="B318" s="7"/>
      <c r="C318" s="7"/>
      <c r="D318" s="3" t="str">
        <f t="shared" si="4"/>
        <v/>
      </c>
    </row>
    <row r="319" spans="1:4" ht="14.25" customHeight="1" x14ac:dyDescent="0.3">
      <c r="A319" s="7"/>
      <c r="B319" s="7"/>
      <c r="C319" s="7"/>
      <c r="D319" s="3" t="str">
        <f t="shared" si="4"/>
        <v/>
      </c>
    </row>
    <row r="320" spans="1:4" ht="14.25" customHeight="1" x14ac:dyDescent="0.3">
      <c r="A320" s="7"/>
      <c r="B320" s="7"/>
      <c r="C320" s="7"/>
      <c r="D320" s="3" t="str">
        <f t="shared" si="4"/>
        <v/>
      </c>
    </row>
    <row r="321" spans="1:4" ht="14.25" customHeight="1" x14ac:dyDescent="0.3">
      <c r="A321" s="7"/>
      <c r="B321" s="7"/>
      <c r="C321" s="7"/>
      <c r="D321" s="3" t="str">
        <f t="shared" si="4"/>
        <v/>
      </c>
    </row>
    <row r="322" spans="1:4" ht="14.25" customHeight="1" x14ac:dyDescent="0.3">
      <c r="A322" s="7"/>
      <c r="B322" s="7"/>
      <c r="C322" s="7"/>
      <c r="D322" s="3" t="str">
        <f t="shared" ref="D322:D385" si="5">IF(COUNTA(A322:C322)=0,"",IF(COUNTIF($A$2:$A$500,A322)&gt;1,"DUPLICATE ROOM ID","OK"))</f>
        <v/>
      </c>
    </row>
    <row r="323" spans="1:4" ht="14.25" customHeight="1" x14ac:dyDescent="0.3">
      <c r="A323" s="7"/>
      <c r="B323" s="7"/>
      <c r="C323" s="7"/>
      <c r="D323" s="3" t="str">
        <f t="shared" si="5"/>
        <v/>
      </c>
    </row>
    <row r="324" spans="1:4" ht="14.25" customHeight="1" x14ac:dyDescent="0.3">
      <c r="A324" s="7"/>
      <c r="B324" s="7"/>
      <c r="C324" s="7"/>
      <c r="D324" s="3" t="str">
        <f t="shared" si="5"/>
        <v/>
      </c>
    </row>
    <row r="325" spans="1:4" ht="14.25" customHeight="1" x14ac:dyDescent="0.3">
      <c r="A325" s="7"/>
      <c r="B325" s="7"/>
      <c r="C325" s="7"/>
      <c r="D325" s="3" t="str">
        <f t="shared" si="5"/>
        <v/>
      </c>
    </row>
    <row r="326" spans="1:4" ht="14.25" customHeight="1" x14ac:dyDescent="0.3">
      <c r="A326" s="7"/>
      <c r="B326" s="7"/>
      <c r="C326" s="7"/>
      <c r="D326" s="3" t="str">
        <f t="shared" si="5"/>
        <v/>
      </c>
    </row>
    <row r="327" spans="1:4" ht="14.25" customHeight="1" x14ac:dyDescent="0.3">
      <c r="A327" s="7"/>
      <c r="B327" s="7"/>
      <c r="C327" s="7"/>
      <c r="D327" s="3" t="str">
        <f t="shared" si="5"/>
        <v/>
      </c>
    </row>
    <row r="328" spans="1:4" ht="14.25" customHeight="1" x14ac:dyDescent="0.3">
      <c r="A328" s="7"/>
      <c r="B328" s="7"/>
      <c r="C328" s="7"/>
      <c r="D328" s="3" t="str">
        <f t="shared" si="5"/>
        <v/>
      </c>
    </row>
    <row r="329" spans="1:4" ht="14.25" customHeight="1" x14ac:dyDescent="0.3">
      <c r="A329" s="7"/>
      <c r="B329" s="7"/>
      <c r="C329" s="7"/>
      <c r="D329" s="3" t="str">
        <f t="shared" si="5"/>
        <v/>
      </c>
    </row>
    <row r="330" spans="1:4" ht="14.25" customHeight="1" x14ac:dyDescent="0.3">
      <c r="A330" s="7"/>
      <c r="B330" s="7"/>
      <c r="C330" s="7"/>
      <c r="D330" s="3" t="str">
        <f t="shared" si="5"/>
        <v/>
      </c>
    </row>
    <row r="331" spans="1:4" ht="14.25" customHeight="1" x14ac:dyDescent="0.3">
      <c r="A331" s="7"/>
      <c r="B331" s="7"/>
      <c r="C331" s="7"/>
      <c r="D331" s="3" t="str">
        <f t="shared" si="5"/>
        <v/>
      </c>
    </row>
    <row r="332" spans="1:4" ht="14.25" customHeight="1" x14ac:dyDescent="0.3">
      <c r="A332" s="7"/>
      <c r="B332" s="7"/>
      <c r="C332" s="7"/>
      <c r="D332" s="3" t="str">
        <f t="shared" si="5"/>
        <v/>
      </c>
    </row>
    <row r="333" spans="1:4" ht="14.25" customHeight="1" x14ac:dyDescent="0.3">
      <c r="A333" s="7"/>
      <c r="B333" s="7"/>
      <c r="C333" s="7"/>
      <c r="D333" s="3" t="str">
        <f t="shared" si="5"/>
        <v/>
      </c>
    </row>
    <row r="334" spans="1:4" ht="14.25" customHeight="1" x14ac:dyDescent="0.3">
      <c r="A334" s="7"/>
      <c r="B334" s="7"/>
      <c r="C334" s="7"/>
      <c r="D334" s="3" t="str">
        <f t="shared" si="5"/>
        <v/>
      </c>
    </row>
    <row r="335" spans="1:4" ht="14.25" customHeight="1" x14ac:dyDescent="0.3">
      <c r="A335" s="7"/>
      <c r="B335" s="7"/>
      <c r="C335" s="7"/>
      <c r="D335" s="3" t="str">
        <f t="shared" si="5"/>
        <v/>
      </c>
    </row>
    <row r="336" spans="1:4" ht="14.25" customHeight="1" x14ac:dyDescent="0.3">
      <c r="A336" s="7"/>
      <c r="B336" s="7"/>
      <c r="C336" s="7"/>
      <c r="D336" s="3" t="str">
        <f t="shared" si="5"/>
        <v/>
      </c>
    </row>
    <row r="337" spans="1:4" ht="14.25" customHeight="1" x14ac:dyDescent="0.3">
      <c r="A337" s="7"/>
      <c r="B337" s="7"/>
      <c r="C337" s="7"/>
      <c r="D337" s="3" t="str">
        <f t="shared" si="5"/>
        <v/>
      </c>
    </row>
    <row r="338" spans="1:4" ht="14.25" customHeight="1" x14ac:dyDescent="0.3">
      <c r="A338" s="7"/>
      <c r="B338" s="7"/>
      <c r="C338" s="7"/>
      <c r="D338" s="3" t="str">
        <f t="shared" si="5"/>
        <v/>
      </c>
    </row>
    <row r="339" spans="1:4" ht="14.25" customHeight="1" x14ac:dyDescent="0.3">
      <c r="A339" s="7"/>
      <c r="B339" s="7"/>
      <c r="C339" s="7"/>
      <c r="D339" s="3" t="str">
        <f t="shared" si="5"/>
        <v/>
      </c>
    </row>
    <row r="340" spans="1:4" ht="14.25" customHeight="1" x14ac:dyDescent="0.3">
      <c r="A340" s="7"/>
      <c r="B340" s="7"/>
      <c r="C340" s="7"/>
      <c r="D340" s="3" t="str">
        <f t="shared" si="5"/>
        <v/>
      </c>
    </row>
    <row r="341" spans="1:4" ht="14.25" customHeight="1" x14ac:dyDescent="0.3">
      <c r="A341" s="7"/>
      <c r="B341" s="7"/>
      <c r="C341" s="7"/>
      <c r="D341" s="3" t="str">
        <f t="shared" si="5"/>
        <v/>
      </c>
    </row>
    <row r="342" spans="1:4" ht="14.25" customHeight="1" x14ac:dyDescent="0.3">
      <c r="A342" s="7"/>
      <c r="B342" s="7"/>
      <c r="C342" s="7"/>
      <c r="D342" s="3" t="str">
        <f t="shared" si="5"/>
        <v/>
      </c>
    </row>
    <row r="343" spans="1:4" ht="14.25" customHeight="1" x14ac:dyDescent="0.3">
      <c r="A343" s="7"/>
      <c r="B343" s="7"/>
      <c r="C343" s="7"/>
      <c r="D343" s="3" t="str">
        <f t="shared" si="5"/>
        <v/>
      </c>
    </row>
    <row r="344" spans="1:4" ht="14.25" customHeight="1" x14ac:dyDescent="0.3">
      <c r="A344" s="7"/>
      <c r="B344" s="7"/>
      <c r="C344" s="7"/>
      <c r="D344" s="3" t="str">
        <f t="shared" si="5"/>
        <v/>
      </c>
    </row>
    <row r="345" spans="1:4" ht="14.25" customHeight="1" x14ac:dyDescent="0.3">
      <c r="A345" s="7"/>
      <c r="B345" s="7"/>
      <c r="C345" s="7"/>
      <c r="D345" s="3" t="str">
        <f t="shared" si="5"/>
        <v/>
      </c>
    </row>
    <row r="346" spans="1:4" ht="14.25" customHeight="1" x14ac:dyDescent="0.3">
      <c r="A346" s="7"/>
      <c r="B346" s="7"/>
      <c r="C346" s="7"/>
      <c r="D346" s="3" t="str">
        <f t="shared" si="5"/>
        <v/>
      </c>
    </row>
    <row r="347" spans="1:4" ht="14.25" customHeight="1" x14ac:dyDescent="0.3">
      <c r="A347" s="7"/>
      <c r="B347" s="7"/>
      <c r="C347" s="7"/>
      <c r="D347" s="3" t="str">
        <f t="shared" si="5"/>
        <v/>
      </c>
    </row>
    <row r="348" spans="1:4" ht="14.25" customHeight="1" x14ac:dyDescent="0.3">
      <c r="A348" s="7"/>
      <c r="B348" s="7"/>
      <c r="C348" s="7"/>
      <c r="D348" s="3" t="str">
        <f t="shared" si="5"/>
        <v/>
      </c>
    </row>
    <row r="349" spans="1:4" ht="14.25" customHeight="1" x14ac:dyDescent="0.3">
      <c r="A349" s="7"/>
      <c r="B349" s="7"/>
      <c r="C349" s="7"/>
      <c r="D349" s="3" t="str">
        <f t="shared" si="5"/>
        <v/>
      </c>
    </row>
    <row r="350" spans="1:4" ht="14.25" customHeight="1" x14ac:dyDescent="0.3">
      <c r="A350" s="7"/>
      <c r="B350" s="7"/>
      <c r="C350" s="7"/>
      <c r="D350" s="3" t="str">
        <f t="shared" si="5"/>
        <v/>
      </c>
    </row>
    <row r="351" spans="1:4" ht="14.25" customHeight="1" x14ac:dyDescent="0.3">
      <c r="A351" s="7"/>
      <c r="B351" s="7"/>
      <c r="C351" s="7"/>
      <c r="D351" s="3" t="str">
        <f t="shared" si="5"/>
        <v/>
      </c>
    </row>
    <row r="352" spans="1:4" ht="14.25" customHeight="1" x14ac:dyDescent="0.3">
      <c r="A352" s="7"/>
      <c r="B352" s="7"/>
      <c r="C352" s="7"/>
      <c r="D352" s="3" t="str">
        <f t="shared" si="5"/>
        <v/>
      </c>
    </row>
    <row r="353" spans="1:4" ht="14.25" customHeight="1" x14ac:dyDescent="0.3">
      <c r="A353" s="7"/>
      <c r="B353" s="7"/>
      <c r="C353" s="7"/>
      <c r="D353" s="3" t="str">
        <f t="shared" si="5"/>
        <v/>
      </c>
    </row>
    <row r="354" spans="1:4" ht="14.25" customHeight="1" x14ac:dyDescent="0.3">
      <c r="A354" s="7"/>
      <c r="B354" s="7"/>
      <c r="C354" s="7"/>
      <c r="D354" s="3" t="str">
        <f t="shared" si="5"/>
        <v/>
      </c>
    </row>
    <row r="355" spans="1:4" ht="14.25" customHeight="1" x14ac:dyDescent="0.3">
      <c r="A355" s="7"/>
      <c r="B355" s="7"/>
      <c r="C355" s="7"/>
      <c r="D355" s="3" t="str">
        <f t="shared" si="5"/>
        <v/>
      </c>
    </row>
    <row r="356" spans="1:4" ht="14.25" customHeight="1" x14ac:dyDescent="0.3">
      <c r="A356" s="7"/>
      <c r="B356" s="7"/>
      <c r="C356" s="7"/>
      <c r="D356" s="3" t="str">
        <f t="shared" si="5"/>
        <v/>
      </c>
    </row>
    <row r="357" spans="1:4" ht="14.25" customHeight="1" x14ac:dyDescent="0.3">
      <c r="A357" s="7"/>
      <c r="B357" s="7"/>
      <c r="C357" s="7"/>
      <c r="D357" s="3" t="str">
        <f t="shared" si="5"/>
        <v/>
      </c>
    </row>
    <row r="358" spans="1:4" ht="14.25" customHeight="1" x14ac:dyDescent="0.3">
      <c r="A358" s="7"/>
      <c r="B358" s="7"/>
      <c r="C358" s="7"/>
      <c r="D358" s="3" t="str">
        <f t="shared" si="5"/>
        <v/>
      </c>
    </row>
    <row r="359" spans="1:4" ht="14.25" customHeight="1" x14ac:dyDescent="0.3">
      <c r="A359" s="7"/>
      <c r="B359" s="7"/>
      <c r="C359" s="7"/>
      <c r="D359" s="3" t="str">
        <f t="shared" si="5"/>
        <v/>
      </c>
    </row>
    <row r="360" spans="1:4" ht="14.25" customHeight="1" x14ac:dyDescent="0.3">
      <c r="A360" s="7"/>
      <c r="B360" s="7"/>
      <c r="C360" s="7"/>
      <c r="D360" s="3" t="str">
        <f t="shared" si="5"/>
        <v/>
      </c>
    </row>
    <row r="361" spans="1:4" ht="14.25" customHeight="1" x14ac:dyDescent="0.3">
      <c r="A361" s="7"/>
      <c r="B361" s="7"/>
      <c r="C361" s="7"/>
      <c r="D361" s="3" t="str">
        <f t="shared" si="5"/>
        <v/>
      </c>
    </row>
    <row r="362" spans="1:4" ht="14.25" customHeight="1" x14ac:dyDescent="0.3">
      <c r="A362" s="7"/>
      <c r="B362" s="7"/>
      <c r="C362" s="7"/>
      <c r="D362" s="3" t="str">
        <f t="shared" si="5"/>
        <v/>
      </c>
    </row>
    <row r="363" spans="1:4" ht="14.25" customHeight="1" x14ac:dyDescent="0.3">
      <c r="A363" s="7"/>
      <c r="B363" s="7"/>
      <c r="C363" s="7"/>
      <c r="D363" s="3" t="str">
        <f t="shared" si="5"/>
        <v/>
      </c>
    </row>
    <row r="364" spans="1:4" ht="14.25" customHeight="1" x14ac:dyDescent="0.3">
      <c r="A364" s="7"/>
      <c r="B364" s="7"/>
      <c r="C364" s="7"/>
      <c r="D364" s="3" t="str">
        <f t="shared" si="5"/>
        <v/>
      </c>
    </row>
    <row r="365" spans="1:4" ht="14.25" customHeight="1" x14ac:dyDescent="0.3">
      <c r="A365" s="7"/>
      <c r="B365" s="7"/>
      <c r="C365" s="7"/>
      <c r="D365" s="3" t="str">
        <f t="shared" si="5"/>
        <v/>
      </c>
    </row>
    <row r="366" spans="1:4" ht="14.25" customHeight="1" x14ac:dyDescent="0.3">
      <c r="A366" s="7"/>
      <c r="B366" s="7"/>
      <c r="C366" s="7"/>
      <c r="D366" s="3" t="str">
        <f t="shared" si="5"/>
        <v/>
      </c>
    </row>
    <row r="367" spans="1:4" ht="14.25" customHeight="1" x14ac:dyDescent="0.3">
      <c r="A367" s="7"/>
      <c r="B367" s="7"/>
      <c r="C367" s="7"/>
      <c r="D367" s="3" t="str">
        <f t="shared" si="5"/>
        <v/>
      </c>
    </row>
    <row r="368" spans="1:4" ht="14.25" customHeight="1" x14ac:dyDescent="0.3">
      <c r="A368" s="7"/>
      <c r="B368" s="7"/>
      <c r="C368" s="7"/>
      <c r="D368" s="3" t="str">
        <f t="shared" si="5"/>
        <v/>
      </c>
    </row>
    <row r="369" spans="1:4" ht="14.25" customHeight="1" x14ac:dyDescent="0.3">
      <c r="A369" s="7"/>
      <c r="B369" s="7"/>
      <c r="C369" s="7"/>
      <c r="D369" s="3" t="str">
        <f t="shared" si="5"/>
        <v/>
      </c>
    </row>
    <row r="370" spans="1:4" ht="14.25" customHeight="1" x14ac:dyDescent="0.3">
      <c r="A370" s="7"/>
      <c r="B370" s="7"/>
      <c r="C370" s="7"/>
      <c r="D370" s="3" t="str">
        <f t="shared" si="5"/>
        <v/>
      </c>
    </row>
    <row r="371" spans="1:4" ht="14.25" customHeight="1" x14ac:dyDescent="0.3">
      <c r="A371" s="7"/>
      <c r="B371" s="7"/>
      <c r="C371" s="7"/>
      <c r="D371" s="3" t="str">
        <f t="shared" si="5"/>
        <v/>
      </c>
    </row>
    <row r="372" spans="1:4" ht="14.25" customHeight="1" x14ac:dyDescent="0.3">
      <c r="A372" s="7"/>
      <c r="B372" s="7"/>
      <c r="C372" s="7"/>
      <c r="D372" s="3" t="str">
        <f t="shared" si="5"/>
        <v/>
      </c>
    </row>
    <row r="373" spans="1:4" ht="14.25" customHeight="1" x14ac:dyDescent="0.3">
      <c r="A373" s="7"/>
      <c r="B373" s="7"/>
      <c r="C373" s="7"/>
      <c r="D373" s="3" t="str">
        <f t="shared" si="5"/>
        <v/>
      </c>
    </row>
    <row r="374" spans="1:4" ht="14.25" customHeight="1" x14ac:dyDescent="0.3">
      <c r="A374" s="7"/>
      <c r="B374" s="7"/>
      <c r="C374" s="7"/>
      <c r="D374" s="3" t="str">
        <f t="shared" si="5"/>
        <v/>
      </c>
    </row>
    <row r="375" spans="1:4" ht="14.25" customHeight="1" x14ac:dyDescent="0.3">
      <c r="A375" s="7"/>
      <c r="B375" s="7"/>
      <c r="C375" s="7"/>
      <c r="D375" s="3" t="str">
        <f t="shared" si="5"/>
        <v/>
      </c>
    </row>
    <row r="376" spans="1:4" ht="14.25" customHeight="1" x14ac:dyDescent="0.3">
      <c r="A376" s="7"/>
      <c r="B376" s="7"/>
      <c r="C376" s="7"/>
      <c r="D376" s="3" t="str">
        <f t="shared" si="5"/>
        <v/>
      </c>
    </row>
    <row r="377" spans="1:4" ht="14.25" customHeight="1" x14ac:dyDescent="0.3">
      <c r="A377" s="7"/>
      <c r="B377" s="7"/>
      <c r="C377" s="7"/>
      <c r="D377" s="3" t="str">
        <f t="shared" si="5"/>
        <v/>
      </c>
    </row>
    <row r="378" spans="1:4" ht="14.25" customHeight="1" x14ac:dyDescent="0.3">
      <c r="A378" s="7"/>
      <c r="B378" s="7"/>
      <c r="C378" s="7"/>
      <c r="D378" s="3" t="str">
        <f t="shared" si="5"/>
        <v/>
      </c>
    </row>
    <row r="379" spans="1:4" ht="14.25" customHeight="1" x14ac:dyDescent="0.3">
      <c r="A379" s="7"/>
      <c r="B379" s="7"/>
      <c r="C379" s="7"/>
      <c r="D379" s="3" t="str">
        <f t="shared" si="5"/>
        <v/>
      </c>
    </row>
    <row r="380" spans="1:4" ht="14.25" customHeight="1" x14ac:dyDescent="0.3">
      <c r="A380" s="7"/>
      <c r="B380" s="7"/>
      <c r="C380" s="7"/>
      <c r="D380" s="3" t="str">
        <f t="shared" si="5"/>
        <v/>
      </c>
    </row>
    <row r="381" spans="1:4" ht="14.25" customHeight="1" x14ac:dyDescent="0.3">
      <c r="A381" s="7"/>
      <c r="B381" s="7"/>
      <c r="C381" s="7"/>
      <c r="D381" s="3" t="str">
        <f t="shared" si="5"/>
        <v/>
      </c>
    </row>
    <row r="382" spans="1:4" ht="14.25" customHeight="1" x14ac:dyDescent="0.3">
      <c r="A382" s="7"/>
      <c r="B382" s="7"/>
      <c r="C382" s="7"/>
      <c r="D382" s="3" t="str">
        <f t="shared" si="5"/>
        <v/>
      </c>
    </row>
    <row r="383" spans="1:4" ht="14.25" customHeight="1" x14ac:dyDescent="0.3">
      <c r="A383" s="7"/>
      <c r="B383" s="7"/>
      <c r="C383" s="7"/>
      <c r="D383" s="3" t="str">
        <f t="shared" si="5"/>
        <v/>
      </c>
    </row>
    <row r="384" spans="1:4" ht="14.25" customHeight="1" x14ac:dyDescent="0.3">
      <c r="A384" s="7"/>
      <c r="B384" s="7"/>
      <c r="C384" s="7"/>
      <c r="D384" s="3" t="str">
        <f t="shared" si="5"/>
        <v/>
      </c>
    </row>
    <row r="385" spans="1:4" ht="14.25" customHeight="1" x14ac:dyDescent="0.3">
      <c r="A385" s="7"/>
      <c r="B385" s="7"/>
      <c r="C385" s="7"/>
      <c r="D385" s="3" t="str">
        <f t="shared" si="5"/>
        <v/>
      </c>
    </row>
    <row r="386" spans="1:4" ht="14.25" customHeight="1" x14ac:dyDescent="0.3">
      <c r="A386" s="7"/>
      <c r="B386" s="7"/>
      <c r="C386" s="7"/>
      <c r="D386" s="3" t="str">
        <f t="shared" ref="D386:D449" si="6">IF(COUNTA(A386:C386)=0,"",IF(COUNTIF($A$2:$A$500,A386)&gt;1,"DUPLICATE ROOM ID","OK"))</f>
        <v/>
      </c>
    </row>
    <row r="387" spans="1:4" ht="14.25" customHeight="1" x14ac:dyDescent="0.3">
      <c r="A387" s="7"/>
      <c r="B387" s="7"/>
      <c r="C387" s="7"/>
      <c r="D387" s="3" t="str">
        <f t="shared" si="6"/>
        <v/>
      </c>
    </row>
    <row r="388" spans="1:4" ht="14.25" customHeight="1" x14ac:dyDescent="0.3">
      <c r="A388" s="7"/>
      <c r="B388" s="7"/>
      <c r="C388" s="7"/>
      <c r="D388" s="3" t="str">
        <f t="shared" si="6"/>
        <v/>
      </c>
    </row>
    <row r="389" spans="1:4" ht="14.25" customHeight="1" x14ac:dyDescent="0.3">
      <c r="A389" s="7"/>
      <c r="B389" s="7"/>
      <c r="C389" s="7"/>
      <c r="D389" s="3" t="str">
        <f t="shared" si="6"/>
        <v/>
      </c>
    </row>
    <row r="390" spans="1:4" ht="14.25" customHeight="1" x14ac:dyDescent="0.3">
      <c r="A390" s="7"/>
      <c r="B390" s="7"/>
      <c r="C390" s="7"/>
      <c r="D390" s="3" t="str">
        <f t="shared" si="6"/>
        <v/>
      </c>
    </row>
    <row r="391" spans="1:4" ht="14.25" customHeight="1" x14ac:dyDescent="0.3">
      <c r="A391" s="7"/>
      <c r="B391" s="7"/>
      <c r="C391" s="7"/>
      <c r="D391" s="3" t="str">
        <f t="shared" si="6"/>
        <v/>
      </c>
    </row>
    <row r="392" spans="1:4" ht="14.25" customHeight="1" x14ac:dyDescent="0.3">
      <c r="A392" s="7"/>
      <c r="B392" s="7"/>
      <c r="C392" s="7"/>
      <c r="D392" s="3" t="str">
        <f t="shared" si="6"/>
        <v/>
      </c>
    </row>
    <row r="393" spans="1:4" ht="14.25" customHeight="1" x14ac:dyDescent="0.3">
      <c r="A393" s="7"/>
      <c r="B393" s="7"/>
      <c r="C393" s="7"/>
      <c r="D393" s="3" t="str">
        <f t="shared" si="6"/>
        <v/>
      </c>
    </row>
    <row r="394" spans="1:4" ht="14.25" customHeight="1" x14ac:dyDescent="0.3">
      <c r="A394" s="7"/>
      <c r="B394" s="7"/>
      <c r="C394" s="7"/>
      <c r="D394" s="3" t="str">
        <f t="shared" si="6"/>
        <v/>
      </c>
    </row>
    <row r="395" spans="1:4" ht="14.25" customHeight="1" x14ac:dyDescent="0.3">
      <c r="A395" s="7"/>
      <c r="B395" s="7"/>
      <c r="C395" s="7"/>
      <c r="D395" s="3" t="str">
        <f t="shared" si="6"/>
        <v/>
      </c>
    </row>
    <row r="396" spans="1:4" ht="14.25" customHeight="1" x14ac:dyDescent="0.3">
      <c r="A396" s="7"/>
      <c r="B396" s="7"/>
      <c r="C396" s="7"/>
      <c r="D396" s="3" t="str">
        <f t="shared" si="6"/>
        <v/>
      </c>
    </row>
    <row r="397" spans="1:4" ht="14.25" customHeight="1" x14ac:dyDescent="0.3">
      <c r="A397" s="7"/>
      <c r="B397" s="7"/>
      <c r="C397" s="7"/>
      <c r="D397" s="3" t="str">
        <f t="shared" si="6"/>
        <v/>
      </c>
    </row>
    <row r="398" spans="1:4" ht="14.25" customHeight="1" x14ac:dyDescent="0.3">
      <c r="A398" s="7"/>
      <c r="B398" s="7"/>
      <c r="C398" s="7"/>
      <c r="D398" s="3" t="str">
        <f t="shared" si="6"/>
        <v/>
      </c>
    </row>
    <row r="399" spans="1:4" ht="14.25" customHeight="1" x14ac:dyDescent="0.3">
      <c r="A399" s="7"/>
      <c r="B399" s="7"/>
      <c r="C399" s="7"/>
      <c r="D399" s="3" t="str">
        <f t="shared" si="6"/>
        <v/>
      </c>
    </row>
    <row r="400" spans="1:4" ht="14.25" customHeight="1" x14ac:dyDescent="0.3">
      <c r="A400" s="7"/>
      <c r="B400" s="7"/>
      <c r="C400" s="7"/>
      <c r="D400" s="3" t="str">
        <f t="shared" si="6"/>
        <v/>
      </c>
    </row>
    <row r="401" spans="1:4" ht="14.25" customHeight="1" x14ac:dyDescent="0.3">
      <c r="A401" s="7"/>
      <c r="B401" s="7"/>
      <c r="C401" s="7"/>
      <c r="D401" s="3" t="str">
        <f t="shared" si="6"/>
        <v/>
      </c>
    </row>
    <row r="402" spans="1:4" ht="14.25" customHeight="1" x14ac:dyDescent="0.3">
      <c r="A402" s="7"/>
      <c r="B402" s="7"/>
      <c r="C402" s="7"/>
      <c r="D402" s="3" t="str">
        <f t="shared" si="6"/>
        <v/>
      </c>
    </row>
    <row r="403" spans="1:4" ht="14.25" customHeight="1" x14ac:dyDescent="0.3">
      <c r="A403" s="7"/>
      <c r="B403" s="7"/>
      <c r="C403" s="7"/>
      <c r="D403" s="3" t="str">
        <f t="shared" si="6"/>
        <v/>
      </c>
    </row>
    <row r="404" spans="1:4" ht="14.25" customHeight="1" x14ac:dyDescent="0.3">
      <c r="A404" s="7"/>
      <c r="B404" s="7"/>
      <c r="C404" s="7"/>
      <c r="D404" s="3" t="str">
        <f t="shared" si="6"/>
        <v/>
      </c>
    </row>
    <row r="405" spans="1:4" ht="14.25" customHeight="1" x14ac:dyDescent="0.3">
      <c r="A405" s="7"/>
      <c r="B405" s="7"/>
      <c r="C405" s="7"/>
      <c r="D405" s="3" t="str">
        <f t="shared" si="6"/>
        <v/>
      </c>
    </row>
    <row r="406" spans="1:4" ht="14.25" customHeight="1" x14ac:dyDescent="0.3">
      <c r="A406" s="7"/>
      <c r="B406" s="7"/>
      <c r="C406" s="7"/>
      <c r="D406" s="3" t="str">
        <f t="shared" si="6"/>
        <v/>
      </c>
    </row>
    <row r="407" spans="1:4" ht="14.25" customHeight="1" x14ac:dyDescent="0.3">
      <c r="A407" s="7"/>
      <c r="B407" s="7"/>
      <c r="C407" s="7"/>
      <c r="D407" s="3" t="str">
        <f t="shared" si="6"/>
        <v/>
      </c>
    </row>
    <row r="408" spans="1:4" ht="14.25" customHeight="1" x14ac:dyDescent="0.3">
      <c r="A408" s="7"/>
      <c r="B408" s="7"/>
      <c r="C408" s="7"/>
      <c r="D408" s="3" t="str">
        <f t="shared" si="6"/>
        <v/>
      </c>
    </row>
    <row r="409" spans="1:4" ht="14.25" customHeight="1" x14ac:dyDescent="0.3">
      <c r="A409" s="7"/>
      <c r="B409" s="7"/>
      <c r="C409" s="7"/>
      <c r="D409" s="3" t="str">
        <f t="shared" si="6"/>
        <v/>
      </c>
    </row>
    <row r="410" spans="1:4" ht="14.25" customHeight="1" x14ac:dyDescent="0.3">
      <c r="A410" s="7"/>
      <c r="B410" s="7"/>
      <c r="C410" s="7"/>
      <c r="D410" s="3" t="str">
        <f t="shared" si="6"/>
        <v/>
      </c>
    </row>
    <row r="411" spans="1:4" ht="14.25" customHeight="1" x14ac:dyDescent="0.3">
      <c r="A411" s="7"/>
      <c r="B411" s="7"/>
      <c r="C411" s="7"/>
      <c r="D411" s="3" t="str">
        <f t="shared" si="6"/>
        <v/>
      </c>
    </row>
    <row r="412" spans="1:4" ht="14.25" customHeight="1" x14ac:dyDescent="0.3">
      <c r="A412" s="7"/>
      <c r="B412" s="7"/>
      <c r="C412" s="7"/>
      <c r="D412" s="3" t="str">
        <f t="shared" si="6"/>
        <v/>
      </c>
    </row>
    <row r="413" spans="1:4" ht="14.25" customHeight="1" x14ac:dyDescent="0.3">
      <c r="A413" s="7"/>
      <c r="B413" s="7"/>
      <c r="C413" s="7"/>
      <c r="D413" s="3" t="str">
        <f t="shared" si="6"/>
        <v/>
      </c>
    </row>
    <row r="414" spans="1:4" ht="14.25" customHeight="1" x14ac:dyDescent="0.3">
      <c r="A414" s="7"/>
      <c r="B414" s="7"/>
      <c r="C414" s="7"/>
      <c r="D414" s="3" t="str">
        <f t="shared" si="6"/>
        <v/>
      </c>
    </row>
    <row r="415" spans="1:4" ht="14.25" customHeight="1" x14ac:dyDescent="0.3">
      <c r="A415" s="7"/>
      <c r="B415" s="7"/>
      <c r="C415" s="7"/>
      <c r="D415" s="3" t="str">
        <f t="shared" si="6"/>
        <v/>
      </c>
    </row>
    <row r="416" spans="1:4" ht="14.25" customHeight="1" x14ac:dyDescent="0.3">
      <c r="A416" s="7"/>
      <c r="B416" s="7"/>
      <c r="C416" s="7"/>
      <c r="D416" s="3" t="str">
        <f t="shared" si="6"/>
        <v/>
      </c>
    </row>
    <row r="417" spans="1:4" ht="14.25" customHeight="1" x14ac:dyDescent="0.3">
      <c r="A417" s="7"/>
      <c r="B417" s="7"/>
      <c r="C417" s="7"/>
      <c r="D417" s="3" t="str">
        <f t="shared" si="6"/>
        <v/>
      </c>
    </row>
    <row r="418" spans="1:4" ht="14.25" customHeight="1" x14ac:dyDescent="0.3">
      <c r="A418" s="7"/>
      <c r="B418" s="7"/>
      <c r="C418" s="7"/>
      <c r="D418" s="3" t="str">
        <f t="shared" si="6"/>
        <v/>
      </c>
    </row>
    <row r="419" spans="1:4" ht="14.25" customHeight="1" x14ac:dyDescent="0.3">
      <c r="A419" s="7"/>
      <c r="B419" s="7"/>
      <c r="C419" s="7"/>
      <c r="D419" s="3" t="str">
        <f t="shared" si="6"/>
        <v/>
      </c>
    </row>
    <row r="420" spans="1:4" ht="14.25" customHeight="1" x14ac:dyDescent="0.3">
      <c r="A420" s="7"/>
      <c r="B420" s="7"/>
      <c r="C420" s="7"/>
      <c r="D420" s="3" t="str">
        <f t="shared" si="6"/>
        <v/>
      </c>
    </row>
    <row r="421" spans="1:4" ht="14.25" customHeight="1" x14ac:dyDescent="0.3">
      <c r="A421" s="7"/>
      <c r="B421" s="7"/>
      <c r="C421" s="7"/>
      <c r="D421" s="3" t="str">
        <f t="shared" si="6"/>
        <v/>
      </c>
    </row>
    <row r="422" spans="1:4" ht="14.25" customHeight="1" x14ac:dyDescent="0.3">
      <c r="A422" s="7"/>
      <c r="B422" s="7"/>
      <c r="C422" s="7"/>
      <c r="D422" s="3" t="str">
        <f t="shared" si="6"/>
        <v/>
      </c>
    </row>
    <row r="423" spans="1:4" ht="14.25" customHeight="1" x14ac:dyDescent="0.3">
      <c r="A423" s="7"/>
      <c r="B423" s="7"/>
      <c r="C423" s="7"/>
      <c r="D423" s="3" t="str">
        <f t="shared" si="6"/>
        <v/>
      </c>
    </row>
    <row r="424" spans="1:4" ht="14.25" customHeight="1" x14ac:dyDescent="0.3">
      <c r="A424" s="7"/>
      <c r="B424" s="7"/>
      <c r="C424" s="7"/>
      <c r="D424" s="3" t="str">
        <f t="shared" si="6"/>
        <v/>
      </c>
    </row>
    <row r="425" spans="1:4" ht="14.25" customHeight="1" x14ac:dyDescent="0.3">
      <c r="A425" s="7"/>
      <c r="B425" s="7"/>
      <c r="C425" s="7"/>
      <c r="D425" s="3" t="str">
        <f t="shared" si="6"/>
        <v/>
      </c>
    </row>
    <row r="426" spans="1:4" ht="14.25" customHeight="1" x14ac:dyDescent="0.3">
      <c r="A426" s="7"/>
      <c r="B426" s="7"/>
      <c r="C426" s="7"/>
      <c r="D426" s="3" t="str">
        <f t="shared" si="6"/>
        <v/>
      </c>
    </row>
    <row r="427" spans="1:4" ht="14.25" customHeight="1" x14ac:dyDescent="0.3">
      <c r="A427" s="7"/>
      <c r="B427" s="7"/>
      <c r="C427" s="7"/>
      <c r="D427" s="3" t="str">
        <f t="shared" si="6"/>
        <v/>
      </c>
    </row>
    <row r="428" spans="1:4" ht="14.25" customHeight="1" x14ac:dyDescent="0.3">
      <c r="A428" s="7"/>
      <c r="B428" s="7"/>
      <c r="C428" s="7"/>
      <c r="D428" s="3" t="str">
        <f t="shared" si="6"/>
        <v/>
      </c>
    </row>
    <row r="429" spans="1:4" ht="14.25" customHeight="1" x14ac:dyDescent="0.3">
      <c r="A429" s="7"/>
      <c r="B429" s="7"/>
      <c r="C429" s="7"/>
      <c r="D429" s="3" t="str">
        <f t="shared" si="6"/>
        <v/>
      </c>
    </row>
    <row r="430" spans="1:4" ht="14.25" customHeight="1" x14ac:dyDescent="0.3">
      <c r="A430" s="7"/>
      <c r="B430" s="7"/>
      <c r="C430" s="7"/>
      <c r="D430" s="3" t="str">
        <f t="shared" si="6"/>
        <v/>
      </c>
    </row>
    <row r="431" spans="1:4" ht="14.25" customHeight="1" x14ac:dyDescent="0.3">
      <c r="A431" s="7"/>
      <c r="B431" s="7"/>
      <c r="C431" s="7"/>
      <c r="D431" s="3" t="str">
        <f t="shared" si="6"/>
        <v/>
      </c>
    </row>
    <row r="432" spans="1:4" ht="14.25" customHeight="1" x14ac:dyDescent="0.3">
      <c r="A432" s="7"/>
      <c r="B432" s="7"/>
      <c r="C432" s="7"/>
      <c r="D432" s="3" t="str">
        <f t="shared" si="6"/>
        <v/>
      </c>
    </row>
    <row r="433" spans="1:4" ht="14.25" customHeight="1" x14ac:dyDescent="0.3">
      <c r="A433" s="7"/>
      <c r="B433" s="7"/>
      <c r="C433" s="7"/>
      <c r="D433" s="3" t="str">
        <f t="shared" si="6"/>
        <v/>
      </c>
    </row>
    <row r="434" spans="1:4" ht="14.25" customHeight="1" x14ac:dyDescent="0.3">
      <c r="A434" s="7"/>
      <c r="B434" s="7"/>
      <c r="C434" s="7"/>
      <c r="D434" s="3" t="str">
        <f t="shared" si="6"/>
        <v/>
      </c>
    </row>
    <row r="435" spans="1:4" ht="14.25" customHeight="1" x14ac:dyDescent="0.3">
      <c r="A435" s="7"/>
      <c r="B435" s="7"/>
      <c r="C435" s="7"/>
      <c r="D435" s="3" t="str">
        <f t="shared" si="6"/>
        <v/>
      </c>
    </row>
    <row r="436" spans="1:4" ht="14.25" customHeight="1" x14ac:dyDescent="0.3">
      <c r="A436" s="7"/>
      <c r="B436" s="7"/>
      <c r="C436" s="7"/>
      <c r="D436" s="3" t="str">
        <f t="shared" si="6"/>
        <v/>
      </c>
    </row>
    <row r="437" spans="1:4" ht="14.25" customHeight="1" x14ac:dyDescent="0.3">
      <c r="A437" s="7"/>
      <c r="B437" s="7"/>
      <c r="C437" s="7"/>
      <c r="D437" s="3" t="str">
        <f t="shared" si="6"/>
        <v/>
      </c>
    </row>
    <row r="438" spans="1:4" ht="14.25" customHeight="1" x14ac:dyDescent="0.3">
      <c r="A438" s="7"/>
      <c r="B438" s="7"/>
      <c r="C438" s="7"/>
      <c r="D438" s="3" t="str">
        <f t="shared" si="6"/>
        <v/>
      </c>
    </row>
    <row r="439" spans="1:4" ht="14.25" customHeight="1" x14ac:dyDescent="0.3">
      <c r="A439" s="7"/>
      <c r="B439" s="7"/>
      <c r="C439" s="7"/>
      <c r="D439" s="3" t="str">
        <f t="shared" si="6"/>
        <v/>
      </c>
    </row>
    <row r="440" spans="1:4" ht="14.25" customHeight="1" x14ac:dyDescent="0.3">
      <c r="A440" s="7"/>
      <c r="B440" s="7"/>
      <c r="C440" s="7"/>
      <c r="D440" s="3" t="str">
        <f t="shared" si="6"/>
        <v/>
      </c>
    </row>
    <row r="441" spans="1:4" ht="14.25" customHeight="1" x14ac:dyDescent="0.3">
      <c r="A441" s="7"/>
      <c r="B441" s="7"/>
      <c r="C441" s="7"/>
      <c r="D441" s="3" t="str">
        <f t="shared" si="6"/>
        <v/>
      </c>
    </row>
    <row r="442" spans="1:4" ht="14.25" customHeight="1" x14ac:dyDescent="0.3">
      <c r="A442" s="7"/>
      <c r="B442" s="7"/>
      <c r="C442" s="7"/>
      <c r="D442" s="3" t="str">
        <f t="shared" si="6"/>
        <v/>
      </c>
    </row>
    <row r="443" spans="1:4" ht="14.25" customHeight="1" x14ac:dyDescent="0.3">
      <c r="A443" s="7"/>
      <c r="B443" s="7"/>
      <c r="C443" s="7"/>
      <c r="D443" s="3" t="str">
        <f t="shared" si="6"/>
        <v/>
      </c>
    </row>
    <row r="444" spans="1:4" ht="14.25" customHeight="1" x14ac:dyDescent="0.3">
      <c r="A444" s="7"/>
      <c r="B444" s="7"/>
      <c r="C444" s="7"/>
      <c r="D444" s="3" t="str">
        <f t="shared" si="6"/>
        <v/>
      </c>
    </row>
    <row r="445" spans="1:4" ht="14.25" customHeight="1" x14ac:dyDescent="0.3">
      <c r="A445" s="7"/>
      <c r="B445" s="7"/>
      <c r="C445" s="7"/>
      <c r="D445" s="3" t="str">
        <f t="shared" si="6"/>
        <v/>
      </c>
    </row>
    <row r="446" spans="1:4" ht="14.25" customHeight="1" x14ac:dyDescent="0.3">
      <c r="A446" s="7"/>
      <c r="B446" s="7"/>
      <c r="C446" s="7"/>
      <c r="D446" s="3" t="str">
        <f t="shared" si="6"/>
        <v/>
      </c>
    </row>
    <row r="447" spans="1:4" ht="14.25" customHeight="1" x14ac:dyDescent="0.3">
      <c r="A447" s="7"/>
      <c r="B447" s="7"/>
      <c r="C447" s="7"/>
      <c r="D447" s="3" t="str">
        <f t="shared" si="6"/>
        <v/>
      </c>
    </row>
    <row r="448" spans="1:4" ht="14.25" customHeight="1" x14ac:dyDescent="0.3">
      <c r="A448" s="7"/>
      <c r="B448" s="7"/>
      <c r="C448" s="7"/>
      <c r="D448" s="3" t="str">
        <f t="shared" si="6"/>
        <v/>
      </c>
    </row>
    <row r="449" spans="1:4" ht="14.25" customHeight="1" x14ac:dyDescent="0.3">
      <c r="A449" s="7"/>
      <c r="B449" s="7"/>
      <c r="C449" s="7"/>
      <c r="D449" s="3" t="str">
        <f t="shared" si="6"/>
        <v/>
      </c>
    </row>
    <row r="450" spans="1:4" ht="14.25" customHeight="1" x14ac:dyDescent="0.3">
      <c r="A450" s="7"/>
      <c r="B450" s="7"/>
      <c r="C450" s="7"/>
      <c r="D450" s="3" t="str">
        <f t="shared" ref="D450:D500" si="7">IF(COUNTA(A450:C450)=0,"",IF(COUNTIF($A$2:$A$500,A450)&gt;1,"DUPLICATE ROOM ID","OK"))</f>
        <v/>
      </c>
    </row>
    <row r="451" spans="1:4" ht="14.25" customHeight="1" x14ac:dyDescent="0.3">
      <c r="A451" s="7"/>
      <c r="B451" s="7"/>
      <c r="C451" s="7"/>
      <c r="D451" s="3" t="str">
        <f t="shared" si="7"/>
        <v/>
      </c>
    </row>
    <row r="452" spans="1:4" ht="14.25" customHeight="1" x14ac:dyDescent="0.3">
      <c r="A452" s="7"/>
      <c r="B452" s="7"/>
      <c r="C452" s="7"/>
      <c r="D452" s="3" t="str">
        <f t="shared" si="7"/>
        <v/>
      </c>
    </row>
    <row r="453" spans="1:4" ht="14.25" customHeight="1" x14ac:dyDescent="0.3">
      <c r="A453" s="7"/>
      <c r="B453" s="7"/>
      <c r="C453" s="7"/>
      <c r="D453" s="3" t="str">
        <f t="shared" si="7"/>
        <v/>
      </c>
    </row>
    <row r="454" spans="1:4" ht="14.25" customHeight="1" x14ac:dyDescent="0.3">
      <c r="A454" s="7"/>
      <c r="B454" s="7"/>
      <c r="C454" s="7"/>
      <c r="D454" s="3" t="str">
        <f t="shared" si="7"/>
        <v/>
      </c>
    </row>
    <row r="455" spans="1:4" ht="14.25" customHeight="1" x14ac:dyDescent="0.3">
      <c r="A455" s="7"/>
      <c r="B455" s="7"/>
      <c r="C455" s="7"/>
      <c r="D455" s="3" t="str">
        <f t="shared" si="7"/>
        <v/>
      </c>
    </row>
    <row r="456" spans="1:4" ht="14.25" customHeight="1" x14ac:dyDescent="0.3">
      <c r="A456" s="7"/>
      <c r="B456" s="7"/>
      <c r="C456" s="7"/>
      <c r="D456" s="3" t="str">
        <f t="shared" si="7"/>
        <v/>
      </c>
    </row>
    <row r="457" spans="1:4" ht="14.25" customHeight="1" x14ac:dyDescent="0.3">
      <c r="A457" s="7"/>
      <c r="B457" s="7"/>
      <c r="C457" s="7"/>
      <c r="D457" s="3" t="str">
        <f t="shared" si="7"/>
        <v/>
      </c>
    </row>
    <row r="458" spans="1:4" ht="14.25" customHeight="1" x14ac:dyDescent="0.3">
      <c r="A458" s="7"/>
      <c r="B458" s="7"/>
      <c r="C458" s="7"/>
      <c r="D458" s="3" t="str">
        <f t="shared" si="7"/>
        <v/>
      </c>
    </row>
    <row r="459" spans="1:4" ht="14.25" customHeight="1" x14ac:dyDescent="0.3">
      <c r="A459" s="7"/>
      <c r="B459" s="7"/>
      <c r="C459" s="7"/>
      <c r="D459" s="3" t="str">
        <f t="shared" si="7"/>
        <v/>
      </c>
    </row>
    <row r="460" spans="1:4" ht="14.25" customHeight="1" x14ac:dyDescent="0.3">
      <c r="A460" s="7"/>
      <c r="B460" s="7"/>
      <c r="C460" s="7"/>
      <c r="D460" s="3" t="str">
        <f t="shared" si="7"/>
        <v/>
      </c>
    </row>
    <row r="461" spans="1:4" ht="14.25" customHeight="1" x14ac:dyDescent="0.3">
      <c r="A461" s="7"/>
      <c r="B461" s="7"/>
      <c r="C461" s="7"/>
      <c r="D461" s="3" t="str">
        <f t="shared" si="7"/>
        <v/>
      </c>
    </row>
    <row r="462" spans="1:4" ht="14.25" customHeight="1" x14ac:dyDescent="0.3">
      <c r="A462" s="7"/>
      <c r="B462" s="7"/>
      <c r="C462" s="7"/>
      <c r="D462" s="3" t="str">
        <f t="shared" si="7"/>
        <v/>
      </c>
    </row>
    <row r="463" spans="1:4" ht="14.25" customHeight="1" x14ac:dyDescent="0.3">
      <c r="A463" s="7"/>
      <c r="B463" s="7"/>
      <c r="C463" s="7"/>
      <c r="D463" s="3" t="str">
        <f t="shared" si="7"/>
        <v/>
      </c>
    </row>
    <row r="464" spans="1:4" ht="14.25" customHeight="1" x14ac:dyDescent="0.3">
      <c r="A464" s="7"/>
      <c r="B464" s="7"/>
      <c r="C464" s="7"/>
      <c r="D464" s="3" t="str">
        <f t="shared" si="7"/>
        <v/>
      </c>
    </row>
    <row r="465" spans="1:4" ht="14.25" customHeight="1" x14ac:dyDescent="0.3">
      <c r="A465" s="7"/>
      <c r="B465" s="7"/>
      <c r="C465" s="7"/>
      <c r="D465" s="3" t="str">
        <f t="shared" si="7"/>
        <v/>
      </c>
    </row>
    <row r="466" spans="1:4" ht="14.25" customHeight="1" x14ac:dyDescent="0.3">
      <c r="A466" s="7"/>
      <c r="B466" s="7"/>
      <c r="C466" s="7"/>
      <c r="D466" s="3" t="str">
        <f t="shared" si="7"/>
        <v/>
      </c>
    </row>
    <row r="467" spans="1:4" ht="14.25" customHeight="1" x14ac:dyDescent="0.3">
      <c r="A467" s="7"/>
      <c r="B467" s="7"/>
      <c r="C467" s="7"/>
      <c r="D467" s="3" t="str">
        <f t="shared" si="7"/>
        <v/>
      </c>
    </row>
    <row r="468" spans="1:4" ht="14.25" customHeight="1" x14ac:dyDescent="0.3">
      <c r="A468" s="7"/>
      <c r="B468" s="7"/>
      <c r="C468" s="7"/>
      <c r="D468" s="3" t="str">
        <f t="shared" si="7"/>
        <v/>
      </c>
    </row>
    <row r="469" spans="1:4" ht="14.25" customHeight="1" x14ac:dyDescent="0.3">
      <c r="A469" s="7"/>
      <c r="B469" s="7"/>
      <c r="C469" s="7"/>
      <c r="D469" s="3" t="str">
        <f t="shared" si="7"/>
        <v/>
      </c>
    </row>
    <row r="470" spans="1:4" ht="14.25" customHeight="1" x14ac:dyDescent="0.3">
      <c r="A470" s="7"/>
      <c r="B470" s="7"/>
      <c r="C470" s="7"/>
      <c r="D470" s="3" t="str">
        <f t="shared" si="7"/>
        <v/>
      </c>
    </row>
    <row r="471" spans="1:4" ht="14.25" customHeight="1" x14ac:dyDescent="0.3">
      <c r="A471" s="7"/>
      <c r="B471" s="7"/>
      <c r="C471" s="7"/>
      <c r="D471" s="3" t="str">
        <f t="shared" si="7"/>
        <v/>
      </c>
    </row>
    <row r="472" spans="1:4" ht="14.25" customHeight="1" x14ac:dyDescent="0.3">
      <c r="A472" s="7"/>
      <c r="B472" s="7"/>
      <c r="C472" s="7"/>
      <c r="D472" s="3" t="str">
        <f t="shared" si="7"/>
        <v/>
      </c>
    </row>
    <row r="473" spans="1:4" ht="14.25" customHeight="1" x14ac:dyDescent="0.3">
      <c r="A473" s="7"/>
      <c r="B473" s="7"/>
      <c r="C473" s="7"/>
      <c r="D473" s="3" t="str">
        <f t="shared" si="7"/>
        <v/>
      </c>
    </row>
    <row r="474" spans="1:4" ht="14.25" customHeight="1" x14ac:dyDescent="0.3">
      <c r="A474" s="7"/>
      <c r="B474" s="7"/>
      <c r="C474" s="7"/>
      <c r="D474" s="3" t="str">
        <f t="shared" si="7"/>
        <v/>
      </c>
    </row>
    <row r="475" spans="1:4" ht="14.25" customHeight="1" x14ac:dyDescent="0.3">
      <c r="A475" s="7"/>
      <c r="B475" s="7"/>
      <c r="C475" s="7"/>
      <c r="D475" s="3" t="str">
        <f t="shared" si="7"/>
        <v/>
      </c>
    </row>
    <row r="476" spans="1:4" ht="14.25" customHeight="1" x14ac:dyDescent="0.3">
      <c r="A476" s="7"/>
      <c r="B476" s="7"/>
      <c r="C476" s="7"/>
      <c r="D476" s="3" t="str">
        <f t="shared" si="7"/>
        <v/>
      </c>
    </row>
    <row r="477" spans="1:4" ht="14.25" customHeight="1" x14ac:dyDescent="0.3">
      <c r="A477" s="7"/>
      <c r="B477" s="7"/>
      <c r="C477" s="7"/>
      <c r="D477" s="3" t="str">
        <f t="shared" si="7"/>
        <v/>
      </c>
    </row>
    <row r="478" spans="1:4" ht="14.25" customHeight="1" x14ac:dyDescent="0.3">
      <c r="A478" s="7"/>
      <c r="B478" s="7"/>
      <c r="C478" s="7"/>
      <c r="D478" s="3" t="str">
        <f t="shared" si="7"/>
        <v/>
      </c>
    </row>
    <row r="479" spans="1:4" ht="14.25" customHeight="1" x14ac:dyDescent="0.3">
      <c r="A479" s="7"/>
      <c r="B479" s="7"/>
      <c r="C479" s="7"/>
      <c r="D479" s="3" t="str">
        <f t="shared" si="7"/>
        <v/>
      </c>
    </row>
    <row r="480" spans="1:4" ht="14.25" customHeight="1" x14ac:dyDescent="0.3">
      <c r="A480" s="7"/>
      <c r="B480" s="7"/>
      <c r="C480" s="7"/>
      <c r="D480" s="3" t="str">
        <f t="shared" si="7"/>
        <v/>
      </c>
    </row>
    <row r="481" spans="1:4" ht="14.25" customHeight="1" x14ac:dyDescent="0.3">
      <c r="A481" s="7"/>
      <c r="B481" s="7"/>
      <c r="C481" s="7"/>
      <c r="D481" s="3" t="str">
        <f t="shared" si="7"/>
        <v/>
      </c>
    </row>
    <row r="482" spans="1:4" ht="14.25" customHeight="1" x14ac:dyDescent="0.3">
      <c r="A482" s="7"/>
      <c r="B482" s="7"/>
      <c r="C482" s="7"/>
      <c r="D482" s="3" t="str">
        <f t="shared" si="7"/>
        <v/>
      </c>
    </row>
    <row r="483" spans="1:4" ht="14.25" customHeight="1" x14ac:dyDescent="0.3">
      <c r="A483" s="7"/>
      <c r="B483" s="7"/>
      <c r="C483" s="7"/>
      <c r="D483" s="3" t="str">
        <f t="shared" si="7"/>
        <v/>
      </c>
    </row>
    <row r="484" spans="1:4" ht="14.25" customHeight="1" x14ac:dyDescent="0.3">
      <c r="A484" s="7"/>
      <c r="B484" s="7"/>
      <c r="C484" s="7"/>
      <c r="D484" s="3" t="str">
        <f t="shared" si="7"/>
        <v/>
      </c>
    </row>
    <row r="485" spans="1:4" ht="14.25" customHeight="1" x14ac:dyDescent="0.3">
      <c r="A485" s="7"/>
      <c r="B485" s="7"/>
      <c r="C485" s="7"/>
      <c r="D485" s="3" t="str">
        <f t="shared" si="7"/>
        <v/>
      </c>
    </row>
    <row r="486" spans="1:4" ht="14.25" customHeight="1" x14ac:dyDescent="0.3">
      <c r="A486" s="7"/>
      <c r="B486" s="7"/>
      <c r="C486" s="7"/>
      <c r="D486" s="3" t="str">
        <f t="shared" si="7"/>
        <v/>
      </c>
    </row>
    <row r="487" spans="1:4" ht="14.25" customHeight="1" x14ac:dyDescent="0.3">
      <c r="A487" s="7"/>
      <c r="B487" s="7"/>
      <c r="C487" s="7"/>
      <c r="D487" s="3" t="str">
        <f t="shared" si="7"/>
        <v/>
      </c>
    </row>
    <row r="488" spans="1:4" ht="14.25" customHeight="1" x14ac:dyDescent="0.3">
      <c r="A488" s="7"/>
      <c r="B488" s="7"/>
      <c r="C488" s="7"/>
      <c r="D488" s="3" t="str">
        <f t="shared" si="7"/>
        <v/>
      </c>
    </row>
    <row r="489" spans="1:4" ht="14.25" customHeight="1" x14ac:dyDescent="0.3">
      <c r="A489" s="7"/>
      <c r="B489" s="7"/>
      <c r="C489" s="7"/>
      <c r="D489" s="3" t="str">
        <f t="shared" si="7"/>
        <v/>
      </c>
    </row>
    <row r="490" spans="1:4" ht="14.25" customHeight="1" x14ac:dyDescent="0.3">
      <c r="A490" s="7"/>
      <c r="B490" s="7"/>
      <c r="C490" s="7"/>
      <c r="D490" s="3" t="str">
        <f t="shared" si="7"/>
        <v/>
      </c>
    </row>
    <row r="491" spans="1:4" ht="14.25" customHeight="1" x14ac:dyDescent="0.3">
      <c r="A491" s="7"/>
      <c r="B491" s="7"/>
      <c r="C491" s="7"/>
      <c r="D491" s="3" t="str">
        <f t="shared" si="7"/>
        <v/>
      </c>
    </row>
    <row r="492" spans="1:4" ht="14.25" customHeight="1" x14ac:dyDescent="0.3">
      <c r="A492" s="7"/>
      <c r="B492" s="7"/>
      <c r="C492" s="7"/>
      <c r="D492" s="3" t="str">
        <f t="shared" si="7"/>
        <v/>
      </c>
    </row>
    <row r="493" spans="1:4" ht="14.25" customHeight="1" x14ac:dyDescent="0.3">
      <c r="A493" s="7"/>
      <c r="B493" s="7"/>
      <c r="C493" s="7"/>
      <c r="D493" s="3" t="str">
        <f t="shared" si="7"/>
        <v/>
      </c>
    </row>
    <row r="494" spans="1:4" ht="14.25" customHeight="1" x14ac:dyDescent="0.3">
      <c r="A494" s="7"/>
      <c r="B494" s="7"/>
      <c r="C494" s="7"/>
      <c r="D494" s="3" t="str">
        <f t="shared" si="7"/>
        <v/>
      </c>
    </row>
    <row r="495" spans="1:4" ht="14.25" customHeight="1" x14ac:dyDescent="0.3">
      <c r="A495" s="7"/>
      <c r="B495" s="7"/>
      <c r="C495" s="7"/>
      <c r="D495" s="3" t="str">
        <f t="shared" si="7"/>
        <v/>
      </c>
    </row>
    <row r="496" spans="1:4" ht="14.25" customHeight="1" x14ac:dyDescent="0.3">
      <c r="A496" s="7"/>
      <c r="B496" s="7"/>
      <c r="C496" s="7"/>
      <c r="D496" s="3" t="str">
        <f t="shared" si="7"/>
        <v/>
      </c>
    </row>
    <row r="497" spans="1:4" ht="14.25" customHeight="1" x14ac:dyDescent="0.3">
      <c r="A497" s="7"/>
      <c r="B497" s="7"/>
      <c r="C497" s="7"/>
      <c r="D497" s="3" t="str">
        <f t="shared" si="7"/>
        <v/>
      </c>
    </row>
    <row r="498" spans="1:4" ht="14.25" customHeight="1" x14ac:dyDescent="0.3">
      <c r="A498" s="7"/>
      <c r="B498" s="7"/>
      <c r="C498" s="7"/>
      <c r="D498" s="3" t="str">
        <f t="shared" si="7"/>
        <v/>
      </c>
    </row>
    <row r="499" spans="1:4" ht="14.25" customHeight="1" x14ac:dyDescent="0.3">
      <c r="A499" s="7"/>
      <c r="B499" s="7"/>
      <c r="C499" s="7"/>
      <c r="D499" s="3" t="str">
        <f t="shared" si="7"/>
        <v/>
      </c>
    </row>
    <row r="500" spans="1:4" ht="14.25" customHeight="1" x14ac:dyDescent="0.3">
      <c r="A500" s="7"/>
      <c r="B500" s="7"/>
      <c r="C500" s="7"/>
      <c r="D500" s="3" t="str">
        <f t="shared" si="7"/>
        <v/>
      </c>
    </row>
    <row r="501" spans="1:4" ht="14.25" customHeight="1" x14ac:dyDescent="0.3">
      <c r="A501" s="15"/>
      <c r="B501" s="15"/>
      <c r="C501" s="15"/>
      <c r="D501" s="14"/>
    </row>
    <row r="502" spans="1:4" ht="14.25" customHeight="1" x14ac:dyDescent="0.3">
      <c r="A502" s="15"/>
      <c r="B502" s="15"/>
      <c r="C502" s="15"/>
      <c r="D502" s="14"/>
    </row>
    <row r="503" spans="1:4" ht="14.25" customHeight="1" x14ac:dyDescent="0.3">
      <c r="A503" s="15"/>
      <c r="B503" s="15"/>
      <c r="C503" s="15"/>
      <c r="D503" s="14"/>
    </row>
    <row r="504" spans="1:4" ht="14.25" customHeight="1" x14ac:dyDescent="0.3">
      <c r="A504" s="15"/>
      <c r="B504" s="15"/>
      <c r="C504" s="15"/>
      <c r="D504" s="14"/>
    </row>
    <row r="505" spans="1:4" ht="14.25" customHeight="1" x14ac:dyDescent="0.3">
      <c r="A505" s="15"/>
      <c r="B505" s="15"/>
      <c r="C505" s="15"/>
      <c r="D505" s="14"/>
    </row>
    <row r="506" spans="1:4" ht="14.25" customHeight="1" x14ac:dyDescent="0.3">
      <c r="A506" s="15"/>
      <c r="B506" s="15"/>
      <c r="C506" s="15"/>
      <c r="D506" s="14"/>
    </row>
    <row r="507" spans="1:4" ht="14.25" customHeight="1" x14ac:dyDescent="0.3">
      <c r="A507" s="15"/>
      <c r="B507" s="15"/>
      <c r="C507" s="15"/>
      <c r="D507" s="14"/>
    </row>
    <row r="508" spans="1:4" ht="14.25" customHeight="1" x14ac:dyDescent="0.3">
      <c r="A508" s="15"/>
      <c r="B508" s="15"/>
      <c r="C508" s="15"/>
      <c r="D508" s="14"/>
    </row>
    <row r="509" spans="1:4" ht="14.25" customHeight="1" x14ac:dyDescent="0.3">
      <c r="A509" s="15"/>
      <c r="B509" s="15"/>
      <c r="C509" s="15"/>
      <c r="D509" s="14"/>
    </row>
    <row r="510" spans="1:4" ht="14.25" customHeight="1" x14ac:dyDescent="0.3">
      <c r="A510" s="15"/>
      <c r="B510" s="15"/>
      <c r="C510" s="15"/>
      <c r="D510" s="14"/>
    </row>
    <row r="511" spans="1:4" ht="14.25" customHeight="1" x14ac:dyDescent="0.3">
      <c r="A511" s="15"/>
      <c r="B511" s="15"/>
      <c r="C511" s="15"/>
      <c r="D511" s="14"/>
    </row>
    <row r="512" spans="1:4" ht="14.25" customHeight="1" x14ac:dyDescent="0.3">
      <c r="A512" s="15"/>
      <c r="B512" s="15"/>
      <c r="C512" s="15"/>
      <c r="D512" s="14"/>
    </row>
    <row r="513" spans="1:4" ht="14.25" customHeight="1" x14ac:dyDescent="0.3">
      <c r="A513" s="15"/>
      <c r="B513" s="15"/>
      <c r="C513" s="15"/>
      <c r="D513" s="14"/>
    </row>
    <row r="514" spans="1:4" ht="14.25" customHeight="1" x14ac:dyDescent="0.3">
      <c r="A514" s="15"/>
      <c r="B514" s="15"/>
      <c r="C514" s="15"/>
      <c r="D514" s="14"/>
    </row>
    <row r="515" spans="1:4" ht="14.25" customHeight="1" x14ac:dyDescent="0.3">
      <c r="A515" s="15"/>
      <c r="B515" s="15"/>
      <c r="C515" s="15"/>
      <c r="D515" s="14"/>
    </row>
    <row r="516" spans="1:4" ht="14.25" customHeight="1" x14ac:dyDescent="0.3">
      <c r="A516" s="15"/>
      <c r="B516" s="15"/>
      <c r="C516" s="15"/>
      <c r="D516" s="14"/>
    </row>
    <row r="517" spans="1:4" ht="14.25" customHeight="1" x14ac:dyDescent="0.3">
      <c r="A517" s="15"/>
      <c r="B517" s="15"/>
      <c r="C517" s="15"/>
      <c r="D517" s="14"/>
    </row>
    <row r="518" spans="1:4" ht="14.25" customHeight="1" x14ac:dyDescent="0.3">
      <c r="A518" s="15"/>
      <c r="B518" s="15"/>
      <c r="C518" s="15"/>
      <c r="D518" s="14"/>
    </row>
    <row r="519" spans="1:4" ht="14.25" customHeight="1" x14ac:dyDescent="0.3">
      <c r="A519" s="15"/>
      <c r="B519" s="15"/>
      <c r="C519" s="15"/>
      <c r="D519" s="14"/>
    </row>
    <row r="520" spans="1:4" ht="14.25" customHeight="1" x14ac:dyDescent="0.3">
      <c r="A520" s="15"/>
      <c r="B520" s="15"/>
      <c r="C520" s="15"/>
      <c r="D520" s="14"/>
    </row>
    <row r="521" spans="1:4" ht="14.25" customHeight="1" x14ac:dyDescent="0.3">
      <c r="A521" s="15"/>
      <c r="B521" s="15"/>
      <c r="C521" s="15"/>
      <c r="D521" s="14"/>
    </row>
    <row r="522" spans="1:4" ht="14.25" customHeight="1" x14ac:dyDescent="0.3">
      <c r="A522" s="15"/>
      <c r="B522" s="15"/>
      <c r="C522" s="15"/>
      <c r="D522" s="14"/>
    </row>
    <row r="523" spans="1:4" ht="14.25" customHeight="1" x14ac:dyDescent="0.3">
      <c r="A523" s="15"/>
      <c r="B523" s="15"/>
      <c r="C523" s="15"/>
      <c r="D523" s="14"/>
    </row>
    <row r="524" spans="1:4" ht="14.25" customHeight="1" x14ac:dyDescent="0.3">
      <c r="A524" s="15"/>
      <c r="B524" s="15"/>
      <c r="C524" s="15"/>
      <c r="D524" s="14"/>
    </row>
    <row r="525" spans="1:4" ht="14.25" customHeight="1" x14ac:dyDescent="0.3">
      <c r="A525" s="15"/>
      <c r="B525" s="15"/>
      <c r="C525" s="15"/>
      <c r="D525" s="14"/>
    </row>
    <row r="526" spans="1:4" ht="14.25" customHeight="1" x14ac:dyDescent="0.3">
      <c r="A526" s="15"/>
      <c r="B526" s="15"/>
      <c r="C526" s="15"/>
      <c r="D526" s="14"/>
    </row>
    <row r="527" spans="1:4" ht="14.25" customHeight="1" x14ac:dyDescent="0.3">
      <c r="A527" s="15"/>
      <c r="B527" s="15"/>
      <c r="C527" s="15"/>
      <c r="D527" s="14"/>
    </row>
    <row r="528" spans="1:4" ht="14.25" customHeight="1" x14ac:dyDescent="0.3">
      <c r="A528" s="15"/>
      <c r="B528" s="15"/>
      <c r="C528" s="15"/>
      <c r="D528" s="14"/>
    </row>
    <row r="529" spans="1:4" ht="14.25" customHeight="1" x14ac:dyDescent="0.3">
      <c r="A529" s="15"/>
      <c r="B529" s="15"/>
      <c r="C529" s="15"/>
      <c r="D529" s="14"/>
    </row>
    <row r="530" spans="1:4" ht="14.25" customHeight="1" x14ac:dyDescent="0.3">
      <c r="A530" s="15"/>
      <c r="B530" s="15"/>
      <c r="C530" s="15"/>
      <c r="D530" s="14"/>
    </row>
    <row r="531" spans="1:4" ht="14.25" customHeight="1" x14ac:dyDescent="0.3">
      <c r="A531" s="15"/>
      <c r="B531" s="15"/>
      <c r="C531" s="15"/>
      <c r="D531" s="14"/>
    </row>
    <row r="532" spans="1:4" ht="14.25" customHeight="1" x14ac:dyDescent="0.3">
      <c r="A532" s="15"/>
      <c r="B532" s="15"/>
      <c r="C532" s="15"/>
      <c r="D532" s="14"/>
    </row>
    <row r="533" spans="1:4" ht="14.25" customHeight="1" x14ac:dyDescent="0.3">
      <c r="A533" s="15"/>
      <c r="B533" s="15"/>
      <c r="C533" s="15"/>
      <c r="D533" s="14"/>
    </row>
    <row r="534" spans="1:4" ht="14.25" customHeight="1" x14ac:dyDescent="0.3">
      <c r="A534" s="15"/>
      <c r="B534" s="15"/>
      <c r="C534" s="15"/>
      <c r="D534" s="14"/>
    </row>
    <row r="535" spans="1:4" ht="14.25" customHeight="1" x14ac:dyDescent="0.3">
      <c r="A535" s="15"/>
      <c r="B535" s="15"/>
      <c r="C535" s="15"/>
      <c r="D535" s="14"/>
    </row>
    <row r="536" spans="1:4" ht="14.25" customHeight="1" x14ac:dyDescent="0.3">
      <c r="A536" s="15"/>
      <c r="B536" s="15"/>
      <c r="C536" s="15"/>
      <c r="D536" s="14"/>
    </row>
    <row r="537" spans="1:4" ht="14.25" customHeight="1" x14ac:dyDescent="0.3">
      <c r="A537" s="15"/>
      <c r="B537" s="15"/>
      <c r="C537" s="15"/>
      <c r="D537" s="14"/>
    </row>
    <row r="538" spans="1:4" ht="14.25" customHeight="1" x14ac:dyDescent="0.3">
      <c r="A538" s="15"/>
      <c r="B538" s="15"/>
      <c r="C538" s="15"/>
      <c r="D538" s="14"/>
    </row>
    <row r="539" spans="1:4" ht="14.25" customHeight="1" x14ac:dyDescent="0.3">
      <c r="A539" s="15"/>
      <c r="B539" s="15"/>
      <c r="C539" s="15"/>
      <c r="D539" s="14"/>
    </row>
    <row r="540" spans="1:4" ht="14.25" customHeight="1" x14ac:dyDescent="0.3">
      <c r="A540" s="15"/>
      <c r="B540" s="15"/>
      <c r="C540" s="15"/>
      <c r="D540" s="14"/>
    </row>
    <row r="541" spans="1:4" ht="14.25" customHeight="1" x14ac:dyDescent="0.3">
      <c r="A541" s="15"/>
      <c r="B541" s="15"/>
      <c r="C541" s="15"/>
      <c r="D541" s="14"/>
    </row>
    <row r="542" spans="1:4" ht="14.25" customHeight="1" x14ac:dyDescent="0.3">
      <c r="A542" s="15"/>
      <c r="B542" s="15"/>
      <c r="C542" s="15"/>
      <c r="D542" s="14"/>
    </row>
    <row r="543" spans="1:4" ht="14.25" customHeight="1" x14ac:dyDescent="0.3">
      <c r="A543" s="15"/>
      <c r="B543" s="15"/>
      <c r="C543" s="15"/>
      <c r="D543" s="14"/>
    </row>
    <row r="544" spans="1:4" ht="14.25" customHeight="1" x14ac:dyDescent="0.3">
      <c r="A544" s="15"/>
      <c r="B544" s="15"/>
      <c r="C544" s="15"/>
      <c r="D544" s="14"/>
    </row>
    <row r="545" spans="1:4" ht="14.25" customHeight="1" x14ac:dyDescent="0.3">
      <c r="A545" s="15"/>
      <c r="B545" s="15"/>
      <c r="C545" s="15"/>
      <c r="D545" s="14"/>
    </row>
    <row r="546" spans="1:4" ht="14.25" customHeight="1" x14ac:dyDescent="0.3">
      <c r="A546" s="15"/>
      <c r="B546" s="15"/>
      <c r="C546" s="15"/>
      <c r="D546" s="14"/>
    </row>
    <row r="547" spans="1:4" ht="14.25" customHeight="1" x14ac:dyDescent="0.3">
      <c r="A547" s="15"/>
      <c r="B547" s="15"/>
      <c r="C547" s="15"/>
      <c r="D547" s="14"/>
    </row>
    <row r="548" spans="1:4" ht="14.25" customHeight="1" x14ac:dyDescent="0.3">
      <c r="A548" s="15"/>
      <c r="B548" s="15"/>
      <c r="C548" s="15"/>
      <c r="D548" s="14"/>
    </row>
    <row r="549" spans="1:4" ht="14.25" customHeight="1" x14ac:dyDescent="0.3">
      <c r="A549" s="15"/>
      <c r="B549" s="15"/>
      <c r="C549" s="15"/>
      <c r="D549" s="14"/>
    </row>
    <row r="550" spans="1:4" ht="14.25" customHeight="1" x14ac:dyDescent="0.3">
      <c r="A550" s="15"/>
      <c r="B550" s="15"/>
      <c r="C550" s="15"/>
      <c r="D550" s="14"/>
    </row>
    <row r="551" spans="1:4" ht="14.25" customHeight="1" x14ac:dyDescent="0.3">
      <c r="A551" s="15"/>
      <c r="B551" s="15"/>
      <c r="C551" s="15"/>
      <c r="D551" s="14"/>
    </row>
    <row r="552" spans="1:4" ht="14.25" customHeight="1" x14ac:dyDescent="0.3">
      <c r="A552" s="15"/>
      <c r="B552" s="15"/>
      <c r="C552" s="15"/>
      <c r="D552" s="14"/>
    </row>
    <row r="553" spans="1:4" ht="14.25" customHeight="1" x14ac:dyDescent="0.3">
      <c r="A553" s="15"/>
      <c r="B553" s="15"/>
      <c r="C553" s="15"/>
      <c r="D553" s="14"/>
    </row>
    <row r="554" spans="1:4" ht="14.25" customHeight="1" x14ac:dyDescent="0.3">
      <c r="A554" s="15"/>
      <c r="B554" s="15"/>
      <c r="C554" s="15"/>
      <c r="D554" s="14"/>
    </row>
    <row r="555" spans="1:4" ht="14.25" customHeight="1" x14ac:dyDescent="0.3">
      <c r="A555" s="15"/>
      <c r="B555" s="15"/>
      <c r="C555" s="15"/>
      <c r="D555" s="14"/>
    </row>
    <row r="556" spans="1:4" ht="14.25" customHeight="1" x14ac:dyDescent="0.3">
      <c r="A556" s="15"/>
      <c r="B556" s="15"/>
      <c r="C556" s="15"/>
      <c r="D556" s="14"/>
    </row>
    <row r="557" spans="1:4" ht="14.25" customHeight="1" x14ac:dyDescent="0.3">
      <c r="A557" s="15"/>
      <c r="B557" s="15"/>
      <c r="C557" s="15"/>
      <c r="D557" s="14"/>
    </row>
    <row r="558" spans="1:4" ht="14.25" customHeight="1" x14ac:dyDescent="0.3">
      <c r="A558" s="15"/>
      <c r="B558" s="15"/>
      <c r="C558" s="15"/>
      <c r="D558" s="14"/>
    </row>
    <row r="559" spans="1:4" ht="14.25" customHeight="1" x14ac:dyDescent="0.3">
      <c r="A559" s="15"/>
      <c r="B559" s="15"/>
      <c r="C559" s="15"/>
      <c r="D559" s="14"/>
    </row>
    <row r="560" spans="1:4" ht="14.25" customHeight="1" x14ac:dyDescent="0.3">
      <c r="A560" s="15"/>
      <c r="B560" s="15"/>
      <c r="C560" s="15"/>
      <c r="D560" s="14"/>
    </row>
    <row r="561" spans="1:4" ht="14.25" customHeight="1" x14ac:dyDescent="0.3">
      <c r="A561" s="15"/>
      <c r="B561" s="15"/>
      <c r="C561" s="15"/>
      <c r="D561" s="14"/>
    </row>
    <row r="562" spans="1:4" ht="14.25" customHeight="1" x14ac:dyDescent="0.3">
      <c r="A562" s="15"/>
      <c r="B562" s="15"/>
      <c r="C562" s="15"/>
      <c r="D562" s="14"/>
    </row>
    <row r="563" spans="1:4" ht="14.25" customHeight="1" x14ac:dyDescent="0.3">
      <c r="A563" s="15"/>
      <c r="B563" s="15"/>
      <c r="C563" s="15"/>
      <c r="D563" s="14"/>
    </row>
    <row r="564" spans="1:4" ht="14.25" customHeight="1" x14ac:dyDescent="0.3">
      <c r="A564" s="15"/>
      <c r="B564" s="15"/>
      <c r="C564" s="15"/>
      <c r="D564" s="14"/>
    </row>
    <row r="565" spans="1:4" ht="14.25" customHeight="1" x14ac:dyDescent="0.3">
      <c r="A565" s="15"/>
      <c r="B565" s="15"/>
      <c r="C565" s="15"/>
      <c r="D565" s="14"/>
    </row>
    <row r="566" spans="1:4" ht="14.25" customHeight="1" x14ac:dyDescent="0.3">
      <c r="A566" s="15"/>
      <c r="B566" s="15"/>
      <c r="C566" s="15"/>
      <c r="D566" s="14"/>
    </row>
    <row r="567" spans="1:4" ht="14.25" customHeight="1" x14ac:dyDescent="0.3">
      <c r="A567" s="15"/>
      <c r="B567" s="15"/>
      <c r="C567" s="15"/>
      <c r="D567" s="14"/>
    </row>
    <row r="568" spans="1:4" ht="14.25" customHeight="1" x14ac:dyDescent="0.3">
      <c r="A568" s="15"/>
      <c r="B568" s="15"/>
      <c r="C568" s="15"/>
      <c r="D568" s="14"/>
    </row>
    <row r="569" spans="1:4" ht="14.25" customHeight="1" x14ac:dyDescent="0.3">
      <c r="A569" s="15"/>
      <c r="B569" s="15"/>
      <c r="C569" s="15"/>
      <c r="D569" s="14"/>
    </row>
    <row r="570" spans="1:4" ht="14.25" customHeight="1" x14ac:dyDescent="0.3">
      <c r="A570" s="15"/>
      <c r="B570" s="15"/>
      <c r="C570" s="15"/>
      <c r="D570" s="14"/>
    </row>
    <row r="571" spans="1:4" ht="14.25" customHeight="1" x14ac:dyDescent="0.3">
      <c r="A571" s="15"/>
      <c r="B571" s="15"/>
      <c r="C571" s="15"/>
      <c r="D571" s="14"/>
    </row>
    <row r="572" spans="1:4" ht="14.25" customHeight="1" x14ac:dyDescent="0.3">
      <c r="A572" s="15"/>
      <c r="B572" s="15"/>
      <c r="C572" s="15"/>
      <c r="D572" s="14"/>
    </row>
    <row r="573" spans="1:4" ht="14.25" customHeight="1" x14ac:dyDescent="0.3">
      <c r="A573" s="15"/>
      <c r="B573" s="15"/>
      <c r="C573" s="15"/>
      <c r="D573" s="14"/>
    </row>
    <row r="574" spans="1:4" ht="14.25" customHeight="1" x14ac:dyDescent="0.3">
      <c r="A574" s="15"/>
      <c r="B574" s="15"/>
      <c r="C574" s="15"/>
      <c r="D574" s="14"/>
    </row>
    <row r="575" spans="1:4" ht="14.25" customHeight="1" x14ac:dyDescent="0.3">
      <c r="A575" s="15"/>
      <c r="B575" s="15"/>
      <c r="C575" s="15"/>
      <c r="D575" s="14"/>
    </row>
    <row r="576" spans="1:4" ht="14.25" customHeight="1" x14ac:dyDescent="0.3">
      <c r="A576" s="15"/>
      <c r="B576" s="15"/>
      <c r="C576" s="15"/>
      <c r="D576" s="14"/>
    </row>
    <row r="577" spans="1:4" ht="14.25" customHeight="1" x14ac:dyDescent="0.3">
      <c r="A577" s="15"/>
      <c r="B577" s="15"/>
      <c r="C577" s="15"/>
      <c r="D577" s="14"/>
    </row>
    <row r="578" spans="1:4" ht="14.25" customHeight="1" x14ac:dyDescent="0.3">
      <c r="A578" s="15"/>
      <c r="B578" s="15"/>
      <c r="C578" s="15"/>
      <c r="D578" s="14"/>
    </row>
    <row r="579" spans="1:4" ht="14.25" customHeight="1" x14ac:dyDescent="0.3">
      <c r="A579" s="15"/>
      <c r="B579" s="15"/>
      <c r="C579" s="15"/>
      <c r="D579" s="14"/>
    </row>
    <row r="580" spans="1:4" ht="14.25" customHeight="1" x14ac:dyDescent="0.3">
      <c r="A580" s="15"/>
      <c r="B580" s="15"/>
      <c r="C580" s="15"/>
      <c r="D580" s="14"/>
    </row>
    <row r="581" spans="1:4" ht="14.25" customHeight="1" x14ac:dyDescent="0.3">
      <c r="A581" s="15"/>
      <c r="B581" s="15"/>
      <c r="C581" s="15"/>
      <c r="D581" s="14"/>
    </row>
    <row r="582" spans="1:4" ht="14.25" customHeight="1" x14ac:dyDescent="0.3">
      <c r="A582" s="15"/>
      <c r="B582" s="15"/>
      <c r="C582" s="15"/>
      <c r="D582" s="14"/>
    </row>
    <row r="583" spans="1:4" ht="14.25" customHeight="1" x14ac:dyDescent="0.3">
      <c r="A583" s="15"/>
      <c r="B583" s="15"/>
      <c r="C583" s="15"/>
      <c r="D583" s="14"/>
    </row>
    <row r="584" spans="1:4" ht="14.25" customHeight="1" x14ac:dyDescent="0.3">
      <c r="A584" s="15"/>
      <c r="B584" s="15"/>
      <c r="C584" s="15"/>
      <c r="D584" s="14"/>
    </row>
    <row r="585" spans="1:4" ht="14.25" customHeight="1" x14ac:dyDescent="0.3">
      <c r="A585" s="15"/>
      <c r="B585" s="15"/>
      <c r="C585" s="15"/>
      <c r="D585" s="14"/>
    </row>
    <row r="586" spans="1:4" ht="14.25" customHeight="1" x14ac:dyDescent="0.3">
      <c r="A586" s="15"/>
      <c r="B586" s="15"/>
      <c r="C586" s="15"/>
      <c r="D586" s="14"/>
    </row>
    <row r="587" spans="1:4" ht="14.25" customHeight="1" x14ac:dyDescent="0.3">
      <c r="A587" s="15"/>
      <c r="B587" s="15"/>
      <c r="C587" s="15"/>
      <c r="D587" s="14"/>
    </row>
    <row r="588" spans="1:4" ht="14.25" customHeight="1" x14ac:dyDescent="0.3">
      <c r="A588" s="15"/>
      <c r="B588" s="15"/>
      <c r="C588" s="15"/>
      <c r="D588" s="14"/>
    </row>
    <row r="589" spans="1:4" ht="14.25" customHeight="1" x14ac:dyDescent="0.3">
      <c r="A589" s="15"/>
      <c r="B589" s="15"/>
      <c r="C589" s="15"/>
      <c r="D589" s="14"/>
    </row>
    <row r="590" spans="1:4" ht="14.25" customHeight="1" x14ac:dyDescent="0.3">
      <c r="A590" s="15"/>
      <c r="B590" s="15"/>
      <c r="C590" s="15"/>
      <c r="D590" s="14"/>
    </row>
    <row r="591" spans="1:4" ht="14.25" customHeight="1" x14ac:dyDescent="0.3">
      <c r="A591" s="15"/>
      <c r="B591" s="15"/>
      <c r="C591" s="15"/>
      <c r="D591" s="14"/>
    </row>
    <row r="592" spans="1:4" ht="14.25" customHeight="1" x14ac:dyDescent="0.3">
      <c r="A592" s="15"/>
      <c r="B592" s="15"/>
      <c r="C592" s="15"/>
      <c r="D592" s="14"/>
    </row>
    <row r="593" spans="1:4" ht="14.25" customHeight="1" x14ac:dyDescent="0.3">
      <c r="A593" s="15"/>
      <c r="B593" s="15"/>
      <c r="C593" s="15"/>
      <c r="D593" s="14"/>
    </row>
    <row r="594" spans="1:4" ht="14.25" customHeight="1" x14ac:dyDescent="0.3">
      <c r="A594" s="15"/>
      <c r="B594" s="15"/>
      <c r="C594" s="15"/>
      <c r="D594" s="14"/>
    </row>
    <row r="595" spans="1:4" ht="14.25" customHeight="1" x14ac:dyDescent="0.3">
      <c r="A595" s="15"/>
      <c r="B595" s="15"/>
      <c r="C595" s="15"/>
      <c r="D595" s="14"/>
    </row>
    <row r="596" spans="1:4" ht="14.25" customHeight="1" x14ac:dyDescent="0.3">
      <c r="A596" s="15"/>
      <c r="B596" s="15"/>
      <c r="C596" s="15"/>
      <c r="D596" s="14"/>
    </row>
    <row r="597" spans="1:4" ht="14.25" customHeight="1" x14ac:dyDescent="0.3">
      <c r="A597" s="15"/>
      <c r="B597" s="15"/>
      <c r="C597" s="15"/>
      <c r="D597" s="14"/>
    </row>
    <row r="598" spans="1:4" ht="14.25" customHeight="1" x14ac:dyDescent="0.3">
      <c r="A598" s="15"/>
      <c r="B598" s="15"/>
      <c r="C598" s="15"/>
      <c r="D598" s="14"/>
    </row>
    <row r="599" spans="1:4" ht="14.25" customHeight="1" x14ac:dyDescent="0.3">
      <c r="A599" s="15"/>
      <c r="B599" s="15"/>
      <c r="C599" s="15"/>
      <c r="D599" s="14"/>
    </row>
    <row r="600" spans="1:4" ht="14.25" customHeight="1" x14ac:dyDescent="0.3">
      <c r="A600" s="15"/>
      <c r="B600" s="15"/>
      <c r="C600" s="15"/>
      <c r="D600" s="14"/>
    </row>
    <row r="601" spans="1:4" ht="14.25" customHeight="1" x14ac:dyDescent="0.3">
      <c r="A601" s="15"/>
      <c r="B601" s="15"/>
      <c r="C601" s="15"/>
      <c r="D601" s="14"/>
    </row>
    <row r="602" spans="1:4" ht="14.25" customHeight="1" x14ac:dyDescent="0.3">
      <c r="A602" s="15"/>
      <c r="B602" s="15"/>
      <c r="C602" s="15"/>
      <c r="D602" s="14"/>
    </row>
    <row r="603" spans="1:4" ht="14.25" customHeight="1" x14ac:dyDescent="0.3">
      <c r="A603" s="15"/>
      <c r="B603" s="15"/>
      <c r="C603" s="15"/>
      <c r="D603" s="14"/>
    </row>
    <row r="604" spans="1:4" ht="14.25" customHeight="1" x14ac:dyDescent="0.3">
      <c r="A604" s="15"/>
      <c r="B604" s="15"/>
      <c r="C604" s="15"/>
      <c r="D604" s="14"/>
    </row>
    <row r="605" spans="1:4" ht="14.25" customHeight="1" x14ac:dyDescent="0.3">
      <c r="A605" s="15"/>
      <c r="B605" s="15"/>
      <c r="C605" s="15"/>
      <c r="D605" s="14"/>
    </row>
    <row r="606" spans="1:4" ht="14.25" customHeight="1" x14ac:dyDescent="0.3">
      <c r="A606" s="15"/>
      <c r="B606" s="15"/>
      <c r="C606" s="15"/>
      <c r="D606" s="14"/>
    </row>
    <row r="607" spans="1:4" ht="14.25" customHeight="1" x14ac:dyDescent="0.3">
      <c r="A607" s="15"/>
      <c r="B607" s="15"/>
      <c r="C607" s="15"/>
      <c r="D607" s="14"/>
    </row>
    <row r="608" spans="1:4" ht="14.25" customHeight="1" x14ac:dyDescent="0.3">
      <c r="A608" s="15"/>
      <c r="B608" s="15"/>
      <c r="C608" s="15"/>
      <c r="D608" s="14"/>
    </row>
    <row r="609" spans="1:4" ht="14.25" customHeight="1" x14ac:dyDescent="0.3">
      <c r="A609" s="15"/>
      <c r="B609" s="15"/>
      <c r="C609" s="15"/>
      <c r="D609" s="14"/>
    </row>
    <row r="610" spans="1:4" ht="14.25" customHeight="1" x14ac:dyDescent="0.3">
      <c r="A610" s="15"/>
      <c r="B610" s="15"/>
      <c r="C610" s="15"/>
      <c r="D610" s="14"/>
    </row>
    <row r="611" spans="1:4" ht="14.25" customHeight="1" x14ac:dyDescent="0.3">
      <c r="A611" s="15"/>
      <c r="B611" s="15"/>
      <c r="C611" s="15"/>
      <c r="D611" s="14"/>
    </row>
    <row r="612" spans="1:4" ht="14.25" customHeight="1" x14ac:dyDescent="0.3">
      <c r="A612" s="15"/>
      <c r="B612" s="15"/>
      <c r="C612" s="15"/>
      <c r="D612" s="14"/>
    </row>
    <row r="613" spans="1:4" ht="14.25" customHeight="1" x14ac:dyDescent="0.3">
      <c r="A613" s="15"/>
      <c r="B613" s="15"/>
      <c r="C613" s="15"/>
      <c r="D613" s="14"/>
    </row>
    <row r="614" spans="1:4" ht="14.25" customHeight="1" x14ac:dyDescent="0.3">
      <c r="A614" s="15"/>
      <c r="B614" s="15"/>
      <c r="C614" s="15"/>
      <c r="D614" s="14"/>
    </row>
    <row r="615" spans="1:4" ht="14.25" customHeight="1" x14ac:dyDescent="0.3">
      <c r="A615" s="15"/>
      <c r="B615" s="15"/>
      <c r="C615" s="15"/>
      <c r="D615" s="14"/>
    </row>
    <row r="616" spans="1:4" ht="14.25" customHeight="1" x14ac:dyDescent="0.3">
      <c r="A616" s="15"/>
      <c r="B616" s="15"/>
      <c r="C616" s="15"/>
      <c r="D616" s="14"/>
    </row>
    <row r="617" spans="1:4" ht="14.25" customHeight="1" x14ac:dyDescent="0.3">
      <c r="A617" s="15"/>
      <c r="B617" s="15"/>
      <c r="C617" s="15"/>
      <c r="D617" s="14"/>
    </row>
    <row r="618" spans="1:4" ht="14.25" customHeight="1" x14ac:dyDescent="0.3">
      <c r="A618" s="15"/>
      <c r="B618" s="15"/>
      <c r="C618" s="15"/>
      <c r="D618" s="14"/>
    </row>
    <row r="619" spans="1:4" ht="14.25" customHeight="1" x14ac:dyDescent="0.3">
      <c r="A619" s="15"/>
      <c r="B619" s="15"/>
      <c r="C619" s="15"/>
      <c r="D619" s="14"/>
    </row>
    <row r="620" spans="1:4" ht="14.25" customHeight="1" x14ac:dyDescent="0.3">
      <c r="A620" s="15"/>
      <c r="B620" s="15"/>
      <c r="C620" s="15"/>
      <c r="D620" s="14"/>
    </row>
    <row r="621" spans="1:4" ht="14.25" customHeight="1" x14ac:dyDescent="0.3">
      <c r="A621" s="15"/>
      <c r="B621" s="15"/>
      <c r="C621" s="15"/>
      <c r="D621" s="14"/>
    </row>
    <row r="622" spans="1:4" ht="14.25" customHeight="1" x14ac:dyDescent="0.3">
      <c r="A622" s="15"/>
      <c r="B622" s="15"/>
      <c r="C622" s="15"/>
      <c r="D622" s="14"/>
    </row>
    <row r="623" spans="1:4" ht="14.25" customHeight="1" x14ac:dyDescent="0.3">
      <c r="A623" s="15"/>
      <c r="B623" s="15"/>
      <c r="C623" s="15"/>
      <c r="D623" s="14"/>
    </row>
    <row r="624" spans="1:4" ht="14.25" customHeight="1" x14ac:dyDescent="0.3">
      <c r="A624" s="15"/>
      <c r="B624" s="15"/>
      <c r="C624" s="15"/>
      <c r="D624" s="14"/>
    </row>
    <row r="625" spans="1:4" ht="14.25" customHeight="1" x14ac:dyDescent="0.3">
      <c r="A625" s="15"/>
      <c r="B625" s="15"/>
      <c r="C625" s="15"/>
      <c r="D625" s="14"/>
    </row>
    <row r="626" spans="1:4" ht="14.25" customHeight="1" x14ac:dyDescent="0.3">
      <c r="A626" s="15"/>
      <c r="B626" s="15"/>
      <c r="C626" s="15"/>
      <c r="D626" s="14"/>
    </row>
    <row r="627" spans="1:4" ht="14.25" customHeight="1" x14ac:dyDescent="0.3">
      <c r="A627" s="15"/>
      <c r="B627" s="15"/>
      <c r="C627" s="15"/>
      <c r="D627" s="14"/>
    </row>
    <row r="628" spans="1:4" ht="14.25" customHeight="1" x14ac:dyDescent="0.3">
      <c r="A628" s="15"/>
      <c r="B628" s="15"/>
      <c r="C628" s="15"/>
      <c r="D628" s="14"/>
    </row>
    <row r="629" spans="1:4" ht="14.25" customHeight="1" x14ac:dyDescent="0.3">
      <c r="A629" s="15"/>
      <c r="B629" s="15"/>
      <c r="C629" s="15"/>
      <c r="D629" s="14"/>
    </row>
    <row r="630" spans="1:4" ht="14.25" customHeight="1" x14ac:dyDescent="0.3">
      <c r="A630" s="15"/>
      <c r="B630" s="15"/>
      <c r="C630" s="15"/>
      <c r="D630" s="14"/>
    </row>
    <row r="631" spans="1:4" ht="14.25" customHeight="1" x14ac:dyDescent="0.3">
      <c r="A631" s="15"/>
      <c r="B631" s="15"/>
      <c r="C631" s="15"/>
      <c r="D631" s="14"/>
    </row>
    <row r="632" spans="1:4" ht="14.25" customHeight="1" x14ac:dyDescent="0.3">
      <c r="A632" s="15"/>
      <c r="B632" s="15"/>
      <c r="C632" s="15"/>
      <c r="D632" s="14"/>
    </row>
    <row r="633" spans="1:4" ht="14.25" customHeight="1" x14ac:dyDescent="0.3">
      <c r="A633" s="15"/>
      <c r="B633" s="15"/>
      <c r="C633" s="15"/>
      <c r="D633" s="14"/>
    </row>
    <row r="634" spans="1:4" ht="14.25" customHeight="1" x14ac:dyDescent="0.3">
      <c r="A634" s="15"/>
      <c r="B634" s="15"/>
      <c r="C634" s="15"/>
      <c r="D634" s="14"/>
    </row>
    <row r="635" spans="1:4" ht="14.25" customHeight="1" x14ac:dyDescent="0.3">
      <c r="A635" s="15"/>
      <c r="B635" s="15"/>
      <c r="C635" s="15"/>
      <c r="D635" s="14"/>
    </row>
    <row r="636" spans="1:4" ht="14.25" customHeight="1" x14ac:dyDescent="0.3">
      <c r="A636" s="15"/>
      <c r="B636" s="15"/>
      <c r="C636" s="15"/>
      <c r="D636" s="14"/>
    </row>
    <row r="637" spans="1:4" ht="14.25" customHeight="1" x14ac:dyDescent="0.3">
      <c r="A637" s="15"/>
      <c r="B637" s="15"/>
      <c r="C637" s="15"/>
      <c r="D637" s="14"/>
    </row>
    <row r="638" spans="1:4" ht="14.25" customHeight="1" x14ac:dyDescent="0.3">
      <c r="A638" s="15"/>
      <c r="B638" s="15"/>
      <c r="C638" s="15"/>
      <c r="D638" s="14"/>
    </row>
    <row r="639" spans="1:4" ht="14.25" customHeight="1" x14ac:dyDescent="0.3">
      <c r="A639" s="15"/>
      <c r="B639" s="15"/>
      <c r="C639" s="15"/>
      <c r="D639" s="14"/>
    </row>
    <row r="640" spans="1:4" ht="14.25" customHeight="1" x14ac:dyDescent="0.3">
      <c r="A640" s="15"/>
      <c r="B640" s="15"/>
      <c r="C640" s="15"/>
      <c r="D640" s="14"/>
    </row>
    <row r="641" spans="1:4" ht="14.25" customHeight="1" x14ac:dyDescent="0.3">
      <c r="A641" s="15"/>
      <c r="B641" s="15"/>
      <c r="C641" s="15"/>
      <c r="D641" s="14"/>
    </row>
    <row r="642" spans="1:4" ht="14.25" customHeight="1" x14ac:dyDescent="0.3">
      <c r="A642" s="15"/>
      <c r="B642" s="15"/>
      <c r="C642" s="15"/>
      <c r="D642" s="14"/>
    </row>
    <row r="643" spans="1:4" ht="14.25" customHeight="1" x14ac:dyDescent="0.3">
      <c r="A643" s="15"/>
      <c r="B643" s="15"/>
      <c r="C643" s="15"/>
      <c r="D643" s="14"/>
    </row>
    <row r="644" spans="1:4" ht="14.25" customHeight="1" x14ac:dyDescent="0.3">
      <c r="A644" s="15"/>
      <c r="B644" s="15"/>
      <c r="C644" s="15"/>
      <c r="D644" s="14"/>
    </row>
    <row r="645" spans="1:4" ht="14.25" customHeight="1" x14ac:dyDescent="0.3">
      <c r="A645" s="15"/>
      <c r="B645" s="15"/>
      <c r="C645" s="15"/>
      <c r="D645" s="14"/>
    </row>
    <row r="646" spans="1:4" ht="14.25" customHeight="1" x14ac:dyDescent="0.3">
      <c r="A646" s="15"/>
      <c r="B646" s="15"/>
      <c r="C646" s="15"/>
      <c r="D646" s="14"/>
    </row>
    <row r="647" spans="1:4" ht="14.25" customHeight="1" x14ac:dyDescent="0.3">
      <c r="A647" s="15"/>
      <c r="B647" s="15"/>
      <c r="C647" s="15"/>
      <c r="D647" s="14"/>
    </row>
    <row r="648" spans="1:4" ht="14.25" customHeight="1" x14ac:dyDescent="0.3">
      <c r="A648" s="15"/>
      <c r="B648" s="15"/>
      <c r="C648" s="15"/>
      <c r="D648" s="14"/>
    </row>
    <row r="649" spans="1:4" ht="14.25" customHeight="1" x14ac:dyDescent="0.3">
      <c r="A649" s="15"/>
      <c r="B649" s="15"/>
      <c r="C649" s="15"/>
      <c r="D649" s="14"/>
    </row>
    <row r="650" spans="1:4" ht="14.25" customHeight="1" x14ac:dyDescent="0.3">
      <c r="A650" s="15"/>
      <c r="B650" s="15"/>
      <c r="C650" s="15"/>
      <c r="D650" s="14"/>
    </row>
    <row r="651" spans="1:4" ht="14.25" customHeight="1" x14ac:dyDescent="0.3">
      <c r="A651" s="15"/>
      <c r="B651" s="15"/>
      <c r="C651" s="15"/>
      <c r="D651" s="14"/>
    </row>
    <row r="652" spans="1:4" ht="14.25" customHeight="1" x14ac:dyDescent="0.3">
      <c r="A652" s="15"/>
      <c r="B652" s="15"/>
      <c r="C652" s="15"/>
      <c r="D652" s="14"/>
    </row>
    <row r="653" spans="1:4" ht="14.25" customHeight="1" x14ac:dyDescent="0.3">
      <c r="A653" s="15"/>
      <c r="B653" s="15"/>
      <c r="C653" s="15"/>
      <c r="D653" s="14"/>
    </row>
    <row r="654" spans="1:4" ht="14.25" customHeight="1" x14ac:dyDescent="0.3">
      <c r="A654" s="15"/>
      <c r="B654" s="15"/>
      <c r="C654" s="15"/>
      <c r="D654" s="14"/>
    </row>
    <row r="655" spans="1:4" ht="14.25" customHeight="1" x14ac:dyDescent="0.3">
      <c r="A655" s="15"/>
      <c r="B655" s="15"/>
      <c r="C655" s="15"/>
      <c r="D655" s="14"/>
    </row>
    <row r="656" spans="1:4" ht="14.25" customHeight="1" x14ac:dyDescent="0.3">
      <c r="A656" s="15"/>
      <c r="B656" s="15"/>
      <c r="C656" s="15"/>
      <c r="D656" s="14"/>
    </row>
    <row r="657" spans="1:4" ht="14.25" customHeight="1" x14ac:dyDescent="0.3">
      <c r="A657" s="15"/>
      <c r="B657" s="15"/>
      <c r="C657" s="15"/>
      <c r="D657" s="14"/>
    </row>
    <row r="658" spans="1:4" ht="14.25" customHeight="1" x14ac:dyDescent="0.3">
      <c r="A658" s="15"/>
      <c r="B658" s="15"/>
      <c r="C658" s="15"/>
      <c r="D658" s="14"/>
    </row>
    <row r="659" spans="1:4" ht="14.25" customHeight="1" x14ac:dyDescent="0.3">
      <c r="A659" s="15"/>
      <c r="B659" s="15"/>
      <c r="C659" s="15"/>
      <c r="D659" s="14"/>
    </row>
    <row r="660" spans="1:4" ht="14.25" customHeight="1" x14ac:dyDescent="0.3">
      <c r="A660" s="15"/>
      <c r="B660" s="15"/>
      <c r="C660" s="15"/>
      <c r="D660" s="14"/>
    </row>
    <row r="661" spans="1:4" ht="14.25" customHeight="1" x14ac:dyDescent="0.3">
      <c r="A661" s="15"/>
      <c r="B661" s="15"/>
      <c r="C661" s="15"/>
      <c r="D661" s="14"/>
    </row>
    <row r="662" spans="1:4" ht="14.25" customHeight="1" x14ac:dyDescent="0.3">
      <c r="A662" s="15"/>
      <c r="B662" s="15"/>
      <c r="C662" s="15"/>
      <c r="D662" s="14"/>
    </row>
    <row r="663" spans="1:4" ht="14.25" customHeight="1" x14ac:dyDescent="0.3">
      <c r="A663" s="15"/>
      <c r="B663" s="15"/>
      <c r="C663" s="15"/>
      <c r="D663" s="14"/>
    </row>
    <row r="664" spans="1:4" ht="14.25" customHeight="1" x14ac:dyDescent="0.3">
      <c r="A664" s="15"/>
      <c r="B664" s="15"/>
      <c r="C664" s="15"/>
      <c r="D664" s="14"/>
    </row>
    <row r="665" spans="1:4" ht="14.25" customHeight="1" x14ac:dyDescent="0.3">
      <c r="A665" s="15"/>
      <c r="B665" s="15"/>
      <c r="C665" s="15"/>
      <c r="D665" s="14"/>
    </row>
    <row r="666" spans="1:4" ht="14.25" customHeight="1" x14ac:dyDescent="0.3">
      <c r="A666" s="15"/>
      <c r="B666" s="15"/>
      <c r="C666" s="15"/>
      <c r="D666" s="14"/>
    </row>
    <row r="667" spans="1:4" ht="14.25" customHeight="1" x14ac:dyDescent="0.3">
      <c r="A667" s="15"/>
      <c r="B667" s="15"/>
      <c r="C667" s="15"/>
      <c r="D667" s="14"/>
    </row>
    <row r="668" spans="1:4" ht="14.25" customHeight="1" x14ac:dyDescent="0.3">
      <c r="A668" s="15"/>
      <c r="B668" s="15"/>
      <c r="C668" s="15"/>
      <c r="D668" s="14"/>
    </row>
    <row r="669" spans="1:4" ht="14.25" customHeight="1" x14ac:dyDescent="0.3">
      <c r="A669" s="15"/>
      <c r="B669" s="15"/>
      <c r="C669" s="15"/>
      <c r="D669" s="14"/>
    </row>
    <row r="670" spans="1:4" ht="14.25" customHeight="1" x14ac:dyDescent="0.3">
      <c r="A670" s="15"/>
      <c r="B670" s="15"/>
      <c r="C670" s="15"/>
      <c r="D670" s="14"/>
    </row>
    <row r="671" spans="1:4" ht="14.25" customHeight="1" x14ac:dyDescent="0.3">
      <c r="A671" s="15"/>
      <c r="B671" s="15"/>
      <c r="C671" s="15"/>
      <c r="D671" s="14"/>
    </row>
    <row r="672" spans="1:4" ht="14.25" customHeight="1" x14ac:dyDescent="0.3">
      <c r="A672" s="15"/>
      <c r="B672" s="15"/>
      <c r="C672" s="15"/>
      <c r="D672" s="14"/>
    </row>
    <row r="673" spans="1:4" ht="14.25" customHeight="1" x14ac:dyDescent="0.3">
      <c r="A673" s="15"/>
      <c r="B673" s="15"/>
      <c r="C673" s="15"/>
      <c r="D673" s="14"/>
    </row>
    <row r="674" spans="1:4" ht="14.25" customHeight="1" x14ac:dyDescent="0.3">
      <c r="A674" s="15"/>
      <c r="B674" s="15"/>
      <c r="C674" s="15"/>
      <c r="D674" s="14"/>
    </row>
    <row r="675" spans="1:4" ht="14.25" customHeight="1" x14ac:dyDescent="0.3">
      <c r="A675" s="15"/>
      <c r="B675" s="15"/>
      <c r="C675" s="15"/>
      <c r="D675" s="14"/>
    </row>
    <row r="676" spans="1:4" ht="14.25" customHeight="1" x14ac:dyDescent="0.3">
      <c r="A676" s="15"/>
      <c r="B676" s="15"/>
      <c r="C676" s="15"/>
      <c r="D676" s="14"/>
    </row>
    <row r="677" spans="1:4" ht="14.25" customHeight="1" x14ac:dyDescent="0.3">
      <c r="A677" s="15"/>
      <c r="B677" s="15"/>
      <c r="C677" s="15"/>
      <c r="D677" s="14"/>
    </row>
    <row r="678" spans="1:4" ht="14.25" customHeight="1" x14ac:dyDescent="0.3">
      <c r="A678" s="15"/>
      <c r="B678" s="15"/>
      <c r="C678" s="15"/>
      <c r="D678" s="14"/>
    </row>
    <row r="679" spans="1:4" ht="14.25" customHeight="1" x14ac:dyDescent="0.3">
      <c r="A679" s="15"/>
      <c r="B679" s="15"/>
      <c r="C679" s="15"/>
      <c r="D679" s="14"/>
    </row>
    <row r="680" spans="1:4" ht="14.25" customHeight="1" x14ac:dyDescent="0.3">
      <c r="A680" s="15"/>
      <c r="B680" s="15"/>
      <c r="C680" s="15"/>
      <c r="D680" s="14"/>
    </row>
    <row r="681" spans="1:4" ht="14.25" customHeight="1" x14ac:dyDescent="0.3">
      <c r="A681" s="15"/>
      <c r="B681" s="15"/>
      <c r="C681" s="15"/>
      <c r="D681" s="14"/>
    </row>
    <row r="682" spans="1:4" ht="14.25" customHeight="1" x14ac:dyDescent="0.3">
      <c r="A682" s="15"/>
      <c r="B682" s="15"/>
      <c r="C682" s="15"/>
      <c r="D682" s="14"/>
    </row>
    <row r="683" spans="1:4" ht="14.25" customHeight="1" x14ac:dyDescent="0.3">
      <c r="A683" s="15"/>
      <c r="B683" s="15"/>
      <c r="C683" s="15"/>
      <c r="D683" s="14"/>
    </row>
    <row r="684" spans="1:4" ht="14.25" customHeight="1" x14ac:dyDescent="0.3">
      <c r="A684" s="15"/>
      <c r="B684" s="15"/>
      <c r="C684" s="15"/>
      <c r="D684" s="14"/>
    </row>
    <row r="685" spans="1:4" ht="14.25" customHeight="1" x14ac:dyDescent="0.3">
      <c r="A685" s="15"/>
      <c r="B685" s="15"/>
      <c r="C685" s="15"/>
      <c r="D685" s="14"/>
    </row>
    <row r="686" spans="1:4" ht="14.25" customHeight="1" x14ac:dyDescent="0.3">
      <c r="A686" s="15"/>
      <c r="B686" s="15"/>
      <c r="C686" s="15"/>
      <c r="D686" s="14"/>
    </row>
    <row r="687" spans="1:4" ht="14.25" customHeight="1" x14ac:dyDescent="0.3">
      <c r="A687" s="15"/>
      <c r="B687" s="15"/>
      <c r="C687" s="15"/>
      <c r="D687" s="14"/>
    </row>
    <row r="688" spans="1:4" ht="14.25" customHeight="1" x14ac:dyDescent="0.3">
      <c r="A688" s="15"/>
      <c r="B688" s="15"/>
      <c r="C688" s="15"/>
      <c r="D688" s="14"/>
    </row>
    <row r="689" spans="1:4" ht="14.25" customHeight="1" x14ac:dyDescent="0.3">
      <c r="A689" s="15"/>
      <c r="B689" s="15"/>
      <c r="C689" s="15"/>
      <c r="D689" s="14"/>
    </row>
    <row r="690" spans="1:4" ht="14.25" customHeight="1" x14ac:dyDescent="0.3">
      <c r="A690" s="15"/>
      <c r="B690" s="15"/>
      <c r="C690" s="15"/>
      <c r="D690" s="14"/>
    </row>
    <row r="691" spans="1:4" ht="14.25" customHeight="1" x14ac:dyDescent="0.3">
      <c r="A691" s="15"/>
      <c r="B691" s="15"/>
      <c r="C691" s="15"/>
      <c r="D691" s="14"/>
    </row>
    <row r="692" spans="1:4" ht="14.25" customHeight="1" x14ac:dyDescent="0.3">
      <c r="A692" s="15"/>
      <c r="B692" s="15"/>
      <c r="C692" s="15"/>
      <c r="D692" s="14"/>
    </row>
    <row r="693" spans="1:4" ht="14.25" customHeight="1" x14ac:dyDescent="0.3">
      <c r="A693" s="15"/>
      <c r="B693" s="15"/>
      <c r="C693" s="15"/>
      <c r="D693" s="14"/>
    </row>
    <row r="694" spans="1:4" ht="14.25" customHeight="1" x14ac:dyDescent="0.3">
      <c r="A694" s="15"/>
      <c r="B694" s="15"/>
      <c r="C694" s="15"/>
      <c r="D694" s="14"/>
    </row>
    <row r="695" spans="1:4" ht="14.25" customHeight="1" x14ac:dyDescent="0.3">
      <c r="A695" s="15"/>
      <c r="B695" s="15"/>
      <c r="C695" s="15"/>
      <c r="D695" s="14"/>
    </row>
    <row r="696" spans="1:4" ht="14.25" customHeight="1" x14ac:dyDescent="0.3">
      <c r="A696" s="15"/>
      <c r="B696" s="15"/>
      <c r="C696" s="15"/>
      <c r="D696" s="14"/>
    </row>
    <row r="697" spans="1:4" ht="14.25" customHeight="1" x14ac:dyDescent="0.3">
      <c r="A697" s="15"/>
      <c r="B697" s="15"/>
      <c r="C697" s="15"/>
      <c r="D697" s="14"/>
    </row>
    <row r="698" spans="1:4" ht="14.25" customHeight="1" x14ac:dyDescent="0.3">
      <c r="A698" s="15"/>
      <c r="B698" s="15"/>
      <c r="C698" s="15"/>
      <c r="D698" s="14"/>
    </row>
    <row r="699" spans="1:4" ht="14.25" customHeight="1" x14ac:dyDescent="0.3">
      <c r="A699" s="15"/>
      <c r="B699" s="15"/>
      <c r="C699" s="15"/>
      <c r="D699" s="14"/>
    </row>
    <row r="700" spans="1:4" ht="14.25" customHeight="1" x14ac:dyDescent="0.3">
      <c r="A700" s="15"/>
      <c r="B700" s="15"/>
      <c r="C700" s="15"/>
      <c r="D700" s="14"/>
    </row>
    <row r="701" spans="1:4" ht="14.25" customHeight="1" x14ac:dyDescent="0.3">
      <c r="A701" s="15"/>
      <c r="B701" s="15"/>
      <c r="C701" s="15"/>
      <c r="D701" s="14"/>
    </row>
    <row r="702" spans="1:4" ht="14.25" customHeight="1" x14ac:dyDescent="0.3">
      <c r="A702" s="15"/>
      <c r="B702" s="15"/>
      <c r="C702" s="15"/>
      <c r="D702" s="14"/>
    </row>
    <row r="703" spans="1:4" ht="14.25" customHeight="1" x14ac:dyDescent="0.3">
      <c r="A703" s="15"/>
      <c r="B703" s="15"/>
      <c r="C703" s="15"/>
      <c r="D703" s="14"/>
    </row>
    <row r="704" spans="1:4" ht="14.25" customHeight="1" x14ac:dyDescent="0.3">
      <c r="A704" s="15"/>
      <c r="B704" s="15"/>
      <c r="C704" s="15"/>
      <c r="D704" s="14"/>
    </row>
    <row r="705" spans="1:4" ht="14.25" customHeight="1" x14ac:dyDescent="0.3">
      <c r="A705" s="15"/>
      <c r="B705" s="15"/>
      <c r="C705" s="15"/>
      <c r="D705" s="14"/>
    </row>
    <row r="706" spans="1:4" ht="14.25" customHeight="1" x14ac:dyDescent="0.3">
      <c r="A706" s="15"/>
      <c r="B706" s="15"/>
      <c r="C706" s="15"/>
      <c r="D706" s="14"/>
    </row>
    <row r="707" spans="1:4" ht="14.25" customHeight="1" x14ac:dyDescent="0.3">
      <c r="A707" s="15"/>
      <c r="B707" s="15"/>
      <c r="C707" s="15"/>
      <c r="D707" s="14"/>
    </row>
    <row r="708" spans="1:4" ht="14.25" customHeight="1" x14ac:dyDescent="0.3">
      <c r="A708" s="15"/>
      <c r="B708" s="15"/>
      <c r="C708" s="15"/>
      <c r="D708" s="14"/>
    </row>
    <row r="709" spans="1:4" ht="14.25" customHeight="1" x14ac:dyDescent="0.3">
      <c r="A709" s="15"/>
      <c r="B709" s="15"/>
      <c r="C709" s="15"/>
      <c r="D709" s="14"/>
    </row>
    <row r="710" spans="1:4" ht="14.25" customHeight="1" x14ac:dyDescent="0.3">
      <c r="A710" s="15"/>
      <c r="B710" s="15"/>
      <c r="C710" s="15"/>
      <c r="D710" s="14"/>
    </row>
    <row r="711" spans="1:4" ht="14.25" customHeight="1" x14ac:dyDescent="0.3">
      <c r="A711" s="15"/>
      <c r="B711" s="15"/>
      <c r="C711" s="15"/>
      <c r="D711" s="14"/>
    </row>
    <row r="712" spans="1:4" ht="14.25" customHeight="1" x14ac:dyDescent="0.3">
      <c r="A712" s="15"/>
      <c r="B712" s="15"/>
      <c r="C712" s="15"/>
      <c r="D712" s="14"/>
    </row>
    <row r="713" spans="1:4" ht="14.25" customHeight="1" x14ac:dyDescent="0.3">
      <c r="A713" s="15"/>
      <c r="B713" s="15"/>
      <c r="C713" s="15"/>
      <c r="D713" s="14"/>
    </row>
    <row r="714" spans="1:4" ht="14.25" customHeight="1" x14ac:dyDescent="0.3">
      <c r="A714" s="15"/>
      <c r="B714" s="15"/>
      <c r="C714" s="15"/>
      <c r="D714" s="14"/>
    </row>
    <row r="715" spans="1:4" ht="14.25" customHeight="1" x14ac:dyDescent="0.3">
      <c r="A715" s="15"/>
      <c r="B715" s="15"/>
      <c r="C715" s="15"/>
      <c r="D715" s="14"/>
    </row>
    <row r="716" spans="1:4" ht="14.25" customHeight="1" x14ac:dyDescent="0.3">
      <c r="A716" s="15"/>
      <c r="B716" s="15"/>
      <c r="C716" s="15"/>
      <c r="D716" s="14"/>
    </row>
    <row r="717" spans="1:4" ht="14.25" customHeight="1" x14ac:dyDescent="0.3">
      <c r="A717" s="15"/>
      <c r="B717" s="15"/>
      <c r="C717" s="15"/>
      <c r="D717" s="14"/>
    </row>
    <row r="718" spans="1:4" ht="14.25" customHeight="1" x14ac:dyDescent="0.3">
      <c r="A718" s="15"/>
      <c r="B718" s="15"/>
      <c r="C718" s="15"/>
      <c r="D718" s="14"/>
    </row>
    <row r="719" spans="1:4" ht="14.25" customHeight="1" x14ac:dyDescent="0.3">
      <c r="A719" s="15"/>
      <c r="B719" s="15"/>
      <c r="C719" s="15"/>
      <c r="D719" s="14"/>
    </row>
    <row r="720" spans="1:4" ht="14.25" customHeight="1" x14ac:dyDescent="0.3">
      <c r="A720" s="15"/>
      <c r="B720" s="15"/>
      <c r="C720" s="15"/>
      <c r="D720" s="14"/>
    </row>
    <row r="721" spans="1:4" ht="14.25" customHeight="1" x14ac:dyDescent="0.3">
      <c r="A721" s="15"/>
      <c r="B721" s="15"/>
      <c r="C721" s="15"/>
      <c r="D721" s="14"/>
    </row>
    <row r="722" spans="1:4" ht="14.25" customHeight="1" x14ac:dyDescent="0.3">
      <c r="A722" s="15"/>
      <c r="B722" s="15"/>
      <c r="C722" s="15"/>
      <c r="D722" s="14"/>
    </row>
    <row r="723" spans="1:4" ht="14.25" customHeight="1" x14ac:dyDescent="0.3">
      <c r="A723" s="15"/>
      <c r="B723" s="15"/>
      <c r="C723" s="15"/>
      <c r="D723" s="14"/>
    </row>
    <row r="724" spans="1:4" ht="14.25" customHeight="1" x14ac:dyDescent="0.3">
      <c r="A724" s="15"/>
      <c r="B724" s="15"/>
      <c r="C724" s="15"/>
      <c r="D724" s="14"/>
    </row>
    <row r="725" spans="1:4" ht="14.25" customHeight="1" x14ac:dyDescent="0.3">
      <c r="A725" s="15"/>
      <c r="B725" s="15"/>
      <c r="C725" s="15"/>
      <c r="D725" s="14"/>
    </row>
    <row r="726" spans="1:4" ht="14.25" customHeight="1" x14ac:dyDescent="0.3">
      <c r="A726" s="15"/>
      <c r="B726" s="15"/>
      <c r="C726" s="15"/>
      <c r="D726" s="14"/>
    </row>
    <row r="727" spans="1:4" ht="14.25" customHeight="1" x14ac:dyDescent="0.3">
      <c r="A727" s="15"/>
      <c r="B727" s="15"/>
      <c r="C727" s="15"/>
      <c r="D727" s="14"/>
    </row>
    <row r="728" spans="1:4" ht="14.25" customHeight="1" x14ac:dyDescent="0.3">
      <c r="A728" s="15"/>
      <c r="B728" s="15"/>
      <c r="C728" s="15"/>
      <c r="D728" s="14"/>
    </row>
    <row r="729" spans="1:4" ht="14.25" customHeight="1" x14ac:dyDescent="0.3">
      <c r="A729" s="15"/>
      <c r="B729" s="15"/>
      <c r="C729" s="15"/>
      <c r="D729" s="14"/>
    </row>
    <row r="730" spans="1:4" ht="14.25" customHeight="1" x14ac:dyDescent="0.3">
      <c r="A730" s="15"/>
      <c r="B730" s="15"/>
      <c r="C730" s="15"/>
      <c r="D730" s="14"/>
    </row>
    <row r="731" spans="1:4" ht="14.25" customHeight="1" x14ac:dyDescent="0.3">
      <c r="A731" s="15"/>
      <c r="B731" s="15"/>
      <c r="C731" s="15"/>
      <c r="D731" s="14"/>
    </row>
    <row r="732" spans="1:4" ht="14.25" customHeight="1" x14ac:dyDescent="0.3">
      <c r="A732" s="15"/>
      <c r="B732" s="15"/>
      <c r="C732" s="15"/>
      <c r="D732" s="14"/>
    </row>
    <row r="733" spans="1:4" ht="14.25" customHeight="1" x14ac:dyDescent="0.3">
      <c r="A733" s="15"/>
      <c r="B733" s="15"/>
      <c r="C733" s="15"/>
      <c r="D733" s="14"/>
    </row>
    <row r="734" spans="1:4" ht="14.25" customHeight="1" x14ac:dyDescent="0.3">
      <c r="A734" s="15"/>
      <c r="B734" s="15"/>
      <c r="C734" s="15"/>
      <c r="D734" s="14"/>
    </row>
    <row r="735" spans="1:4" ht="14.25" customHeight="1" x14ac:dyDescent="0.3">
      <c r="A735" s="15"/>
      <c r="B735" s="15"/>
      <c r="C735" s="15"/>
      <c r="D735" s="14"/>
    </row>
    <row r="736" spans="1:4" ht="14.25" customHeight="1" x14ac:dyDescent="0.3">
      <c r="A736" s="15"/>
      <c r="B736" s="15"/>
      <c r="C736" s="15"/>
      <c r="D736" s="14"/>
    </row>
    <row r="737" spans="1:4" ht="14.25" customHeight="1" x14ac:dyDescent="0.3">
      <c r="A737" s="15"/>
      <c r="B737" s="15"/>
      <c r="C737" s="15"/>
      <c r="D737" s="14"/>
    </row>
    <row r="738" spans="1:4" ht="14.25" customHeight="1" x14ac:dyDescent="0.3">
      <c r="A738" s="15"/>
      <c r="B738" s="15"/>
      <c r="C738" s="15"/>
      <c r="D738" s="14"/>
    </row>
    <row r="739" spans="1:4" ht="14.25" customHeight="1" x14ac:dyDescent="0.3">
      <c r="A739" s="15"/>
      <c r="B739" s="15"/>
      <c r="C739" s="15"/>
      <c r="D739" s="14"/>
    </row>
    <row r="740" spans="1:4" ht="14.25" customHeight="1" x14ac:dyDescent="0.3">
      <c r="A740" s="15"/>
      <c r="B740" s="15"/>
      <c r="C740" s="15"/>
      <c r="D740" s="14"/>
    </row>
    <row r="741" spans="1:4" ht="14.25" customHeight="1" x14ac:dyDescent="0.3">
      <c r="A741" s="15"/>
      <c r="B741" s="15"/>
      <c r="C741" s="15"/>
      <c r="D741" s="14"/>
    </row>
    <row r="742" spans="1:4" ht="14.25" customHeight="1" x14ac:dyDescent="0.3">
      <c r="A742" s="15"/>
      <c r="B742" s="15"/>
      <c r="C742" s="15"/>
      <c r="D742" s="14"/>
    </row>
    <row r="743" spans="1:4" ht="14.25" customHeight="1" x14ac:dyDescent="0.3">
      <c r="A743" s="15"/>
      <c r="B743" s="15"/>
      <c r="C743" s="15"/>
      <c r="D743" s="14"/>
    </row>
    <row r="744" spans="1:4" ht="14.25" customHeight="1" x14ac:dyDescent="0.3">
      <c r="A744" s="15"/>
      <c r="B744" s="15"/>
      <c r="C744" s="15"/>
      <c r="D744" s="14"/>
    </row>
    <row r="745" spans="1:4" ht="14.25" customHeight="1" x14ac:dyDescent="0.3">
      <c r="A745" s="15"/>
      <c r="B745" s="15"/>
      <c r="C745" s="15"/>
      <c r="D745" s="14"/>
    </row>
    <row r="746" spans="1:4" ht="14.25" customHeight="1" x14ac:dyDescent="0.3">
      <c r="A746" s="15"/>
      <c r="B746" s="15"/>
      <c r="C746" s="15"/>
      <c r="D746" s="14"/>
    </row>
    <row r="747" spans="1:4" ht="14.25" customHeight="1" x14ac:dyDescent="0.3">
      <c r="A747" s="15"/>
      <c r="B747" s="15"/>
      <c r="C747" s="15"/>
      <c r="D747" s="14"/>
    </row>
    <row r="748" spans="1:4" ht="14.25" customHeight="1" x14ac:dyDescent="0.3">
      <c r="A748" s="15"/>
      <c r="B748" s="15"/>
      <c r="C748" s="15"/>
      <c r="D748" s="14"/>
    </row>
    <row r="749" spans="1:4" ht="14.25" customHeight="1" x14ac:dyDescent="0.3">
      <c r="A749" s="15"/>
      <c r="B749" s="15"/>
      <c r="C749" s="15"/>
      <c r="D749" s="14"/>
    </row>
    <row r="750" spans="1:4" ht="14.25" customHeight="1" x14ac:dyDescent="0.3">
      <c r="A750" s="15"/>
      <c r="B750" s="15"/>
      <c r="C750" s="15"/>
      <c r="D750" s="14"/>
    </row>
    <row r="751" spans="1:4" ht="14.25" customHeight="1" x14ac:dyDescent="0.3">
      <c r="A751" s="15"/>
      <c r="B751" s="15"/>
      <c r="C751" s="15"/>
      <c r="D751" s="14"/>
    </row>
    <row r="752" spans="1:4" ht="14.25" customHeight="1" x14ac:dyDescent="0.3">
      <c r="A752" s="15"/>
      <c r="B752" s="15"/>
      <c r="C752" s="15"/>
      <c r="D752" s="14"/>
    </row>
    <row r="753" spans="1:4" ht="14.25" customHeight="1" x14ac:dyDescent="0.3">
      <c r="A753" s="15"/>
      <c r="B753" s="15"/>
      <c r="C753" s="15"/>
      <c r="D753" s="14"/>
    </row>
    <row r="754" spans="1:4" ht="14.25" customHeight="1" x14ac:dyDescent="0.3">
      <c r="A754" s="15"/>
      <c r="B754" s="15"/>
      <c r="C754" s="15"/>
      <c r="D754" s="14"/>
    </row>
    <row r="755" spans="1:4" ht="14.25" customHeight="1" x14ac:dyDescent="0.3">
      <c r="A755" s="15"/>
      <c r="B755" s="15"/>
      <c r="C755" s="15"/>
      <c r="D755" s="14"/>
    </row>
    <row r="756" spans="1:4" ht="14.25" customHeight="1" x14ac:dyDescent="0.3">
      <c r="A756" s="15"/>
      <c r="B756" s="15"/>
      <c r="C756" s="15"/>
      <c r="D756" s="14"/>
    </row>
    <row r="757" spans="1:4" ht="14.25" customHeight="1" x14ac:dyDescent="0.3">
      <c r="A757" s="15"/>
      <c r="B757" s="15"/>
      <c r="C757" s="15"/>
      <c r="D757" s="14"/>
    </row>
    <row r="758" spans="1:4" ht="14.25" customHeight="1" x14ac:dyDescent="0.3">
      <c r="A758" s="15"/>
      <c r="B758" s="15"/>
      <c r="C758" s="15"/>
      <c r="D758" s="14"/>
    </row>
    <row r="759" spans="1:4" ht="14.25" customHeight="1" x14ac:dyDescent="0.3">
      <c r="A759" s="15"/>
      <c r="B759" s="15"/>
      <c r="C759" s="15"/>
      <c r="D759" s="14"/>
    </row>
    <row r="760" spans="1:4" ht="14.25" customHeight="1" x14ac:dyDescent="0.3">
      <c r="A760" s="15"/>
      <c r="B760" s="15"/>
      <c r="C760" s="15"/>
      <c r="D760" s="14"/>
    </row>
    <row r="761" spans="1:4" ht="14.25" customHeight="1" x14ac:dyDescent="0.3">
      <c r="A761" s="15"/>
      <c r="B761" s="15"/>
      <c r="C761" s="15"/>
      <c r="D761" s="14"/>
    </row>
    <row r="762" spans="1:4" ht="14.25" customHeight="1" x14ac:dyDescent="0.3">
      <c r="A762" s="15"/>
      <c r="B762" s="15"/>
      <c r="C762" s="15"/>
      <c r="D762" s="14"/>
    </row>
    <row r="763" spans="1:4" ht="14.25" customHeight="1" x14ac:dyDescent="0.3">
      <c r="A763" s="15"/>
      <c r="B763" s="15"/>
      <c r="C763" s="15"/>
      <c r="D763" s="14"/>
    </row>
    <row r="764" spans="1:4" ht="14.25" customHeight="1" x14ac:dyDescent="0.3">
      <c r="A764" s="15"/>
      <c r="B764" s="15"/>
      <c r="C764" s="15"/>
      <c r="D764" s="14"/>
    </row>
    <row r="765" spans="1:4" ht="14.25" customHeight="1" x14ac:dyDescent="0.3">
      <c r="A765" s="15"/>
      <c r="B765" s="15"/>
      <c r="C765" s="15"/>
      <c r="D765" s="14"/>
    </row>
    <row r="766" spans="1:4" ht="14.25" customHeight="1" x14ac:dyDescent="0.3">
      <c r="A766" s="15"/>
      <c r="B766" s="15"/>
      <c r="C766" s="15"/>
      <c r="D766" s="14"/>
    </row>
    <row r="767" spans="1:4" ht="14.25" customHeight="1" x14ac:dyDescent="0.3">
      <c r="A767" s="15"/>
      <c r="B767" s="15"/>
      <c r="C767" s="15"/>
      <c r="D767" s="14"/>
    </row>
    <row r="768" spans="1:4" ht="14.25" customHeight="1" x14ac:dyDescent="0.3">
      <c r="A768" s="15"/>
      <c r="B768" s="15"/>
      <c r="C768" s="15"/>
      <c r="D768" s="14"/>
    </row>
    <row r="769" spans="1:4" ht="14.25" customHeight="1" x14ac:dyDescent="0.3">
      <c r="A769" s="15"/>
      <c r="B769" s="15"/>
      <c r="C769" s="15"/>
      <c r="D769" s="14"/>
    </row>
    <row r="770" spans="1:4" ht="14.25" customHeight="1" x14ac:dyDescent="0.3">
      <c r="A770" s="15"/>
      <c r="B770" s="15"/>
      <c r="C770" s="15"/>
      <c r="D770" s="14"/>
    </row>
    <row r="771" spans="1:4" ht="14.25" customHeight="1" x14ac:dyDescent="0.3">
      <c r="A771" s="15"/>
      <c r="B771" s="15"/>
      <c r="C771" s="15"/>
      <c r="D771" s="14"/>
    </row>
    <row r="772" spans="1:4" ht="14.25" customHeight="1" x14ac:dyDescent="0.3">
      <c r="A772" s="15"/>
      <c r="B772" s="15"/>
      <c r="C772" s="15"/>
      <c r="D772" s="14"/>
    </row>
    <row r="773" spans="1:4" ht="14.25" customHeight="1" x14ac:dyDescent="0.3">
      <c r="A773" s="15"/>
      <c r="B773" s="15"/>
      <c r="C773" s="15"/>
      <c r="D773" s="14"/>
    </row>
    <row r="774" spans="1:4" ht="14.25" customHeight="1" x14ac:dyDescent="0.3">
      <c r="A774" s="15"/>
      <c r="B774" s="15"/>
      <c r="C774" s="15"/>
      <c r="D774" s="14"/>
    </row>
    <row r="775" spans="1:4" ht="14.25" customHeight="1" x14ac:dyDescent="0.3">
      <c r="A775" s="15"/>
      <c r="B775" s="15"/>
      <c r="C775" s="15"/>
      <c r="D775" s="14"/>
    </row>
    <row r="776" spans="1:4" ht="14.25" customHeight="1" x14ac:dyDescent="0.3">
      <c r="A776" s="15"/>
      <c r="B776" s="15"/>
      <c r="C776" s="15"/>
      <c r="D776" s="14"/>
    </row>
    <row r="777" spans="1:4" ht="14.25" customHeight="1" x14ac:dyDescent="0.3">
      <c r="A777" s="15"/>
      <c r="B777" s="15"/>
      <c r="C777" s="15"/>
      <c r="D777" s="14"/>
    </row>
    <row r="778" spans="1:4" ht="14.25" customHeight="1" x14ac:dyDescent="0.3">
      <c r="A778" s="15"/>
      <c r="B778" s="15"/>
      <c r="C778" s="15"/>
      <c r="D778" s="14"/>
    </row>
    <row r="779" spans="1:4" ht="14.25" customHeight="1" x14ac:dyDescent="0.3">
      <c r="A779" s="15"/>
      <c r="B779" s="15"/>
      <c r="C779" s="15"/>
      <c r="D779" s="14"/>
    </row>
    <row r="780" spans="1:4" ht="14.25" customHeight="1" x14ac:dyDescent="0.3">
      <c r="A780" s="15"/>
      <c r="B780" s="15"/>
      <c r="C780" s="15"/>
      <c r="D780" s="14"/>
    </row>
    <row r="781" spans="1:4" ht="14.25" customHeight="1" x14ac:dyDescent="0.3">
      <c r="A781" s="15"/>
      <c r="B781" s="15"/>
      <c r="C781" s="15"/>
      <c r="D781" s="14"/>
    </row>
    <row r="782" spans="1:4" ht="14.25" customHeight="1" x14ac:dyDescent="0.3">
      <c r="A782" s="15"/>
      <c r="B782" s="15"/>
      <c r="C782" s="15"/>
      <c r="D782" s="14"/>
    </row>
    <row r="783" spans="1:4" ht="14.25" customHeight="1" x14ac:dyDescent="0.3">
      <c r="A783" s="15"/>
      <c r="B783" s="15"/>
      <c r="C783" s="15"/>
      <c r="D783" s="14"/>
    </row>
    <row r="784" spans="1:4" ht="14.25" customHeight="1" x14ac:dyDescent="0.3">
      <c r="A784" s="15"/>
      <c r="B784" s="15"/>
      <c r="C784" s="15"/>
      <c r="D784" s="14"/>
    </row>
    <row r="785" spans="1:4" ht="14.25" customHeight="1" x14ac:dyDescent="0.3">
      <c r="A785" s="15"/>
      <c r="B785" s="15"/>
      <c r="C785" s="15"/>
      <c r="D785" s="14"/>
    </row>
    <row r="786" spans="1:4" ht="14.25" customHeight="1" x14ac:dyDescent="0.3">
      <c r="A786" s="15"/>
      <c r="B786" s="15"/>
      <c r="C786" s="15"/>
      <c r="D786" s="14"/>
    </row>
    <row r="787" spans="1:4" ht="14.25" customHeight="1" x14ac:dyDescent="0.3">
      <c r="A787" s="15"/>
      <c r="B787" s="15"/>
      <c r="C787" s="15"/>
      <c r="D787" s="14"/>
    </row>
    <row r="788" spans="1:4" ht="14.25" customHeight="1" x14ac:dyDescent="0.3">
      <c r="A788" s="15"/>
      <c r="B788" s="15"/>
      <c r="C788" s="15"/>
      <c r="D788" s="14"/>
    </row>
    <row r="789" spans="1:4" ht="14.25" customHeight="1" x14ac:dyDescent="0.3">
      <c r="A789" s="15"/>
      <c r="B789" s="15"/>
      <c r="C789" s="15"/>
      <c r="D789" s="14"/>
    </row>
    <row r="790" spans="1:4" ht="14.25" customHeight="1" x14ac:dyDescent="0.3">
      <c r="A790" s="15"/>
      <c r="B790" s="15"/>
      <c r="C790" s="15"/>
      <c r="D790" s="14"/>
    </row>
    <row r="791" spans="1:4" ht="14.25" customHeight="1" x14ac:dyDescent="0.3">
      <c r="A791" s="15"/>
      <c r="B791" s="15"/>
      <c r="C791" s="15"/>
      <c r="D791" s="14"/>
    </row>
    <row r="792" spans="1:4" ht="14.25" customHeight="1" x14ac:dyDescent="0.3">
      <c r="A792" s="15"/>
      <c r="B792" s="15"/>
      <c r="C792" s="15"/>
      <c r="D792" s="14"/>
    </row>
    <row r="793" spans="1:4" ht="14.25" customHeight="1" x14ac:dyDescent="0.3">
      <c r="A793" s="15"/>
      <c r="B793" s="15"/>
      <c r="C793" s="15"/>
      <c r="D793" s="14"/>
    </row>
    <row r="794" spans="1:4" ht="14.25" customHeight="1" x14ac:dyDescent="0.3">
      <c r="A794" s="15"/>
      <c r="B794" s="15"/>
      <c r="C794" s="15"/>
      <c r="D794" s="14"/>
    </row>
    <row r="795" spans="1:4" ht="14.25" customHeight="1" x14ac:dyDescent="0.3">
      <c r="A795" s="15"/>
      <c r="B795" s="15"/>
      <c r="C795" s="15"/>
      <c r="D795" s="14"/>
    </row>
    <row r="796" spans="1:4" ht="14.25" customHeight="1" x14ac:dyDescent="0.3">
      <c r="A796" s="15"/>
      <c r="B796" s="15"/>
      <c r="C796" s="15"/>
      <c r="D796" s="14"/>
    </row>
    <row r="797" spans="1:4" ht="14.25" customHeight="1" x14ac:dyDescent="0.3">
      <c r="A797" s="15"/>
      <c r="B797" s="15"/>
      <c r="C797" s="15"/>
      <c r="D797" s="14"/>
    </row>
    <row r="798" spans="1:4" ht="14.25" customHeight="1" x14ac:dyDescent="0.3">
      <c r="A798" s="15"/>
      <c r="B798" s="15"/>
      <c r="C798" s="15"/>
      <c r="D798" s="14"/>
    </row>
    <row r="799" spans="1:4" ht="14.25" customHeight="1" x14ac:dyDescent="0.3">
      <c r="A799" s="15"/>
      <c r="B799" s="15"/>
      <c r="C799" s="15"/>
      <c r="D799" s="14"/>
    </row>
    <row r="800" spans="1:4" ht="14.25" customHeight="1" x14ac:dyDescent="0.3">
      <c r="A800" s="15"/>
      <c r="B800" s="15"/>
      <c r="C800" s="15"/>
      <c r="D800" s="14"/>
    </row>
    <row r="801" spans="1:4" ht="14.25" customHeight="1" x14ac:dyDescent="0.3">
      <c r="A801" s="15"/>
      <c r="B801" s="15"/>
      <c r="C801" s="15"/>
      <c r="D801" s="14"/>
    </row>
    <row r="802" spans="1:4" ht="14.25" customHeight="1" x14ac:dyDescent="0.3">
      <c r="A802" s="15"/>
      <c r="B802" s="15"/>
      <c r="C802" s="15"/>
      <c r="D802" s="14"/>
    </row>
    <row r="803" spans="1:4" ht="14.25" customHeight="1" x14ac:dyDescent="0.3">
      <c r="A803" s="15"/>
      <c r="B803" s="15"/>
      <c r="C803" s="15"/>
      <c r="D803" s="14"/>
    </row>
    <row r="804" spans="1:4" ht="14.25" customHeight="1" x14ac:dyDescent="0.3">
      <c r="A804" s="15"/>
      <c r="B804" s="15"/>
      <c r="C804" s="15"/>
      <c r="D804" s="14"/>
    </row>
    <row r="805" spans="1:4" ht="14.25" customHeight="1" x14ac:dyDescent="0.3">
      <c r="A805" s="15"/>
      <c r="B805" s="15"/>
      <c r="C805" s="15"/>
      <c r="D805" s="14"/>
    </row>
    <row r="806" spans="1:4" ht="14.25" customHeight="1" x14ac:dyDescent="0.3">
      <c r="A806" s="15"/>
      <c r="B806" s="15"/>
      <c r="C806" s="15"/>
      <c r="D806" s="14"/>
    </row>
    <row r="807" spans="1:4" ht="14.25" customHeight="1" x14ac:dyDescent="0.3">
      <c r="A807" s="15"/>
      <c r="B807" s="15"/>
      <c r="C807" s="15"/>
      <c r="D807" s="14"/>
    </row>
    <row r="808" spans="1:4" ht="14.25" customHeight="1" x14ac:dyDescent="0.3">
      <c r="A808" s="15"/>
      <c r="B808" s="15"/>
      <c r="C808" s="15"/>
      <c r="D808" s="14"/>
    </row>
    <row r="809" spans="1:4" ht="14.25" customHeight="1" x14ac:dyDescent="0.3">
      <c r="A809" s="15"/>
      <c r="B809" s="15"/>
      <c r="C809" s="15"/>
      <c r="D809" s="14"/>
    </row>
    <row r="810" spans="1:4" ht="14.25" customHeight="1" x14ac:dyDescent="0.3">
      <c r="A810" s="15"/>
      <c r="B810" s="15"/>
      <c r="C810" s="15"/>
      <c r="D810" s="14"/>
    </row>
    <row r="811" spans="1:4" ht="14.25" customHeight="1" x14ac:dyDescent="0.3">
      <c r="A811" s="15"/>
      <c r="B811" s="15"/>
      <c r="C811" s="15"/>
      <c r="D811" s="14"/>
    </row>
    <row r="812" spans="1:4" ht="14.25" customHeight="1" x14ac:dyDescent="0.3">
      <c r="A812" s="15"/>
      <c r="B812" s="15"/>
      <c r="C812" s="15"/>
      <c r="D812" s="14"/>
    </row>
    <row r="813" spans="1:4" ht="14.25" customHeight="1" x14ac:dyDescent="0.3">
      <c r="A813" s="15"/>
      <c r="B813" s="15"/>
      <c r="C813" s="15"/>
      <c r="D813" s="14"/>
    </row>
    <row r="814" spans="1:4" ht="14.25" customHeight="1" x14ac:dyDescent="0.3">
      <c r="A814" s="15"/>
      <c r="B814" s="15"/>
      <c r="C814" s="15"/>
      <c r="D814" s="14"/>
    </row>
    <row r="815" spans="1:4" ht="14.25" customHeight="1" x14ac:dyDescent="0.3">
      <c r="A815" s="15"/>
      <c r="B815" s="15"/>
      <c r="C815" s="15"/>
      <c r="D815" s="14"/>
    </row>
    <row r="816" spans="1:4" ht="14.25" customHeight="1" x14ac:dyDescent="0.3">
      <c r="A816" s="15"/>
      <c r="B816" s="15"/>
      <c r="C816" s="15"/>
      <c r="D816" s="14"/>
    </row>
    <row r="817" spans="1:4" ht="14.25" customHeight="1" x14ac:dyDescent="0.3">
      <c r="A817" s="15"/>
      <c r="B817" s="15"/>
      <c r="C817" s="15"/>
      <c r="D817" s="14"/>
    </row>
    <row r="818" spans="1:4" ht="14.25" customHeight="1" x14ac:dyDescent="0.3">
      <c r="A818" s="15"/>
      <c r="B818" s="15"/>
      <c r="C818" s="15"/>
      <c r="D818" s="14"/>
    </row>
    <row r="819" spans="1:4" ht="14.25" customHeight="1" x14ac:dyDescent="0.3">
      <c r="A819" s="15"/>
      <c r="B819" s="15"/>
      <c r="C819" s="15"/>
      <c r="D819" s="14"/>
    </row>
    <row r="820" spans="1:4" ht="14.25" customHeight="1" x14ac:dyDescent="0.3">
      <c r="A820" s="15"/>
      <c r="B820" s="15"/>
      <c r="C820" s="15"/>
      <c r="D820" s="14"/>
    </row>
    <row r="821" spans="1:4" ht="14.25" customHeight="1" x14ac:dyDescent="0.3">
      <c r="A821" s="15"/>
      <c r="B821" s="15"/>
      <c r="C821" s="15"/>
      <c r="D821" s="14"/>
    </row>
    <row r="822" spans="1:4" ht="14.25" customHeight="1" x14ac:dyDescent="0.3">
      <c r="A822" s="15"/>
      <c r="B822" s="15"/>
      <c r="C822" s="15"/>
      <c r="D822" s="14"/>
    </row>
    <row r="823" spans="1:4" ht="14.25" customHeight="1" x14ac:dyDescent="0.3">
      <c r="A823" s="15"/>
      <c r="B823" s="15"/>
      <c r="C823" s="15"/>
      <c r="D823" s="14"/>
    </row>
    <row r="824" spans="1:4" ht="14.25" customHeight="1" x14ac:dyDescent="0.3">
      <c r="A824" s="15"/>
      <c r="B824" s="15"/>
      <c r="C824" s="15"/>
      <c r="D824" s="14"/>
    </row>
    <row r="825" spans="1:4" ht="14.25" customHeight="1" x14ac:dyDescent="0.3">
      <c r="A825" s="15"/>
      <c r="B825" s="15"/>
      <c r="C825" s="15"/>
      <c r="D825" s="14"/>
    </row>
    <row r="826" spans="1:4" ht="14.25" customHeight="1" x14ac:dyDescent="0.3">
      <c r="A826" s="15"/>
      <c r="B826" s="15"/>
      <c r="C826" s="15"/>
      <c r="D826" s="14"/>
    </row>
    <row r="827" spans="1:4" ht="14.25" customHeight="1" x14ac:dyDescent="0.3">
      <c r="A827" s="15"/>
      <c r="B827" s="15"/>
      <c r="C827" s="15"/>
      <c r="D827" s="14"/>
    </row>
    <row r="828" spans="1:4" ht="14.25" customHeight="1" x14ac:dyDescent="0.3">
      <c r="A828" s="15"/>
      <c r="B828" s="15"/>
      <c r="C828" s="15"/>
      <c r="D828" s="14"/>
    </row>
    <row r="829" spans="1:4" ht="14.25" customHeight="1" x14ac:dyDescent="0.3">
      <c r="A829" s="15"/>
      <c r="B829" s="15"/>
      <c r="C829" s="15"/>
      <c r="D829" s="14"/>
    </row>
    <row r="830" spans="1:4" ht="14.25" customHeight="1" x14ac:dyDescent="0.3">
      <c r="A830" s="15"/>
      <c r="B830" s="15"/>
      <c r="C830" s="15"/>
      <c r="D830" s="14"/>
    </row>
    <row r="831" spans="1:4" ht="14.25" customHeight="1" x14ac:dyDescent="0.3">
      <c r="A831" s="15"/>
      <c r="B831" s="15"/>
      <c r="C831" s="15"/>
      <c r="D831" s="14"/>
    </row>
    <row r="832" spans="1:4" ht="14.25" customHeight="1" x14ac:dyDescent="0.3">
      <c r="A832" s="15"/>
      <c r="B832" s="15"/>
      <c r="C832" s="15"/>
      <c r="D832" s="14"/>
    </row>
    <row r="833" spans="1:4" ht="14.25" customHeight="1" x14ac:dyDescent="0.3">
      <c r="A833" s="15"/>
      <c r="B833" s="15"/>
      <c r="C833" s="15"/>
      <c r="D833" s="14"/>
    </row>
    <row r="834" spans="1:4" ht="14.25" customHeight="1" x14ac:dyDescent="0.3">
      <c r="A834" s="15"/>
      <c r="B834" s="15"/>
      <c r="C834" s="15"/>
      <c r="D834" s="14"/>
    </row>
    <row r="835" spans="1:4" ht="14.25" customHeight="1" x14ac:dyDescent="0.3">
      <c r="A835" s="15"/>
      <c r="B835" s="15"/>
      <c r="C835" s="15"/>
      <c r="D835" s="14"/>
    </row>
    <row r="836" spans="1:4" ht="14.25" customHeight="1" x14ac:dyDescent="0.3">
      <c r="A836" s="15"/>
      <c r="B836" s="15"/>
      <c r="C836" s="15"/>
      <c r="D836" s="14"/>
    </row>
    <row r="837" spans="1:4" ht="14.25" customHeight="1" x14ac:dyDescent="0.3">
      <c r="A837" s="15"/>
      <c r="B837" s="15"/>
      <c r="C837" s="15"/>
      <c r="D837" s="14"/>
    </row>
    <row r="838" spans="1:4" ht="14.25" customHeight="1" x14ac:dyDescent="0.3">
      <c r="A838" s="15"/>
      <c r="B838" s="15"/>
      <c r="C838" s="15"/>
      <c r="D838" s="14"/>
    </row>
    <row r="839" spans="1:4" ht="14.25" customHeight="1" x14ac:dyDescent="0.3">
      <c r="A839" s="15"/>
      <c r="B839" s="15"/>
      <c r="C839" s="15"/>
      <c r="D839" s="14"/>
    </row>
    <row r="840" spans="1:4" ht="14.25" customHeight="1" x14ac:dyDescent="0.3">
      <c r="A840" s="15"/>
      <c r="B840" s="15"/>
      <c r="C840" s="15"/>
      <c r="D840" s="14"/>
    </row>
    <row r="841" spans="1:4" ht="14.25" customHeight="1" x14ac:dyDescent="0.3">
      <c r="A841" s="15"/>
      <c r="B841" s="15"/>
      <c r="C841" s="15"/>
      <c r="D841" s="14"/>
    </row>
    <row r="842" spans="1:4" ht="14.25" customHeight="1" x14ac:dyDescent="0.3">
      <c r="A842" s="15"/>
      <c r="B842" s="15"/>
      <c r="C842" s="15"/>
      <c r="D842" s="14"/>
    </row>
    <row r="843" spans="1:4" ht="14.25" customHeight="1" x14ac:dyDescent="0.3">
      <c r="A843" s="15"/>
      <c r="B843" s="15"/>
      <c r="C843" s="15"/>
      <c r="D843" s="14"/>
    </row>
    <row r="844" spans="1:4" ht="14.25" customHeight="1" x14ac:dyDescent="0.3">
      <c r="A844" s="15"/>
      <c r="B844" s="15"/>
      <c r="C844" s="15"/>
      <c r="D844" s="14"/>
    </row>
    <row r="845" spans="1:4" ht="14.25" customHeight="1" x14ac:dyDescent="0.3">
      <c r="A845" s="15"/>
      <c r="B845" s="15"/>
      <c r="C845" s="15"/>
      <c r="D845" s="14"/>
    </row>
    <row r="846" spans="1:4" ht="14.25" customHeight="1" x14ac:dyDescent="0.3">
      <c r="A846" s="15"/>
      <c r="B846" s="15"/>
      <c r="C846" s="15"/>
      <c r="D846" s="14"/>
    </row>
    <row r="847" spans="1:4" ht="14.25" customHeight="1" x14ac:dyDescent="0.3">
      <c r="A847" s="15"/>
      <c r="B847" s="15"/>
      <c r="C847" s="15"/>
      <c r="D847" s="14"/>
    </row>
    <row r="848" spans="1:4" ht="14.25" customHeight="1" x14ac:dyDescent="0.3">
      <c r="A848" s="15"/>
      <c r="B848" s="15"/>
      <c r="C848" s="15"/>
      <c r="D848" s="14"/>
    </row>
    <row r="849" spans="1:4" ht="14.25" customHeight="1" x14ac:dyDescent="0.3">
      <c r="A849" s="15"/>
      <c r="B849" s="15"/>
      <c r="C849" s="15"/>
      <c r="D849" s="14"/>
    </row>
    <row r="850" spans="1:4" ht="14.25" customHeight="1" x14ac:dyDescent="0.3">
      <c r="A850" s="15"/>
      <c r="B850" s="15"/>
      <c r="C850" s="15"/>
      <c r="D850" s="14"/>
    </row>
    <row r="851" spans="1:4" ht="14.25" customHeight="1" x14ac:dyDescent="0.3">
      <c r="A851" s="15"/>
      <c r="B851" s="15"/>
      <c r="C851" s="15"/>
      <c r="D851" s="14"/>
    </row>
    <row r="852" spans="1:4" ht="14.25" customHeight="1" x14ac:dyDescent="0.3">
      <c r="A852" s="15"/>
      <c r="B852" s="15"/>
      <c r="C852" s="15"/>
      <c r="D852" s="14"/>
    </row>
    <row r="853" spans="1:4" ht="14.25" customHeight="1" x14ac:dyDescent="0.3">
      <c r="A853" s="15"/>
      <c r="B853" s="15"/>
      <c r="C853" s="15"/>
      <c r="D853" s="14"/>
    </row>
    <row r="854" spans="1:4" ht="14.25" customHeight="1" x14ac:dyDescent="0.3">
      <c r="A854" s="15"/>
      <c r="B854" s="15"/>
      <c r="C854" s="15"/>
      <c r="D854" s="14"/>
    </row>
    <row r="855" spans="1:4" ht="14.25" customHeight="1" x14ac:dyDescent="0.3">
      <c r="A855" s="15"/>
      <c r="B855" s="15"/>
      <c r="C855" s="15"/>
      <c r="D855" s="14"/>
    </row>
    <row r="856" spans="1:4" ht="14.25" customHeight="1" x14ac:dyDescent="0.3">
      <c r="A856" s="15"/>
      <c r="B856" s="15"/>
      <c r="C856" s="15"/>
      <c r="D856" s="14"/>
    </row>
    <row r="857" spans="1:4" ht="14.25" customHeight="1" x14ac:dyDescent="0.3">
      <c r="A857" s="15"/>
      <c r="B857" s="15"/>
      <c r="C857" s="15"/>
      <c r="D857" s="14"/>
    </row>
    <row r="858" spans="1:4" ht="14.25" customHeight="1" x14ac:dyDescent="0.3">
      <c r="A858" s="15"/>
      <c r="B858" s="15"/>
      <c r="C858" s="15"/>
      <c r="D858" s="14"/>
    </row>
    <row r="859" spans="1:4" ht="14.25" customHeight="1" x14ac:dyDescent="0.3">
      <c r="A859" s="15"/>
      <c r="B859" s="15"/>
      <c r="C859" s="15"/>
      <c r="D859" s="14"/>
    </row>
    <row r="860" spans="1:4" ht="14.25" customHeight="1" x14ac:dyDescent="0.3">
      <c r="A860" s="15"/>
      <c r="B860" s="15"/>
      <c r="C860" s="15"/>
      <c r="D860" s="14"/>
    </row>
    <row r="861" spans="1:4" ht="14.25" customHeight="1" x14ac:dyDescent="0.3">
      <c r="A861" s="15"/>
      <c r="B861" s="15"/>
      <c r="C861" s="15"/>
      <c r="D861" s="14"/>
    </row>
    <row r="862" spans="1:4" ht="14.25" customHeight="1" x14ac:dyDescent="0.3">
      <c r="A862" s="15"/>
      <c r="B862" s="15"/>
      <c r="C862" s="15"/>
      <c r="D862" s="14"/>
    </row>
    <row r="863" spans="1:4" ht="14.25" customHeight="1" x14ac:dyDescent="0.3">
      <c r="A863" s="15"/>
      <c r="B863" s="15"/>
      <c r="C863" s="15"/>
      <c r="D863" s="14"/>
    </row>
    <row r="864" spans="1:4" ht="14.25" customHeight="1" x14ac:dyDescent="0.3">
      <c r="A864" s="15"/>
      <c r="B864" s="15"/>
      <c r="C864" s="15"/>
      <c r="D864" s="14"/>
    </row>
    <row r="865" spans="1:4" ht="14.25" customHeight="1" x14ac:dyDescent="0.3">
      <c r="A865" s="15"/>
      <c r="B865" s="15"/>
      <c r="C865" s="15"/>
      <c r="D865" s="14"/>
    </row>
    <row r="866" spans="1:4" ht="14.25" customHeight="1" x14ac:dyDescent="0.3">
      <c r="A866" s="15"/>
      <c r="B866" s="15"/>
      <c r="C866" s="15"/>
      <c r="D866" s="14"/>
    </row>
    <row r="867" spans="1:4" ht="14.25" customHeight="1" x14ac:dyDescent="0.3">
      <c r="A867" s="15"/>
      <c r="B867" s="15"/>
      <c r="C867" s="15"/>
      <c r="D867" s="14"/>
    </row>
    <row r="868" spans="1:4" ht="14.25" customHeight="1" x14ac:dyDescent="0.3">
      <c r="A868" s="15"/>
      <c r="B868" s="15"/>
      <c r="C868" s="15"/>
      <c r="D868" s="14"/>
    </row>
    <row r="869" spans="1:4" ht="14.25" customHeight="1" x14ac:dyDescent="0.3">
      <c r="A869" s="15"/>
      <c r="B869" s="15"/>
      <c r="C869" s="15"/>
      <c r="D869" s="14"/>
    </row>
    <row r="870" spans="1:4" ht="14.25" customHeight="1" x14ac:dyDescent="0.3">
      <c r="A870" s="15"/>
      <c r="B870" s="15"/>
      <c r="C870" s="15"/>
      <c r="D870" s="14"/>
    </row>
    <row r="871" spans="1:4" ht="14.25" customHeight="1" x14ac:dyDescent="0.3">
      <c r="A871" s="15"/>
      <c r="B871" s="15"/>
      <c r="C871" s="15"/>
      <c r="D871" s="14"/>
    </row>
    <row r="872" spans="1:4" ht="14.25" customHeight="1" x14ac:dyDescent="0.3">
      <c r="A872" s="15"/>
      <c r="B872" s="15"/>
      <c r="C872" s="15"/>
      <c r="D872" s="14"/>
    </row>
    <row r="873" spans="1:4" ht="14.25" customHeight="1" x14ac:dyDescent="0.3">
      <c r="A873" s="15"/>
      <c r="B873" s="15"/>
      <c r="C873" s="15"/>
      <c r="D873" s="14"/>
    </row>
    <row r="874" spans="1:4" ht="14.25" customHeight="1" x14ac:dyDescent="0.3">
      <c r="A874" s="15"/>
      <c r="B874" s="15"/>
      <c r="C874" s="15"/>
      <c r="D874" s="14"/>
    </row>
    <row r="875" spans="1:4" ht="14.25" customHeight="1" x14ac:dyDescent="0.3">
      <c r="A875" s="15"/>
      <c r="B875" s="15"/>
      <c r="C875" s="15"/>
      <c r="D875" s="14"/>
    </row>
    <row r="876" spans="1:4" ht="14.25" customHeight="1" x14ac:dyDescent="0.3">
      <c r="A876" s="15"/>
      <c r="B876" s="15"/>
      <c r="C876" s="15"/>
      <c r="D876" s="14"/>
    </row>
    <row r="877" spans="1:4" ht="14.25" customHeight="1" x14ac:dyDescent="0.3">
      <c r="A877" s="15"/>
      <c r="B877" s="15"/>
      <c r="C877" s="15"/>
      <c r="D877" s="14"/>
    </row>
    <row r="878" spans="1:4" ht="14.25" customHeight="1" x14ac:dyDescent="0.3">
      <c r="A878" s="15"/>
      <c r="B878" s="15"/>
      <c r="C878" s="15"/>
      <c r="D878" s="14"/>
    </row>
    <row r="879" spans="1:4" ht="14.25" customHeight="1" x14ac:dyDescent="0.3">
      <c r="A879" s="15"/>
      <c r="B879" s="15"/>
      <c r="C879" s="15"/>
      <c r="D879" s="14"/>
    </row>
    <row r="880" spans="1:4" ht="14.25" customHeight="1" x14ac:dyDescent="0.3">
      <c r="A880" s="15"/>
      <c r="B880" s="15"/>
      <c r="C880" s="15"/>
      <c r="D880" s="14"/>
    </row>
    <row r="881" spans="1:4" ht="14.25" customHeight="1" x14ac:dyDescent="0.3">
      <c r="A881" s="15"/>
      <c r="B881" s="15"/>
      <c r="C881" s="15"/>
      <c r="D881" s="14"/>
    </row>
    <row r="882" spans="1:4" ht="14.25" customHeight="1" x14ac:dyDescent="0.3">
      <c r="A882" s="15"/>
      <c r="B882" s="15"/>
      <c r="C882" s="15"/>
      <c r="D882" s="14"/>
    </row>
    <row r="883" spans="1:4" ht="14.25" customHeight="1" x14ac:dyDescent="0.3">
      <c r="A883" s="15"/>
      <c r="B883" s="15"/>
      <c r="C883" s="15"/>
      <c r="D883" s="14"/>
    </row>
    <row r="884" spans="1:4" ht="14.25" customHeight="1" x14ac:dyDescent="0.3">
      <c r="A884" s="15"/>
      <c r="B884" s="15"/>
      <c r="C884" s="15"/>
      <c r="D884" s="14"/>
    </row>
    <row r="885" spans="1:4" ht="14.25" customHeight="1" x14ac:dyDescent="0.3">
      <c r="A885" s="15"/>
      <c r="B885" s="15"/>
      <c r="C885" s="15"/>
      <c r="D885" s="14"/>
    </row>
    <row r="886" spans="1:4" ht="14.25" customHeight="1" x14ac:dyDescent="0.3">
      <c r="A886" s="15"/>
      <c r="B886" s="15"/>
      <c r="C886" s="15"/>
      <c r="D886" s="14"/>
    </row>
    <row r="887" spans="1:4" ht="14.25" customHeight="1" x14ac:dyDescent="0.3">
      <c r="A887" s="15"/>
      <c r="B887" s="15"/>
      <c r="C887" s="15"/>
      <c r="D887" s="14"/>
    </row>
    <row r="888" spans="1:4" ht="14.25" customHeight="1" x14ac:dyDescent="0.3">
      <c r="A888" s="15"/>
      <c r="B888" s="15"/>
      <c r="C888" s="15"/>
      <c r="D888" s="14"/>
    </row>
    <row r="889" spans="1:4" ht="14.25" customHeight="1" x14ac:dyDescent="0.3">
      <c r="A889" s="15"/>
      <c r="B889" s="15"/>
      <c r="C889" s="15"/>
      <c r="D889" s="14"/>
    </row>
    <row r="890" spans="1:4" ht="14.25" customHeight="1" x14ac:dyDescent="0.3">
      <c r="A890" s="15"/>
      <c r="B890" s="15"/>
      <c r="C890" s="15"/>
      <c r="D890" s="14"/>
    </row>
    <row r="891" spans="1:4" ht="14.25" customHeight="1" x14ac:dyDescent="0.3">
      <c r="A891" s="15"/>
      <c r="B891" s="15"/>
      <c r="C891" s="15"/>
      <c r="D891" s="14"/>
    </row>
    <row r="892" spans="1:4" ht="14.25" customHeight="1" x14ac:dyDescent="0.3">
      <c r="A892" s="15"/>
      <c r="B892" s="15"/>
      <c r="C892" s="15"/>
      <c r="D892" s="14"/>
    </row>
    <row r="893" spans="1:4" ht="14.25" customHeight="1" x14ac:dyDescent="0.3">
      <c r="A893" s="15"/>
      <c r="B893" s="15"/>
      <c r="C893" s="15"/>
      <c r="D893" s="14"/>
    </row>
    <row r="894" spans="1:4" ht="14.25" customHeight="1" x14ac:dyDescent="0.3">
      <c r="A894" s="15"/>
      <c r="B894" s="15"/>
      <c r="C894" s="15"/>
      <c r="D894" s="14"/>
    </row>
    <row r="895" spans="1:4" ht="14.25" customHeight="1" x14ac:dyDescent="0.3">
      <c r="A895" s="15"/>
      <c r="B895" s="15"/>
      <c r="C895" s="15"/>
      <c r="D895" s="14"/>
    </row>
    <row r="896" spans="1:4" ht="14.25" customHeight="1" x14ac:dyDescent="0.3">
      <c r="A896" s="15"/>
      <c r="B896" s="15"/>
      <c r="C896" s="15"/>
      <c r="D896" s="14"/>
    </row>
    <row r="897" spans="1:4" ht="14.25" customHeight="1" x14ac:dyDescent="0.3">
      <c r="A897" s="15"/>
      <c r="B897" s="15"/>
      <c r="C897" s="15"/>
      <c r="D897" s="14"/>
    </row>
    <row r="898" spans="1:4" ht="14.25" customHeight="1" x14ac:dyDescent="0.3">
      <c r="A898" s="15"/>
      <c r="B898" s="15"/>
      <c r="C898" s="15"/>
      <c r="D898" s="14"/>
    </row>
    <row r="899" spans="1:4" ht="14.25" customHeight="1" x14ac:dyDescent="0.3">
      <c r="A899" s="15"/>
      <c r="B899" s="15"/>
      <c r="C899" s="15"/>
      <c r="D899" s="14"/>
    </row>
    <row r="900" spans="1:4" ht="14.25" customHeight="1" x14ac:dyDescent="0.3">
      <c r="A900" s="15"/>
      <c r="B900" s="15"/>
      <c r="C900" s="15"/>
      <c r="D900" s="14"/>
    </row>
    <row r="901" spans="1:4" ht="14.25" customHeight="1" x14ac:dyDescent="0.3">
      <c r="A901" s="15"/>
      <c r="B901" s="15"/>
      <c r="C901" s="15"/>
      <c r="D901" s="14"/>
    </row>
    <row r="902" spans="1:4" ht="14.25" customHeight="1" x14ac:dyDescent="0.3">
      <c r="A902" s="15"/>
      <c r="B902" s="15"/>
      <c r="C902" s="15"/>
      <c r="D902" s="14"/>
    </row>
    <row r="903" spans="1:4" ht="14.25" customHeight="1" x14ac:dyDescent="0.3">
      <c r="A903" s="15"/>
      <c r="B903" s="15"/>
      <c r="C903" s="15"/>
      <c r="D903" s="14"/>
    </row>
    <row r="904" spans="1:4" ht="14.25" customHeight="1" x14ac:dyDescent="0.3">
      <c r="A904" s="15"/>
      <c r="B904" s="15"/>
      <c r="C904" s="15"/>
      <c r="D904" s="14"/>
    </row>
    <row r="905" spans="1:4" ht="14.25" customHeight="1" x14ac:dyDescent="0.3">
      <c r="A905" s="15"/>
      <c r="B905" s="15"/>
      <c r="C905" s="15"/>
      <c r="D905" s="14"/>
    </row>
    <row r="906" spans="1:4" ht="14.25" customHeight="1" x14ac:dyDescent="0.3">
      <c r="A906" s="15"/>
      <c r="B906" s="15"/>
      <c r="C906" s="15"/>
      <c r="D906" s="14"/>
    </row>
    <row r="907" spans="1:4" ht="14.25" customHeight="1" x14ac:dyDescent="0.3">
      <c r="A907" s="15"/>
      <c r="B907" s="15"/>
      <c r="C907" s="15"/>
      <c r="D907" s="14"/>
    </row>
    <row r="908" spans="1:4" ht="14.25" customHeight="1" x14ac:dyDescent="0.3">
      <c r="A908" s="15"/>
      <c r="B908" s="15"/>
      <c r="C908" s="15"/>
      <c r="D908" s="14"/>
    </row>
    <row r="909" spans="1:4" ht="14.25" customHeight="1" x14ac:dyDescent="0.3">
      <c r="A909" s="15"/>
      <c r="B909" s="15"/>
      <c r="C909" s="15"/>
      <c r="D909" s="14"/>
    </row>
    <row r="910" spans="1:4" ht="14.25" customHeight="1" x14ac:dyDescent="0.3">
      <c r="A910" s="15"/>
      <c r="B910" s="15"/>
      <c r="C910" s="15"/>
      <c r="D910" s="14"/>
    </row>
    <row r="911" spans="1:4" ht="14.25" customHeight="1" x14ac:dyDescent="0.3">
      <c r="A911" s="15"/>
      <c r="B911" s="15"/>
      <c r="C911" s="15"/>
      <c r="D911" s="14"/>
    </row>
    <row r="912" spans="1:4" ht="14.25" customHeight="1" x14ac:dyDescent="0.3">
      <c r="A912" s="15"/>
      <c r="B912" s="15"/>
      <c r="C912" s="15"/>
      <c r="D912" s="14"/>
    </row>
    <row r="913" spans="1:4" ht="14.25" customHeight="1" x14ac:dyDescent="0.3">
      <c r="A913" s="15"/>
      <c r="B913" s="15"/>
      <c r="C913" s="15"/>
      <c r="D913" s="14"/>
    </row>
    <row r="914" spans="1:4" ht="14.25" customHeight="1" x14ac:dyDescent="0.3">
      <c r="A914" s="15"/>
      <c r="B914" s="15"/>
      <c r="C914" s="15"/>
      <c r="D914" s="14"/>
    </row>
    <row r="915" spans="1:4" ht="14.25" customHeight="1" x14ac:dyDescent="0.3">
      <c r="A915" s="15"/>
      <c r="B915" s="15"/>
      <c r="C915" s="15"/>
      <c r="D915" s="14"/>
    </row>
    <row r="916" spans="1:4" ht="14.25" customHeight="1" x14ac:dyDescent="0.3">
      <c r="A916" s="15"/>
      <c r="B916" s="15"/>
      <c r="C916" s="15"/>
      <c r="D916" s="14"/>
    </row>
    <row r="917" spans="1:4" ht="14.25" customHeight="1" x14ac:dyDescent="0.3">
      <c r="A917" s="15"/>
      <c r="B917" s="15"/>
      <c r="C917" s="15"/>
      <c r="D917" s="14"/>
    </row>
    <row r="918" spans="1:4" ht="14.25" customHeight="1" x14ac:dyDescent="0.3">
      <c r="A918" s="15"/>
      <c r="B918" s="15"/>
      <c r="C918" s="15"/>
      <c r="D918" s="14"/>
    </row>
    <row r="919" spans="1:4" ht="14.25" customHeight="1" x14ac:dyDescent="0.3">
      <c r="A919" s="15"/>
      <c r="B919" s="15"/>
      <c r="C919" s="15"/>
      <c r="D919" s="14"/>
    </row>
    <row r="920" spans="1:4" ht="14.25" customHeight="1" x14ac:dyDescent="0.3">
      <c r="A920" s="15"/>
      <c r="B920" s="15"/>
      <c r="C920" s="15"/>
      <c r="D920" s="14"/>
    </row>
    <row r="921" spans="1:4" ht="14.25" customHeight="1" x14ac:dyDescent="0.3">
      <c r="A921" s="15"/>
      <c r="B921" s="15"/>
      <c r="C921" s="15"/>
      <c r="D921" s="14"/>
    </row>
    <row r="922" spans="1:4" ht="14.25" customHeight="1" x14ac:dyDescent="0.3">
      <c r="A922" s="15"/>
      <c r="B922" s="15"/>
      <c r="C922" s="15"/>
      <c r="D922" s="14"/>
    </row>
    <row r="923" spans="1:4" ht="14.25" customHeight="1" x14ac:dyDescent="0.3">
      <c r="A923" s="15"/>
      <c r="B923" s="15"/>
      <c r="C923" s="15"/>
      <c r="D923" s="14"/>
    </row>
    <row r="924" spans="1:4" ht="14.25" customHeight="1" x14ac:dyDescent="0.3">
      <c r="A924" s="15"/>
      <c r="B924" s="15"/>
      <c r="C924" s="15"/>
      <c r="D924" s="14"/>
    </row>
    <row r="925" spans="1:4" ht="14.25" customHeight="1" x14ac:dyDescent="0.3">
      <c r="A925" s="15"/>
      <c r="B925" s="15"/>
      <c r="C925" s="15"/>
      <c r="D925" s="14"/>
    </row>
    <row r="926" spans="1:4" ht="14.25" customHeight="1" x14ac:dyDescent="0.3">
      <c r="A926" s="15"/>
      <c r="B926" s="15"/>
      <c r="C926" s="15"/>
      <c r="D926" s="14"/>
    </row>
    <row r="927" spans="1:4" ht="14.25" customHeight="1" x14ac:dyDescent="0.3">
      <c r="A927" s="15"/>
      <c r="B927" s="15"/>
      <c r="C927" s="15"/>
      <c r="D927" s="14"/>
    </row>
    <row r="928" spans="1:4" ht="14.25" customHeight="1" x14ac:dyDescent="0.3">
      <c r="A928" s="15"/>
      <c r="B928" s="15"/>
      <c r="C928" s="15"/>
      <c r="D928" s="14"/>
    </row>
    <row r="929" spans="1:4" ht="14.25" customHeight="1" x14ac:dyDescent="0.3">
      <c r="A929" s="15"/>
      <c r="B929" s="15"/>
      <c r="C929" s="15"/>
      <c r="D929" s="14"/>
    </row>
    <row r="930" spans="1:4" ht="14.25" customHeight="1" x14ac:dyDescent="0.3">
      <c r="A930" s="15"/>
      <c r="B930" s="15"/>
      <c r="C930" s="15"/>
      <c r="D930" s="14"/>
    </row>
    <row r="931" spans="1:4" ht="14.25" customHeight="1" x14ac:dyDescent="0.3">
      <c r="A931" s="15"/>
      <c r="B931" s="15"/>
      <c r="C931" s="15"/>
      <c r="D931" s="14"/>
    </row>
    <row r="932" spans="1:4" ht="14.25" customHeight="1" x14ac:dyDescent="0.3">
      <c r="A932" s="15"/>
      <c r="B932" s="15"/>
      <c r="C932" s="15"/>
      <c r="D932" s="14"/>
    </row>
    <row r="933" spans="1:4" ht="14.25" customHeight="1" x14ac:dyDescent="0.3">
      <c r="A933" s="15"/>
      <c r="B933" s="15"/>
      <c r="C933" s="15"/>
      <c r="D933" s="14"/>
    </row>
    <row r="934" spans="1:4" ht="14.25" customHeight="1" x14ac:dyDescent="0.3">
      <c r="A934" s="15"/>
      <c r="B934" s="15"/>
      <c r="C934" s="15"/>
      <c r="D934" s="14"/>
    </row>
    <row r="935" spans="1:4" ht="14.25" customHeight="1" x14ac:dyDescent="0.3">
      <c r="A935" s="15"/>
      <c r="B935" s="15"/>
      <c r="C935" s="15"/>
      <c r="D935" s="14"/>
    </row>
    <row r="936" spans="1:4" ht="14.25" customHeight="1" x14ac:dyDescent="0.3">
      <c r="A936" s="15"/>
      <c r="B936" s="15"/>
      <c r="C936" s="15"/>
      <c r="D936" s="14"/>
    </row>
    <row r="937" spans="1:4" ht="14.25" customHeight="1" x14ac:dyDescent="0.3">
      <c r="A937" s="15"/>
      <c r="B937" s="15"/>
      <c r="C937" s="15"/>
      <c r="D937" s="14"/>
    </row>
    <row r="938" spans="1:4" ht="14.25" customHeight="1" x14ac:dyDescent="0.3">
      <c r="A938" s="15"/>
      <c r="B938" s="15"/>
      <c r="C938" s="15"/>
      <c r="D938" s="14"/>
    </row>
    <row r="939" spans="1:4" ht="14.25" customHeight="1" x14ac:dyDescent="0.3">
      <c r="A939" s="15"/>
      <c r="B939" s="15"/>
      <c r="C939" s="15"/>
      <c r="D939" s="14"/>
    </row>
    <row r="940" spans="1:4" ht="14.25" customHeight="1" x14ac:dyDescent="0.3">
      <c r="A940" s="15"/>
      <c r="B940" s="15"/>
      <c r="C940" s="15"/>
      <c r="D940" s="14"/>
    </row>
    <row r="941" spans="1:4" ht="14.25" customHeight="1" x14ac:dyDescent="0.3">
      <c r="A941" s="15"/>
      <c r="B941" s="15"/>
      <c r="C941" s="15"/>
      <c r="D941" s="14"/>
    </row>
    <row r="942" spans="1:4" ht="14.25" customHeight="1" x14ac:dyDescent="0.3">
      <c r="A942" s="15"/>
      <c r="B942" s="15"/>
      <c r="C942" s="15"/>
      <c r="D942" s="14"/>
    </row>
    <row r="943" spans="1:4" ht="14.25" customHeight="1" x14ac:dyDescent="0.3">
      <c r="A943" s="15"/>
      <c r="B943" s="15"/>
      <c r="C943" s="15"/>
      <c r="D943" s="14"/>
    </row>
    <row r="944" spans="1:4" ht="14.25" customHeight="1" x14ac:dyDescent="0.3">
      <c r="A944" s="15"/>
      <c r="B944" s="15"/>
      <c r="C944" s="15"/>
      <c r="D944" s="14"/>
    </row>
    <row r="945" spans="1:4" ht="14.25" customHeight="1" x14ac:dyDescent="0.3">
      <c r="A945" s="15"/>
      <c r="B945" s="15"/>
      <c r="C945" s="15"/>
      <c r="D945" s="14"/>
    </row>
    <row r="946" spans="1:4" ht="14.25" customHeight="1" x14ac:dyDescent="0.3">
      <c r="A946" s="15"/>
      <c r="B946" s="15"/>
      <c r="C946" s="15"/>
      <c r="D946" s="14"/>
    </row>
    <row r="947" spans="1:4" ht="14.25" customHeight="1" x14ac:dyDescent="0.3">
      <c r="A947" s="15"/>
      <c r="B947" s="15"/>
      <c r="C947" s="15"/>
      <c r="D947" s="14"/>
    </row>
    <row r="948" spans="1:4" ht="14.25" customHeight="1" x14ac:dyDescent="0.3">
      <c r="A948" s="15"/>
      <c r="B948" s="15"/>
      <c r="C948" s="15"/>
      <c r="D948" s="14"/>
    </row>
    <row r="949" spans="1:4" ht="14.25" customHeight="1" x14ac:dyDescent="0.3">
      <c r="A949" s="15"/>
      <c r="B949" s="15"/>
      <c r="C949" s="15"/>
      <c r="D949" s="14"/>
    </row>
    <row r="950" spans="1:4" ht="14.25" customHeight="1" x14ac:dyDescent="0.3">
      <c r="A950" s="15"/>
      <c r="B950" s="15"/>
      <c r="C950" s="15"/>
      <c r="D950" s="14"/>
    </row>
    <row r="951" spans="1:4" ht="14.25" customHeight="1" x14ac:dyDescent="0.3">
      <c r="A951" s="15"/>
      <c r="B951" s="15"/>
      <c r="C951" s="15"/>
      <c r="D951" s="14"/>
    </row>
    <row r="952" spans="1:4" ht="14.25" customHeight="1" x14ac:dyDescent="0.3">
      <c r="A952" s="15"/>
      <c r="B952" s="15"/>
      <c r="C952" s="15"/>
      <c r="D952" s="14"/>
    </row>
    <row r="953" spans="1:4" ht="14.25" customHeight="1" x14ac:dyDescent="0.3">
      <c r="A953" s="15"/>
      <c r="B953" s="15"/>
      <c r="C953" s="15"/>
      <c r="D953" s="14"/>
    </row>
    <row r="954" spans="1:4" ht="14.25" customHeight="1" x14ac:dyDescent="0.3">
      <c r="A954" s="15"/>
      <c r="B954" s="15"/>
      <c r="C954" s="15"/>
      <c r="D954" s="14"/>
    </row>
    <row r="955" spans="1:4" ht="14.25" customHeight="1" x14ac:dyDescent="0.3">
      <c r="A955" s="15"/>
      <c r="B955" s="15"/>
      <c r="C955" s="15"/>
      <c r="D955" s="14"/>
    </row>
    <row r="956" spans="1:4" ht="14.25" customHeight="1" x14ac:dyDescent="0.3">
      <c r="A956" s="15"/>
      <c r="B956" s="15"/>
      <c r="C956" s="15"/>
      <c r="D956" s="14"/>
    </row>
    <row r="957" spans="1:4" ht="14.25" customHeight="1" x14ac:dyDescent="0.3">
      <c r="A957" s="15"/>
      <c r="B957" s="15"/>
      <c r="C957" s="15"/>
      <c r="D957" s="14"/>
    </row>
    <row r="958" spans="1:4" ht="14.25" customHeight="1" x14ac:dyDescent="0.3">
      <c r="A958" s="15"/>
      <c r="B958" s="15"/>
      <c r="C958" s="15"/>
      <c r="D958" s="14"/>
    </row>
    <row r="959" spans="1:4" ht="14.25" customHeight="1" x14ac:dyDescent="0.3">
      <c r="A959" s="15"/>
      <c r="B959" s="15"/>
      <c r="C959" s="15"/>
      <c r="D959" s="14"/>
    </row>
    <row r="960" spans="1:4" ht="14.25" customHeight="1" x14ac:dyDescent="0.3">
      <c r="A960" s="15"/>
      <c r="B960" s="15"/>
      <c r="C960" s="15"/>
      <c r="D960" s="14"/>
    </row>
    <row r="961" spans="1:4" ht="14.25" customHeight="1" x14ac:dyDescent="0.3">
      <c r="A961" s="15"/>
      <c r="B961" s="15"/>
      <c r="C961" s="15"/>
      <c r="D961" s="14"/>
    </row>
    <row r="962" spans="1:4" ht="14.25" customHeight="1" x14ac:dyDescent="0.3">
      <c r="A962" s="15"/>
      <c r="B962" s="15"/>
      <c r="C962" s="15"/>
      <c r="D962" s="14"/>
    </row>
    <row r="963" spans="1:4" ht="14.25" customHeight="1" x14ac:dyDescent="0.3">
      <c r="A963" s="15"/>
      <c r="B963" s="15"/>
      <c r="C963" s="15"/>
      <c r="D963" s="14"/>
    </row>
    <row r="964" spans="1:4" ht="14.25" customHeight="1" x14ac:dyDescent="0.3">
      <c r="A964" s="15"/>
      <c r="B964" s="15"/>
      <c r="C964" s="15"/>
      <c r="D964" s="14"/>
    </row>
    <row r="965" spans="1:4" ht="14.25" customHeight="1" x14ac:dyDescent="0.3">
      <c r="A965" s="15"/>
      <c r="B965" s="15"/>
      <c r="C965" s="15"/>
      <c r="D965" s="14"/>
    </row>
    <row r="966" spans="1:4" ht="14.25" customHeight="1" x14ac:dyDescent="0.3">
      <c r="A966" s="15"/>
      <c r="B966" s="15"/>
      <c r="C966" s="15"/>
      <c r="D966" s="14"/>
    </row>
    <row r="967" spans="1:4" ht="14.25" customHeight="1" x14ac:dyDescent="0.3">
      <c r="A967" s="15"/>
      <c r="B967" s="15"/>
      <c r="C967" s="15"/>
      <c r="D967" s="14"/>
    </row>
    <row r="968" spans="1:4" ht="14.25" customHeight="1" x14ac:dyDescent="0.3">
      <c r="A968" s="15"/>
      <c r="B968" s="15"/>
      <c r="C968" s="15"/>
      <c r="D968" s="14"/>
    </row>
    <row r="969" spans="1:4" ht="14.25" customHeight="1" x14ac:dyDescent="0.3">
      <c r="A969" s="15"/>
      <c r="B969" s="15"/>
      <c r="C969" s="15"/>
      <c r="D969" s="14"/>
    </row>
    <row r="970" spans="1:4" ht="14.25" customHeight="1" x14ac:dyDescent="0.3">
      <c r="A970" s="15"/>
      <c r="B970" s="15"/>
      <c r="C970" s="15"/>
      <c r="D970" s="14"/>
    </row>
    <row r="971" spans="1:4" ht="14.25" customHeight="1" x14ac:dyDescent="0.3">
      <c r="A971" s="15"/>
      <c r="B971" s="15"/>
      <c r="C971" s="15"/>
      <c r="D971" s="14"/>
    </row>
    <row r="972" spans="1:4" ht="14.25" customHeight="1" x14ac:dyDescent="0.3">
      <c r="A972" s="15"/>
      <c r="B972" s="15"/>
      <c r="C972" s="15"/>
      <c r="D972" s="14"/>
    </row>
    <row r="973" spans="1:4" ht="14.25" customHeight="1" x14ac:dyDescent="0.3">
      <c r="A973" s="15"/>
      <c r="B973" s="15"/>
      <c r="C973" s="15"/>
      <c r="D973" s="14"/>
    </row>
    <row r="974" spans="1:4" ht="14.25" customHeight="1" x14ac:dyDescent="0.3">
      <c r="A974" s="15"/>
      <c r="B974" s="15"/>
      <c r="C974" s="15"/>
      <c r="D974" s="14"/>
    </row>
    <row r="975" spans="1:4" ht="14.25" customHeight="1" x14ac:dyDescent="0.3">
      <c r="A975" s="15"/>
      <c r="B975" s="15"/>
      <c r="C975" s="15"/>
      <c r="D975" s="14"/>
    </row>
    <row r="976" spans="1:4" ht="14.25" customHeight="1" x14ac:dyDescent="0.3">
      <c r="A976" s="15"/>
      <c r="B976" s="15"/>
      <c r="C976" s="15"/>
      <c r="D976" s="14"/>
    </row>
    <row r="977" spans="1:4" ht="14.25" customHeight="1" x14ac:dyDescent="0.3">
      <c r="A977" s="15"/>
      <c r="B977" s="15"/>
      <c r="C977" s="15"/>
      <c r="D977" s="14"/>
    </row>
    <row r="978" spans="1:4" ht="14.25" customHeight="1" x14ac:dyDescent="0.3">
      <c r="A978" s="15"/>
      <c r="B978" s="15"/>
      <c r="C978" s="15"/>
      <c r="D978" s="14"/>
    </row>
    <row r="979" spans="1:4" ht="14.25" customHeight="1" x14ac:dyDescent="0.3">
      <c r="A979" s="15"/>
      <c r="B979" s="15"/>
      <c r="C979" s="15"/>
      <c r="D979" s="14"/>
    </row>
    <row r="980" spans="1:4" ht="14.25" customHeight="1" x14ac:dyDescent="0.3">
      <c r="A980" s="15"/>
      <c r="B980" s="15"/>
      <c r="C980" s="15"/>
      <c r="D980" s="14"/>
    </row>
    <row r="981" spans="1:4" ht="14.25" customHeight="1" x14ac:dyDescent="0.3">
      <c r="A981" s="15"/>
      <c r="B981" s="15"/>
      <c r="C981" s="15"/>
      <c r="D981" s="14"/>
    </row>
    <row r="982" spans="1:4" ht="14.25" customHeight="1" x14ac:dyDescent="0.3">
      <c r="A982" s="15"/>
      <c r="B982" s="15"/>
      <c r="C982" s="15"/>
      <c r="D982" s="14"/>
    </row>
    <row r="983" spans="1:4" ht="14.25" customHeight="1" x14ac:dyDescent="0.3">
      <c r="A983" s="15"/>
      <c r="B983" s="15"/>
      <c r="C983" s="15"/>
      <c r="D983" s="14"/>
    </row>
    <row r="984" spans="1:4" ht="14.25" customHeight="1" x14ac:dyDescent="0.3">
      <c r="A984" s="15"/>
      <c r="B984" s="15"/>
      <c r="C984" s="15"/>
      <c r="D984" s="14"/>
    </row>
    <row r="985" spans="1:4" ht="14.25" customHeight="1" x14ac:dyDescent="0.3">
      <c r="A985" s="15"/>
      <c r="B985" s="15"/>
      <c r="C985" s="15"/>
      <c r="D985" s="14"/>
    </row>
    <row r="986" spans="1:4" ht="14.25" customHeight="1" x14ac:dyDescent="0.3">
      <c r="A986" s="15"/>
      <c r="B986" s="15"/>
      <c r="C986" s="15"/>
      <c r="D986" s="14"/>
    </row>
    <row r="987" spans="1:4" ht="14.25" customHeight="1" x14ac:dyDescent="0.3">
      <c r="A987" s="15"/>
      <c r="B987" s="15"/>
      <c r="C987" s="15"/>
      <c r="D987" s="14"/>
    </row>
    <row r="988" spans="1:4" ht="14.25" customHeight="1" x14ac:dyDescent="0.3">
      <c r="A988" s="15"/>
      <c r="B988" s="15"/>
      <c r="C988" s="15"/>
      <c r="D988" s="14"/>
    </row>
    <row r="989" spans="1:4" ht="14.25" customHeight="1" x14ac:dyDescent="0.3">
      <c r="A989" s="15"/>
      <c r="B989" s="15"/>
      <c r="C989" s="15"/>
      <c r="D989" s="14"/>
    </row>
    <row r="990" spans="1:4" ht="14.25" customHeight="1" x14ac:dyDescent="0.3">
      <c r="A990" s="15"/>
      <c r="B990" s="15"/>
      <c r="C990" s="15"/>
      <c r="D990" s="14"/>
    </row>
    <row r="991" spans="1:4" ht="14.25" customHeight="1" x14ac:dyDescent="0.3">
      <c r="A991" s="15"/>
      <c r="B991" s="15"/>
      <c r="C991" s="15"/>
      <c r="D991" s="14"/>
    </row>
    <row r="992" spans="1:4" ht="14.25" customHeight="1" x14ac:dyDescent="0.3">
      <c r="A992" s="15"/>
      <c r="B992" s="15"/>
      <c r="C992" s="15"/>
      <c r="D992" s="14"/>
    </row>
    <row r="993" spans="1:4" ht="14.25" customHeight="1" x14ac:dyDescent="0.3">
      <c r="A993" s="15"/>
      <c r="B993" s="15"/>
      <c r="C993" s="15"/>
      <c r="D993" s="14"/>
    </row>
    <row r="994" spans="1:4" ht="14.25" customHeight="1" x14ac:dyDescent="0.3">
      <c r="A994" s="15"/>
      <c r="B994" s="15"/>
      <c r="C994" s="15"/>
      <c r="D994" s="14"/>
    </row>
    <row r="995" spans="1:4" ht="14.25" customHeight="1" x14ac:dyDescent="0.3">
      <c r="A995" s="15"/>
      <c r="B995" s="15"/>
      <c r="C995" s="15"/>
      <c r="D995" s="14"/>
    </row>
    <row r="996" spans="1:4" ht="14.25" customHeight="1" x14ac:dyDescent="0.3">
      <c r="A996" s="15"/>
      <c r="B996" s="15"/>
      <c r="C996" s="15"/>
      <c r="D996" s="14"/>
    </row>
    <row r="997" spans="1:4" ht="14.25" customHeight="1" x14ac:dyDescent="0.3">
      <c r="A997" s="15"/>
      <c r="B997" s="15"/>
      <c r="C997" s="15"/>
      <c r="D997" s="14"/>
    </row>
    <row r="998" spans="1:4" ht="14.25" customHeight="1" x14ac:dyDescent="0.3">
      <c r="A998" s="15"/>
      <c r="B998" s="15"/>
      <c r="C998" s="15"/>
      <c r="D998" s="14"/>
    </row>
    <row r="999" spans="1:4" ht="14.25" customHeight="1" x14ac:dyDescent="0.3">
      <c r="A999" s="15"/>
      <c r="B999" s="15"/>
      <c r="C999" s="15"/>
      <c r="D999" s="14"/>
    </row>
    <row r="1000" spans="1:4" ht="14.25" customHeight="1" x14ac:dyDescent="0.3">
      <c r="A1000" s="15"/>
      <c r="B1000" s="15"/>
      <c r="C1000" s="15"/>
      <c r="D1000" s="14"/>
    </row>
  </sheetData>
  <conditionalFormatting sqref="A2:C500">
    <cfRule type="expression" dxfId="12" priority="2">
      <formula>AND(COUNTA($A2:$C2)&gt;0,A2="")</formula>
    </cfRule>
    <cfRule type="expression" dxfId="11" priority="3">
      <formula>AND($D2&lt;&gt;"",$D2&lt;&gt;"OK")</formula>
    </cfRule>
  </conditionalFormatting>
  <conditionalFormatting sqref="D2:D500">
    <cfRule type="expression" dxfId="10" priority="4">
      <formula>AND($D2&lt;&gt;"",$D2&lt;&gt;"OK")</formula>
    </cfRule>
  </conditionalFormatting>
  <dataValidations count="1">
    <dataValidation type="list" errorStyle="information" allowBlank="1" showInputMessage="1" errorTitle="Custom value accepted" error="A custom value is allowed. Choose an existing option or continue with your typed value." promptTitle="Search or add custom value" prompt="Type to search an existing option, or enter a new custom value if no match exists." sqref="C2:C500" xr:uid="{00000000-0002-0000-0700-000000000000}">
      <formula1>dv_RoomType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00"/>
  <sheetViews>
    <sheetView showGridLines="0" zoomScaleNormal="100" workbookViewId="0">
      <pane ySplit="1" topLeftCell="A2" activePane="bottomLeft" state="frozen"/>
      <selection pane="bottomLeft" activeCell="D26" sqref="D26"/>
    </sheetView>
  </sheetViews>
  <sheetFormatPr defaultColWidth="14.44140625" defaultRowHeight="14.4" x14ac:dyDescent="0.3"/>
  <cols>
    <col min="1" max="2" width="20" customWidth="1"/>
    <col min="3" max="3" width="18" customWidth="1"/>
    <col min="4" max="26" width="28" customWidth="1"/>
  </cols>
  <sheetData>
    <row r="1" spans="1:4" ht="27" customHeight="1" x14ac:dyDescent="0.3">
      <c r="A1" s="2" t="s">
        <v>270</v>
      </c>
      <c r="B1" s="2" t="s">
        <v>282</v>
      </c>
      <c r="C1" s="2" t="s">
        <v>283</v>
      </c>
      <c r="D1" s="2" t="s">
        <v>2</v>
      </c>
    </row>
    <row r="2" spans="1:4" ht="14.25" customHeight="1" x14ac:dyDescent="0.3">
      <c r="A2" s="7" t="s">
        <v>272</v>
      </c>
      <c r="B2" s="7" t="s">
        <v>78</v>
      </c>
      <c r="C2" s="18">
        <v>30</v>
      </c>
      <c r="D2" s="3" t="str">
        <f t="shared" ref="D2:D65" si="0">IF(COUNTA(A2:C2)=0,"",IF(OR(C2&lt;0,C2&gt;100),"INVALID PERCENT",IF(COUNTIFS($A$2:$A$1000,A2,$B$2:$B$1000,B2)&gt;1,"DUPLICATE ROOM/GROUP","OK")))</f>
        <v>OK</v>
      </c>
    </row>
    <row r="3" spans="1:4" ht="14.25" customHeight="1" x14ac:dyDescent="0.3">
      <c r="A3" s="9" t="str">
        <f>IF(OR(A2="",B2=""),"",A2)</f>
        <v>R407</v>
      </c>
      <c r="B3" s="9" t="str">
        <f>IF(B2="","",IF(B2="1-2","3-4",IF(B2="3-4","1-2","")))</f>
        <v>3-4</v>
      </c>
      <c r="C3" s="19">
        <f>IF(OR(A2="",C2=""),"",100-C2)</f>
        <v>70</v>
      </c>
      <c r="D3" s="3" t="str">
        <f t="shared" si="0"/>
        <v>OK</v>
      </c>
    </row>
    <row r="4" spans="1:4" ht="14.25" customHeight="1" x14ac:dyDescent="0.3">
      <c r="A4" s="7" t="s">
        <v>278</v>
      </c>
      <c r="B4" s="7" t="s">
        <v>78</v>
      </c>
      <c r="C4" s="18">
        <v>20</v>
      </c>
      <c r="D4" s="3" t="str">
        <f t="shared" si="0"/>
        <v>OK</v>
      </c>
    </row>
    <row r="5" spans="1:4" ht="14.25" customHeight="1" x14ac:dyDescent="0.3">
      <c r="A5" s="9" t="str">
        <f>IF(OR(A4="",B4=""),"",A4)</f>
        <v>R408</v>
      </c>
      <c r="B5" s="9" t="str">
        <f>IF(B4="","",IF(B4="1-2","3-4",IF(B4="3-4","1-2","")))</f>
        <v>3-4</v>
      </c>
      <c r="C5" s="19">
        <f>IF(OR(A4="",C4=""),"",100-C4)</f>
        <v>80</v>
      </c>
      <c r="D5" s="3" t="str">
        <f t="shared" si="0"/>
        <v>OK</v>
      </c>
    </row>
    <row r="6" spans="1:4" ht="14.25" customHeight="1" x14ac:dyDescent="0.3">
      <c r="A6" s="7" t="s">
        <v>274</v>
      </c>
      <c r="B6" s="7" t="s">
        <v>78</v>
      </c>
      <c r="C6" s="18">
        <v>70</v>
      </c>
      <c r="D6" s="3" t="str">
        <f t="shared" si="0"/>
        <v>OK</v>
      </c>
    </row>
    <row r="7" spans="1:4" ht="14.25" customHeight="1" x14ac:dyDescent="0.3">
      <c r="A7" s="9" t="str">
        <f>IF(OR(A6="",B6=""),"",A6)</f>
        <v>R505</v>
      </c>
      <c r="B7" s="9" t="str">
        <f>IF(B6="","",IF(B6="1-2","3-4",IF(B6="3-4","1-2","")))</f>
        <v>3-4</v>
      </c>
      <c r="C7" s="19">
        <f>IF(OR(A6="",C6=""),"",100-C6)</f>
        <v>30</v>
      </c>
      <c r="D7" s="3" t="str">
        <f t="shared" si="0"/>
        <v>OK</v>
      </c>
    </row>
    <row r="8" spans="1:4" ht="14.25" customHeight="1" x14ac:dyDescent="0.3">
      <c r="A8" s="7" t="s">
        <v>276</v>
      </c>
      <c r="B8" s="7" t="s">
        <v>78</v>
      </c>
      <c r="C8" s="18">
        <v>80</v>
      </c>
      <c r="D8" s="3" t="str">
        <f t="shared" si="0"/>
        <v>OK</v>
      </c>
    </row>
    <row r="9" spans="1:4" ht="14.25" customHeight="1" x14ac:dyDescent="0.3">
      <c r="A9" s="9" t="str">
        <f>IF(OR(A8="",B8=""),"",A8)</f>
        <v>R411A</v>
      </c>
      <c r="B9" s="9" t="str">
        <f>IF(B8="","",IF(B8="1-2","3-4",IF(B8="3-4","1-2","")))</f>
        <v>3-4</v>
      </c>
      <c r="C9" s="19">
        <f>IF(OR(A8="",C8=""),"",100-C8)</f>
        <v>20</v>
      </c>
      <c r="D9" s="3" t="str">
        <f t="shared" si="0"/>
        <v>OK</v>
      </c>
    </row>
    <row r="10" spans="1:4" ht="14.25" customHeight="1" x14ac:dyDescent="0.3">
      <c r="A10" s="7" t="s">
        <v>280</v>
      </c>
      <c r="B10" s="7" t="s">
        <v>78</v>
      </c>
      <c r="C10" s="18">
        <v>50</v>
      </c>
      <c r="D10" s="3" t="str">
        <f t="shared" si="0"/>
        <v>OK</v>
      </c>
    </row>
    <row r="11" spans="1:4" ht="15" customHeight="1" x14ac:dyDescent="0.3">
      <c r="A11" s="9" t="str">
        <f>IF(OR(A10="",B10=""),"",A10)</f>
        <v>R406</v>
      </c>
      <c r="B11" s="9" t="str">
        <f>IF(B10="","",IF(B10="1-2","3-4",IF(B10="3-4","1-2","")))</f>
        <v>3-4</v>
      </c>
      <c r="C11" s="19">
        <f>IF(OR(A10="",C10=""),"",100-C10)</f>
        <v>50</v>
      </c>
      <c r="D11" s="3" t="str">
        <f t="shared" si="0"/>
        <v>OK</v>
      </c>
    </row>
    <row r="12" spans="1:4" ht="14.25" customHeight="1" x14ac:dyDescent="0.3">
      <c r="A12" s="7"/>
      <c r="B12" s="7"/>
      <c r="C12" s="18"/>
      <c r="D12" s="3" t="str">
        <f t="shared" si="0"/>
        <v/>
      </c>
    </row>
    <row r="13" spans="1:4" ht="14.25" customHeight="1" x14ac:dyDescent="0.3">
      <c r="A13" s="9" t="str">
        <f>IF(OR(A12="",B12=""),"",A12)</f>
        <v/>
      </c>
      <c r="B13" s="9" t="str">
        <f>IF(B12="","",IF(B12="1-2","3-4",IF(B12="3-4","1-2","")))</f>
        <v/>
      </c>
      <c r="C13" s="19" t="str">
        <f>IF(OR(A12="",C12=""),"",100-C12)</f>
        <v/>
      </c>
      <c r="D13" s="3" t="str">
        <f t="shared" si="0"/>
        <v>INVALID PERCENT</v>
      </c>
    </row>
    <row r="14" spans="1:4" ht="14.25" customHeight="1" x14ac:dyDescent="0.3">
      <c r="A14" s="7"/>
      <c r="B14" s="7"/>
      <c r="C14" s="18"/>
      <c r="D14" s="3" t="str">
        <f t="shared" si="0"/>
        <v/>
      </c>
    </row>
    <row r="15" spans="1:4" ht="14.25" customHeight="1" x14ac:dyDescent="0.3">
      <c r="A15" s="9" t="str">
        <f>IF(OR(A14="",B14=""),"",A14)</f>
        <v/>
      </c>
      <c r="B15" s="9" t="str">
        <f>IF(B14="","",IF(B14="1-2","3-4",IF(B14="3-4","1-2","")))</f>
        <v/>
      </c>
      <c r="C15" s="19" t="str">
        <f>IF(OR(A14="",C14=""),"",100-C14)</f>
        <v/>
      </c>
      <c r="D15" s="3" t="str">
        <f t="shared" si="0"/>
        <v>INVALID PERCENT</v>
      </c>
    </row>
    <row r="16" spans="1:4" ht="14.25" customHeight="1" x14ac:dyDescent="0.3">
      <c r="A16" s="7"/>
      <c r="B16" s="7"/>
      <c r="C16" s="18"/>
      <c r="D16" s="3" t="str">
        <f t="shared" si="0"/>
        <v/>
      </c>
    </row>
    <row r="17" spans="1:4" ht="14.25" customHeight="1" x14ac:dyDescent="0.3">
      <c r="A17" s="9" t="str">
        <f>IF(OR(A16="",B16=""),"",A16)</f>
        <v/>
      </c>
      <c r="B17" s="9" t="str">
        <f>IF(B16="","",IF(B16="1-2","3-4",IF(B16="3-4","1-2","")))</f>
        <v/>
      </c>
      <c r="C17" s="19" t="str">
        <f>IF(OR(A16="",C16=""),"",100-C16)</f>
        <v/>
      </c>
      <c r="D17" s="3" t="str">
        <f t="shared" si="0"/>
        <v>INVALID PERCENT</v>
      </c>
    </row>
    <row r="18" spans="1:4" ht="14.25" customHeight="1" x14ac:dyDescent="0.3">
      <c r="A18" s="7"/>
      <c r="B18" s="7"/>
      <c r="C18" s="18"/>
      <c r="D18" s="3" t="str">
        <f t="shared" si="0"/>
        <v/>
      </c>
    </row>
    <row r="19" spans="1:4" ht="14.25" customHeight="1" x14ac:dyDescent="0.3">
      <c r="A19" s="9" t="str">
        <f>IF(OR(A18="",B18=""),"",A18)</f>
        <v/>
      </c>
      <c r="B19" s="9" t="str">
        <f>IF(B18="","",IF(B18="1-2","3-4",IF(B18="3-4","1-2","")))</f>
        <v/>
      </c>
      <c r="C19" s="19" t="str">
        <f>IF(OR(A18="",C18=""),"",100-C18)</f>
        <v/>
      </c>
      <c r="D19" s="3" t="str">
        <f t="shared" si="0"/>
        <v>INVALID PERCENT</v>
      </c>
    </row>
    <row r="20" spans="1:4" ht="14.25" customHeight="1" x14ac:dyDescent="0.3">
      <c r="A20" s="7"/>
      <c r="B20" s="7"/>
      <c r="C20" s="18"/>
      <c r="D20" s="3" t="str">
        <f t="shared" si="0"/>
        <v/>
      </c>
    </row>
    <row r="21" spans="1:4" ht="14.25" customHeight="1" x14ac:dyDescent="0.3">
      <c r="A21" s="9" t="str">
        <f>IF(OR(A20="",B20=""),"",A20)</f>
        <v/>
      </c>
      <c r="B21" s="9" t="str">
        <f>IF(B20="","",IF(B20="1-2","3-4",IF(B20="3-4","1-2","")))</f>
        <v/>
      </c>
      <c r="C21" s="19" t="str">
        <f>IF(OR(A20="",C20=""),"",100-C20)</f>
        <v/>
      </c>
      <c r="D21" s="3" t="str">
        <f t="shared" si="0"/>
        <v>INVALID PERCENT</v>
      </c>
    </row>
    <row r="22" spans="1:4" ht="14.25" customHeight="1" x14ac:dyDescent="0.3">
      <c r="A22" s="7"/>
      <c r="B22" s="7"/>
      <c r="C22" s="18"/>
      <c r="D22" s="3" t="str">
        <f t="shared" si="0"/>
        <v/>
      </c>
    </row>
    <row r="23" spans="1:4" ht="14.25" customHeight="1" x14ac:dyDescent="0.3">
      <c r="A23" s="9" t="str">
        <f>IF(OR(A22="",B22=""),"",A22)</f>
        <v/>
      </c>
      <c r="B23" s="9" t="str">
        <f>IF(B22="","",IF(B22="1-2","3-4",IF(B22="3-4","1-2","")))</f>
        <v/>
      </c>
      <c r="C23" s="19" t="str">
        <f>IF(OR(A22="",C22=""),"",100-C22)</f>
        <v/>
      </c>
      <c r="D23" s="3" t="str">
        <f t="shared" si="0"/>
        <v>INVALID PERCENT</v>
      </c>
    </row>
    <row r="24" spans="1:4" ht="14.25" customHeight="1" x14ac:dyDescent="0.3">
      <c r="A24" s="7"/>
      <c r="B24" s="7"/>
      <c r="C24" s="18"/>
      <c r="D24" s="3" t="str">
        <f t="shared" si="0"/>
        <v/>
      </c>
    </row>
    <row r="25" spans="1:4" ht="14.25" customHeight="1" x14ac:dyDescent="0.3">
      <c r="A25" s="9" t="str">
        <f>IF(OR(A24="",B24=""),"",A24)</f>
        <v/>
      </c>
      <c r="B25" s="9" t="str">
        <f>IF(B24="","",IF(B24="1-2","3-4",IF(B24="3-4","1-2","")))</f>
        <v/>
      </c>
      <c r="C25" s="19" t="str">
        <f>IF(OR(A24="",C24=""),"",100-C24)</f>
        <v/>
      </c>
      <c r="D25" s="3" t="str">
        <f t="shared" si="0"/>
        <v>INVALID PERCENT</v>
      </c>
    </row>
    <row r="26" spans="1:4" ht="14.25" customHeight="1" x14ac:dyDescent="0.3">
      <c r="A26" s="7"/>
      <c r="B26" s="7"/>
      <c r="C26" s="18"/>
      <c r="D26" s="3" t="str">
        <f t="shared" si="0"/>
        <v/>
      </c>
    </row>
    <row r="27" spans="1:4" ht="14.25" customHeight="1" x14ac:dyDescent="0.3">
      <c r="A27" s="9" t="str">
        <f>IF(OR(A26="",B26=""),"",A26)</f>
        <v/>
      </c>
      <c r="B27" s="9" t="str">
        <f>IF(B26="","",IF(B26="1-2","3-4",IF(B26="3-4","1-2","")))</f>
        <v/>
      </c>
      <c r="C27" s="19" t="str">
        <f>IF(OR(A26="",C26=""),"",100-C26)</f>
        <v/>
      </c>
      <c r="D27" s="3" t="str">
        <f t="shared" si="0"/>
        <v>INVALID PERCENT</v>
      </c>
    </row>
    <row r="28" spans="1:4" ht="14.25" customHeight="1" x14ac:dyDescent="0.3">
      <c r="A28" s="7"/>
      <c r="B28" s="7"/>
      <c r="C28" s="18"/>
      <c r="D28" s="3" t="str">
        <f t="shared" si="0"/>
        <v/>
      </c>
    </row>
    <row r="29" spans="1:4" ht="14.25" customHeight="1" x14ac:dyDescent="0.3">
      <c r="A29" s="9" t="str">
        <f>IF(OR(A28="",B28=""),"",A28)</f>
        <v/>
      </c>
      <c r="B29" s="9" t="str">
        <f>IF(B28="","",IF(B28="1-2","3-4",IF(B28="3-4","1-2","")))</f>
        <v/>
      </c>
      <c r="C29" s="19" t="str">
        <f>IF(OR(A28="",C28=""),"",100-C28)</f>
        <v/>
      </c>
      <c r="D29" s="3" t="str">
        <f t="shared" si="0"/>
        <v>INVALID PERCENT</v>
      </c>
    </row>
    <row r="30" spans="1:4" ht="14.25" customHeight="1" x14ac:dyDescent="0.3">
      <c r="A30" s="7"/>
      <c r="B30" s="7"/>
      <c r="C30" s="18"/>
      <c r="D30" s="3" t="str">
        <f t="shared" si="0"/>
        <v/>
      </c>
    </row>
    <row r="31" spans="1:4" ht="14.25" customHeight="1" x14ac:dyDescent="0.3">
      <c r="A31" s="9" t="str">
        <f>IF(OR(A30="",B30=""),"",A30)</f>
        <v/>
      </c>
      <c r="B31" s="9" t="str">
        <f>IF(B30="","",IF(B30="1-2","3-4",IF(B30="3-4","1-2","")))</f>
        <v/>
      </c>
      <c r="C31" s="19" t="str">
        <f>IF(OR(A30="",C30=""),"",100-C30)</f>
        <v/>
      </c>
      <c r="D31" s="3" t="str">
        <f t="shared" si="0"/>
        <v>INVALID PERCENT</v>
      </c>
    </row>
    <row r="32" spans="1:4" ht="14.25" customHeight="1" x14ac:dyDescent="0.3">
      <c r="A32" s="7"/>
      <c r="B32" s="7"/>
      <c r="C32" s="18"/>
      <c r="D32" s="3" t="str">
        <f t="shared" si="0"/>
        <v/>
      </c>
    </row>
    <row r="33" spans="1:4" ht="14.25" customHeight="1" x14ac:dyDescent="0.3">
      <c r="A33" s="9" t="str">
        <f>IF(OR(A32="",B32=""),"",A32)</f>
        <v/>
      </c>
      <c r="B33" s="9" t="str">
        <f>IF(B32="","",IF(B32="1-2","3-4",IF(B32="3-4","1-2","")))</f>
        <v/>
      </c>
      <c r="C33" s="19" t="str">
        <f>IF(OR(A32="",C32=""),"",100-C32)</f>
        <v/>
      </c>
      <c r="D33" s="3" t="str">
        <f t="shared" si="0"/>
        <v>INVALID PERCENT</v>
      </c>
    </row>
    <row r="34" spans="1:4" ht="14.25" customHeight="1" x14ac:dyDescent="0.3">
      <c r="A34" s="7"/>
      <c r="B34" s="7"/>
      <c r="C34" s="18"/>
      <c r="D34" s="3" t="str">
        <f t="shared" si="0"/>
        <v/>
      </c>
    </row>
    <row r="35" spans="1:4" ht="14.25" customHeight="1" x14ac:dyDescent="0.3">
      <c r="A35" s="9" t="str">
        <f>IF(OR(A34="",B34=""),"",A34)</f>
        <v/>
      </c>
      <c r="B35" s="9" t="str">
        <f>IF(B34="","",IF(B34="1-2","3-4",IF(B34="3-4","1-2","")))</f>
        <v/>
      </c>
      <c r="C35" s="19" t="str">
        <f>IF(OR(A34="",C34=""),"",100-C34)</f>
        <v/>
      </c>
      <c r="D35" s="3" t="str">
        <f t="shared" si="0"/>
        <v>INVALID PERCENT</v>
      </c>
    </row>
    <row r="36" spans="1:4" ht="14.25" customHeight="1" x14ac:dyDescent="0.3">
      <c r="A36" s="7"/>
      <c r="B36" s="7"/>
      <c r="C36" s="18"/>
      <c r="D36" s="3" t="str">
        <f t="shared" si="0"/>
        <v/>
      </c>
    </row>
    <row r="37" spans="1:4" ht="14.25" customHeight="1" x14ac:dyDescent="0.3">
      <c r="A37" s="9" t="str">
        <f>IF(OR(A36="",B36=""),"",A36)</f>
        <v/>
      </c>
      <c r="B37" s="9" t="str">
        <f>IF(B36="","",IF(B36="1-2","3-4",IF(B36="3-4","1-2","")))</f>
        <v/>
      </c>
      <c r="C37" s="19" t="str">
        <f>IF(OR(A36="",C36=""),"",100-C36)</f>
        <v/>
      </c>
      <c r="D37" s="3" t="str">
        <f t="shared" si="0"/>
        <v>INVALID PERCENT</v>
      </c>
    </row>
    <row r="38" spans="1:4" ht="14.25" customHeight="1" x14ac:dyDescent="0.3">
      <c r="A38" s="7"/>
      <c r="B38" s="7"/>
      <c r="C38" s="18"/>
      <c r="D38" s="3" t="str">
        <f t="shared" si="0"/>
        <v/>
      </c>
    </row>
    <row r="39" spans="1:4" ht="14.25" customHeight="1" x14ac:dyDescent="0.3">
      <c r="A39" s="9" t="str">
        <f>IF(OR(A38="",B38=""),"",A38)</f>
        <v/>
      </c>
      <c r="B39" s="9" t="str">
        <f>IF(B38="","",IF(B38="1-2","3-4",IF(B38="3-4","1-2","")))</f>
        <v/>
      </c>
      <c r="C39" s="19" t="str">
        <f>IF(OR(A38="",C38=""),"",100-C38)</f>
        <v/>
      </c>
      <c r="D39" s="3" t="str">
        <f t="shared" si="0"/>
        <v>INVALID PERCENT</v>
      </c>
    </row>
    <row r="40" spans="1:4" ht="14.25" customHeight="1" x14ac:dyDescent="0.3">
      <c r="A40" s="7"/>
      <c r="B40" s="7"/>
      <c r="C40" s="18"/>
      <c r="D40" s="3" t="str">
        <f t="shared" si="0"/>
        <v/>
      </c>
    </row>
    <row r="41" spans="1:4" ht="14.25" customHeight="1" x14ac:dyDescent="0.3">
      <c r="A41" s="9" t="str">
        <f>IF(OR(A40="",B40=""),"",A40)</f>
        <v/>
      </c>
      <c r="B41" s="9" t="str">
        <f>IF(B40="","",IF(B40="1-2","3-4",IF(B40="3-4","1-2","")))</f>
        <v/>
      </c>
      <c r="C41" s="19" t="str">
        <f>IF(OR(A40="",C40=""),"",100-C40)</f>
        <v/>
      </c>
      <c r="D41" s="3" t="str">
        <f t="shared" si="0"/>
        <v>INVALID PERCENT</v>
      </c>
    </row>
    <row r="42" spans="1:4" ht="14.25" customHeight="1" x14ac:dyDescent="0.3">
      <c r="A42" s="7"/>
      <c r="B42" s="7"/>
      <c r="C42" s="18"/>
      <c r="D42" s="3" t="str">
        <f t="shared" si="0"/>
        <v/>
      </c>
    </row>
    <row r="43" spans="1:4" ht="14.25" customHeight="1" x14ac:dyDescent="0.3">
      <c r="A43" s="9" t="str">
        <f>IF(OR(A42="",B42=""),"",A42)</f>
        <v/>
      </c>
      <c r="B43" s="9" t="str">
        <f>IF(B42="","",IF(B42="1-2","3-4",IF(B42="3-4","1-2","")))</f>
        <v/>
      </c>
      <c r="C43" s="19" t="str">
        <f>IF(OR(A42="",C42=""),"",100-C42)</f>
        <v/>
      </c>
      <c r="D43" s="3" t="str">
        <f t="shared" si="0"/>
        <v>INVALID PERCENT</v>
      </c>
    </row>
    <row r="44" spans="1:4" ht="14.25" customHeight="1" x14ac:dyDescent="0.3">
      <c r="A44" s="7"/>
      <c r="B44" s="7"/>
      <c r="C44" s="18"/>
      <c r="D44" s="3" t="str">
        <f t="shared" si="0"/>
        <v/>
      </c>
    </row>
    <row r="45" spans="1:4" ht="14.25" customHeight="1" x14ac:dyDescent="0.3">
      <c r="A45" s="9" t="str">
        <f>IF(OR(A44="",B44=""),"",A44)</f>
        <v/>
      </c>
      <c r="B45" s="9" t="str">
        <f>IF(B44="","",IF(B44="1-2","3-4",IF(B44="3-4","1-2","")))</f>
        <v/>
      </c>
      <c r="C45" s="19" t="str">
        <f>IF(OR(A44="",C44=""),"",100-C44)</f>
        <v/>
      </c>
      <c r="D45" s="3" t="str">
        <f t="shared" si="0"/>
        <v>INVALID PERCENT</v>
      </c>
    </row>
    <row r="46" spans="1:4" ht="14.25" customHeight="1" x14ac:dyDescent="0.3">
      <c r="A46" s="7"/>
      <c r="B46" s="7"/>
      <c r="C46" s="18"/>
      <c r="D46" s="3" t="str">
        <f t="shared" si="0"/>
        <v/>
      </c>
    </row>
    <row r="47" spans="1:4" ht="14.25" customHeight="1" x14ac:dyDescent="0.3">
      <c r="A47" s="9" t="str">
        <f>IF(OR(A46="",B46=""),"",A46)</f>
        <v/>
      </c>
      <c r="B47" s="9" t="str">
        <f>IF(B46="","",IF(B46="1-2","3-4",IF(B46="3-4","1-2","")))</f>
        <v/>
      </c>
      <c r="C47" s="19" t="str">
        <f>IF(OR(A46="",C46=""),"",100-C46)</f>
        <v/>
      </c>
      <c r="D47" s="3" t="str">
        <f t="shared" si="0"/>
        <v>INVALID PERCENT</v>
      </c>
    </row>
    <row r="48" spans="1:4" ht="14.25" customHeight="1" x14ac:dyDescent="0.3">
      <c r="A48" s="7"/>
      <c r="B48" s="7"/>
      <c r="C48" s="18"/>
      <c r="D48" s="3" t="str">
        <f t="shared" si="0"/>
        <v/>
      </c>
    </row>
    <row r="49" spans="1:4" ht="14.25" customHeight="1" x14ac:dyDescent="0.3">
      <c r="A49" s="9" t="str">
        <f>IF(OR(A48="",B48=""),"",A48)</f>
        <v/>
      </c>
      <c r="B49" s="9" t="str">
        <f>IF(B48="","",IF(B48="1-2","3-4",IF(B48="3-4","1-2","")))</f>
        <v/>
      </c>
      <c r="C49" s="19" t="str">
        <f>IF(OR(A48="",C48=""),"",100-C48)</f>
        <v/>
      </c>
      <c r="D49" s="3" t="str">
        <f t="shared" si="0"/>
        <v>INVALID PERCENT</v>
      </c>
    </row>
    <row r="50" spans="1:4" ht="14.25" customHeight="1" x14ac:dyDescent="0.3">
      <c r="A50" s="7"/>
      <c r="B50" s="7"/>
      <c r="C50" s="18"/>
      <c r="D50" s="3" t="str">
        <f t="shared" si="0"/>
        <v/>
      </c>
    </row>
    <row r="51" spans="1:4" ht="14.25" customHeight="1" x14ac:dyDescent="0.3">
      <c r="A51" s="9" t="str">
        <f>IF(OR(A50="",B50=""),"",A50)</f>
        <v/>
      </c>
      <c r="B51" s="9" t="str">
        <f>IF(B50="","",IF(B50="1-2","3-4",IF(B50="3-4","1-2","")))</f>
        <v/>
      </c>
      <c r="C51" s="19" t="str">
        <f>IF(OR(A50="",C50=""),"",100-C50)</f>
        <v/>
      </c>
      <c r="D51" s="3" t="str">
        <f t="shared" si="0"/>
        <v>INVALID PERCENT</v>
      </c>
    </row>
    <row r="52" spans="1:4" ht="14.25" customHeight="1" x14ac:dyDescent="0.3">
      <c r="A52" s="7"/>
      <c r="B52" s="7"/>
      <c r="C52" s="18"/>
      <c r="D52" s="3" t="str">
        <f t="shared" si="0"/>
        <v/>
      </c>
    </row>
    <row r="53" spans="1:4" ht="14.25" customHeight="1" x14ac:dyDescent="0.3">
      <c r="A53" s="9" t="str">
        <f>IF(OR(A52="",B52=""),"",A52)</f>
        <v/>
      </c>
      <c r="B53" s="9" t="str">
        <f>IF(B52="","",IF(B52="1-2","3-4",IF(B52="3-4","1-2","")))</f>
        <v/>
      </c>
      <c r="C53" s="19" t="str">
        <f>IF(OR(A52="",C52=""),"",100-C52)</f>
        <v/>
      </c>
      <c r="D53" s="3" t="str">
        <f t="shared" si="0"/>
        <v>INVALID PERCENT</v>
      </c>
    </row>
    <row r="54" spans="1:4" ht="14.25" customHeight="1" x14ac:dyDescent="0.3">
      <c r="A54" s="7"/>
      <c r="B54" s="7"/>
      <c r="C54" s="18"/>
      <c r="D54" s="3" t="str">
        <f t="shared" si="0"/>
        <v/>
      </c>
    </row>
    <row r="55" spans="1:4" ht="14.25" customHeight="1" x14ac:dyDescent="0.3">
      <c r="A55" s="9" t="str">
        <f>IF(OR(A54="",B54=""),"",A54)</f>
        <v/>
      </c>
      <c r="B55" s="9" t="str">
        <f>IF(B54="","",IF(B54="1-2","3-4",IF(B54="3-4","1-2","")))</f>
        <v/>
      </c>
      <c r="C55" s="19" t="str">
        <f>IF(OR(A54="",C54=""),"",100-C54)</f>
        <v/>
      </c>
      <c r="D55" s="3" t="str">
        <f t="shared" si="0"/>
        <v>INVALID PERCENT</v>
      </c>
    </row>
    <row r="56" spans="1:4" ht="14.25" customHeight="1" x14ac:dyDescent="0.3">
      <c r="A56" s="7"/>
      <c r="B56" s="7"/>
      <c r="C56" s="18"/>
      <c r="D56" s="3" t="str">
        <f t="shared" si="0"/>
        <v/>
      </c>
    </row>
    <row r="57" spans="1:4" ht="14.25" customHeight="1" x14ac:dyDescent="0.3">
      <c r="A57" s="9" t="str">
        <f>IF(OR(A56="",B56=""),"",A56)</f>
        <v/>
      </c>
      <c r="B57" s="9" t="str">
        <f>IF(B56="","",IF(B56="1-2","3-4",IF(B56="3-4","1-2","")))</f>
        <v/>
      </c>
      <c r="C57" s="19" t="str">
        <f>IF(OR(A56="",C56=""),"",100-C56)</f>
        <v/>
      </c>
      <c r="D57" s="3" t="str">
        <f t="shared" si="0"/>
        <v>INVALID PERCENT</v>
      </c>
    </row>
    <row r="58" spans="1:4" ht="14.25" customHeight="1" x14ac:dyDescent="0.3">
      <c r="A58" s="7"/>
      <c r="B58" s="7"/>
      <c r="C58" s="18"/>
      <c r="D58" s="3" t="str">
        <f t="shared" si="0"/>
        <v/>
      </c>
    </row>
    <row r="59" spans="1:4" ht="14.25" customHeight="1" x14ac:dyDescent="0.3">
      <c r="A59" s="9" t="str">
        <f>IF(OR(A58="",B58=""),"",A58)</f>
        <v/>
      </c>
      <c r="B59" s="9" t="str">
        <f>IF(B58="","",IF(B58="1-2","3-4",IF(B58="3-4","1-2","")))</f>
        <v/>
      </c>
      <c r="C59" s="19" t="str">
        <f>IF(OR(A58="",C58=""),"",100-C58)</f>
        <v/>
      </c>
      <c r="D59" s="3" t="str">
        <f t="shared" si="0"/>
        <v>INVALID PERCENT</v>
      </c>
    </row>
    <row r="60" spans="1:4" ht="14.25" customHeight="1" x14ac:dyDescent="0.3">
      <c r="A60" s="7"/>
      <c r="B60" s="7"/>
      <c r="C60" s="18"/>
      <c r="D60" s="3" t="str">
        <f t="shared" si="0"/>
        <v/>
      </c>
    </row>
    <row r="61" spans="1:4" ht="14.25" customHeight="1" x14ac:dyDescent="0.3">
      <c r="A61" s="9" t="str">
        <f>IF(OR(A60="",B60=""),"",A60)</f>
        <v/>
      </c>
      <c r="B61" s="9" t="str">
        <f>IF(B60="","",IF(B60="1-2","3-4",IF(B60="3-4","1-2","")))</f>
        <v/>
      </c>
      <c r="C61" s="19" t="str">
        <f>IF(OR(A60="",C60=""),"",100-C60)</f>
        <v/>
      </c>
      <c r="D61" s="3" t="str">
        <f t="shared" si="0"/>
        <v>INVALID PERCENT</v>
      </c>
    </row>
    <row r="62" spans="1:4" ht="14.25" customHeight="1" x14ac:dyDescent="0.3">
      <c r="A62" s="7"/>
      <c r="B62" s="7"/>
      <c r="C62" s="18"/>
      <c r="D62" s="3" t="str">
        <f t="shared" si="0"/>
        <v/>
      </c>
    </row>
    <row r="63" spans="1:4" ht="14.25" customHeight="1" x14ac:dyDescent="0.3">
      <c r="A63" s="9" t="str">
        <f>IF(OR(A62="",B62=""),"",A62)</f>
        <v/>
      </c>
      <c r="B63" s="9" t="str">
        <f>IF(B62="","",IF(B62="1-2","3-4",IF(B62="3-4","1-2","")))</f>
        <v/>
      </c>
      <c r="C63" s="19" t="str">
        <f>IF(OR(A62="",C62=""),"",100-C62)</f>
        <v/>
      </c>
      <c r="D63" s="3" t="str">
        <f t="shared" si="0"/>
        <v>INVALID PERCENT</v>
      </c>
    </row>
    <row r="64" spans="1:4" ht="14.25" customHeight="1" x14ac:dyDescent="0.3">
      <c r="A64" s="7"/>
      <c r="B64" s="7"/>
      <c r="C64" s="18"/>
      <c r="D64" s="3" t="str">
        <f t="shared" si="0"/>
        <v/>
      </c>
    </row>
    <row r="65" spans="1:4" ht="14.25" customHeight="1" x14ac:dyDescent="0.3">
      <c r="A65" s="9" t="str">
        <f>IF(OR(A64="",B64=""),"",A64)</f>
        <v/>
      </c>
      <c r="B65" s="9" t="str">
        <f>IF(B64="","",IF(B64="1-2","3-4",IF(B64="3-4","1-2","")))</f>
        <v/>
      </c>
      <c r="C65" s="19" t="str">
        <f>IF(OR(A64="",C64=""),"",100-C64)</f>
        <v/>
      </c>
      <c r="D65" s="3" t="str">
        <f t="shared" si="0"/>
        <v>INVALID PERCENT</v>
      </c>
    </row>
    <row r="66" spans="1:4" ht="14.25" customHeight="1" x14ac:dyDescent="0.3">
      <c r="A66" s="7"/>
      <c r="B66" s="7"/>
      <c r="C66" s="18"/>
      <c r="D66" s="3" t="str">
        <f t="shared" ref="D66:D129" si="1">IF(COUNTA(A66:C66)=0,"",IF(OR(C66&lt;0,C66&gt;100),"INVALID PERCENT",IF(COUNTIFS($A$2:$A$1000,A66,$B$2:$B$1000,B66)&gt;1,"DUPLICATE ROOM/GROUP","OK")))</f>
        <v/>
      </c>
    </row>
    <row r="67" spans="1:4" ht="14.25" customHeight="1" x14ac:dyDescent="0.3">
      <c r="A67" s="9" t="str">
        <f>IF(OR(A66="",B66=""),"",A66)</f>
        <v/>
      </c>
      <c r="B67" s="9" t="str">
        <f>IF(B66="","",IF(B66="1-2","3-4",IF(B66="3-4","1-2","")))</f>
        <v/>
      </c>
      <c r="C67" s="19" t="str">
        <f>IF(OR(A66="",C66=""),"",100-C66)</f>
        <v/>
      </c>
      <c r="D67" s="3" t="str">
        <f t="shared" si="1"/>
        <v>INVALID PERCENT</v>
      </c>
    </row>
    <row r="68" spans="1:4" ht="14.25" customHeight="1" x14ac:dyDescent="0.3">
      <c r="A68" s="7"/>
      <c r="B68" s="7"/>
      <c r="C68" s="18"/>
      <c r="D68" s="3" t="str">
        <f t="shared" si="1"/>
        <v/>
      </c>
    </row>
    <row r="69" spans="1:4" ht="14.25" customHeight="1" x14ac:dyDescent="0.3">
      <c r="A69" s="9" t="str">
        <f>IF(OR(A68="",B68=""),"",A68)</f>
        <v/>
      </c>
      <c r="B69" s="9" t="str">
        <f>IF(B68="","",IF(B68="1-2","3-4",IF(B68="3-4","1-2","")))</f>
        <v/>
      </c>
      <c r="C69" s="19" t="str">
        <f>IF(OR(A68="",C68=""),"",100-C68)</f>
        <v/>
      </c>
      <c r="D69" s="3" t="str">
        <f t="shared" si="1"/>
        <v>INVALID PERCENT</v>
      </c>
    </row>
    <row r="70" spans="1:4" ht="14.25" customHeight="1" x14ac:dyDescent="0.3">
      <c r="A70" s="7"/>
      <c r="B70" s="7"/>
      <c r="C70" s="18"/>
      <c r="D70" s="3" t="str">
        <f t="shared" si="1"/>
        <v/>
      </c>
    </row>
    <row r="71" spans="1:4" ht="14.25" customHeight="1" x14ac:dyDescent="0.3">
      <c r="A71" s="9" t="str">
        <f>IF(OR(A70="",B70=""),"",A70)</f>
        <v/>
      </c>
      <c r="B71" s="9" t="str">
        <f>IF(B70="","",IF(B70="1-2","3-4",IF(B70="3-4","1-2","")))</f>
        <v/>
      </c>
      <c r="C71" s="19" t="str">
        <f>IF(OR(A70="",C70=""),"",100-C70)</f>
        <v/>
      </c>
      <c r="D71" s="3" t="str">
        <f t="shared" si="1"/>
        <v>INVALID PERCENT</v>
      </c>
    </row>
    <row r="72" spans="1:4" ht="14.25" customHeight="1" x14ac:dyDescent="0.3">
      <c r="A72" s="7"/>
      <c r="B72" s="7"/>
      <c r="C72" s="18"/>
      <c r="D72" s="3" t="str">
        <f t="shared" si="1"/>
        <v/>
      </c>
    </row>
    <row r="73" spans="1:4" ht="14.25" customHeight="1" x14ac:dyDescent="0.3">
      <c r="A73" s="9" t="str">
        <f>IF(OR(A72="",B72=""),"",A72)</f>
        <v/>
      </c>
      <c r="B73" s="9" t="str">
        <f>IF(B72="","",IF(B72="1-2","3-4",IF(B72="3-4","1-2","")))</f>
        <v/>
      </c>
      <c r="C73" s="19" t="str">
        <f>IF(OR(A72="",C72=""),"",100-C72)</f>
        <v/>
      </c>
      <c r="D73" s="3" t="str">
        <f t="shared" si="1"/>
        <v>INVALID PERCENT</v>
      </c>
    </row>
    <row r="74" spans="1:4" ht="14.25" customHeight="1" x14ac:dyDescent="0.3">
      <c r="A74" s="7"/>
      <c r="B74" s="7"/>
      <c r="C74" s="18"/>
      <c r="D74" s="3" t="str">
        <f t="shared" si="1"/>
        <v/>
      </c>
    </row>
    <row r="75" spans="1:4" ht="14.25" customHeight="1" x14ac:dyDescent="0.3">
      <c r="A75" s="9" t="str">
        <f>IF(OR(A74="",B74=""),"",A74)</f>
        <v/>
      </c>
      <c r="B75" s="9" t="str">
        <f>IF(B74="","",IF(B74="1-2","3-4",IF(B74="3-4","1-2","")))</f>
        <v/>
      </c>
      <c r="C75" s="19" t="str">
        <f>IF(OR(A74="",C74=""),"",100-C74)</f>
        <v/>
      </c>
      <c r="D75" s="3" t="str">
        <f t="shared" si="1"/>
        <v>INVALID PERCENT</v>
      </c>
    </row>
    <row r="76" spans="1:4" ht="14.25" customHeight="1" x14ac:dyDescent="0.3">
      <c r="A76" s="7"/>
      <c r="B76" s="7"/>
      <c r="C76" s="18"/>
      <c r="D76" s="3" t="str">
        <f t="shared" si="1"/>
        <v/>
      </c>
    </row>
    <row r="77" spans="1:4" ht="14.25" customHeight="1" x14ac:dyDescent="0.3">
      <c r="A77" s="9" t="str">
        <f>IF(OR(A76="",B76=""),"",A76)</f>
        <v/>
      </c>
      <c r="B77" s="9" t="str">
        <f>IF(B76="","",IF(B76="1-2","3-4",IF(B76="3-4","1-2","")))</f>
        <v/>
      </c>
      <c r="C77" s="19" t="str">
        <f>IF(OR(A76="",C76=""),"",100-C76)</f>
        <v/>
      </c>
      <c r="D77" s="3" t="str">
        <f t="shared" si="1"/>
        <v>INVALID PERCENT</v>
      </c>
    </row>
    <row r="78" spans="1:4" ht="14.25" customHeight="1" x14ac:dyDescent="0.3">
      <c r="A78" s="7"/>
      <c r="B78" s="7"/>
      <c r="C78" s="18"/>
      <c r="D78" s="3" t="str">
        <f t="shared" si="1"/>
        <v/>
      </c>
    </row>
    <row r="79" spans="1:4" ht="14.25" customHeight="1" x14ac:dyDescent="0.3">
      <c r="A79" s="9" t="str">
        <f>IF(OR(A78="",B78=""),"",A78)</f>
        <v/>
      </c>
      <c r="B79" s="9" t="str">
        <f>IF(B78="","",IF(B78="1-2","3-4",IF(B78="3-4","1-2","")))</f>
        <v/>
      </c>
      <c r="C79" s="19" t="str">
        <f>IF(OR(A78="",C78=""),"",100-C78)</f>
        <v/>
      </c>
      <c r="D79" s="3" t="str">
        <f t="shared" si="1"/>
        <v>INVALID PERCENT</v>
      </c>
    </row>
    <row r="80" spans="1:4" ht="14.25" customHeight="1" x14ac:dyDescent="0.3">
      <c r="A80" s="7"/>
      <c r="B80" s="7"/>
      <c r="C80" s="18"/>
      <c r="D80" s="3" t="str">
        <f t="shared" si="1"/>
        <v/>
      </c>
    </row>
    <row r="81" spans="1:4" ht="14.25" customHeight="1" x14ac:dyDescent="0.3">
      <c r="A81" s="9" t="str">
        <f>IF(OR(A80="",B80=""),"",A80)</f>
        <v/>
      </c>
      <c r="B81" s="9" t="str">
        <f>IF(B80="","",IF(B80="1-2","3-4",IF(B80="3-4","1-2","")))</f>
        <v/>
      </c>
      <c r="C81" s="19" t="str">
        <f>IF(OR(A80="",C80=""),"",100-C80)</f>
        <v/>
      </c>
      <c r="D81" s="3" t="str">
        <f t="shared" si="1"/>
        <v>INVALID PERCENT</v>
      </c>
    </row>
    <row r="82" spans="1:4" ht="14.25" customHeight="1" x14ac:dyDescent="0.3">
      <c r="A82" s="7"/>
      <c r="B82" s="7"/>
      <c r="C82" s="18"/>
      <c r="D82" s="3" t="str">
        <f t="shared" si="1"/>
        <v/>
      </c>
    </row>
    <row r="83" spans="1:4" ht="14.25" customHeight="1" x14ac:dyDescent="0.3">
      <c r="A83" s="9" t="str">
        <f>IF(OR(A82="",B82=""),"",A82)</f>
        <v/>
      </c>
      <c r="B83" s="9" t="str">
        <f>IF(B82="","",IF(B82="1-2","3-4",IF(B82="3-4","1-2","")))</f>
        <v/>
      </c>
      <c r="C83" s="19" t="str">
        <f>IF(OR(A82="",C82=""),"",100-C82)</f>
        <v/>
      </c>
      <c r="D83" s="3" t="str">
        <f t="shared" si="1"/>
        <v>INVALID PERCENT</v>
      </c>
    </row>
    <row r="84" spans="1:4" ht="14.25" customHeight="1" x14ac:dyDescent="0.3">
      <c r="A84" s="7"/>
      <c r="B84" s="7"/>
      <c r="C84" s="18"/>
      <c r="D84" s="3" t="str">
        <f t="shared" si="1"/>
        <v/>
      </c>
    </row>
    <row r="85" spans="1:4" ht="14.25" customHeight="1" x14ac:dyDescent="0.3">
      <c r="A85" s="9" t="str">
        <f>IF(OR(A84="",B84=""),"",A84)</f>
        <v/>
      </c>
      <c r="B85" s="9" t="str">
        <f>IF(B84="","",IF(B84="1-2","3-4",IF(B84="3-4","1-2","")))</f>
        <v/>
      </c>
      <c r="C85" s="19" t="str">
        <f>IF(OR(A84="",C84=""),"",100-C84)</f>
        <v/>
      </c>
      <c r="D85" s="3" t="str">
        <f t="shared" si="1"/>
        <v>INVALID PERCENT</v>
      </c>
    </row>
    <row r="86" spans="1:4" ht="14.25" customHeight="1" x14ac:dyDescent="0.3">
      <c r="A86" s="7"/>
      <c r="B86" s="7"/>
      <c r="C86" s="18"/>
      <c r="D86" s="3" t="str">
        <f t="shared" si="1"/>
        <v/>
      </c>
    </row>
    <row r="87" spans="1:4" ht="14.25" customHeight="1" x14ac:dyDescent="0.3">
      <c r="A87" s="9" t="str">
        <f>IF(OR(A86="",B86=""),"",A86)</f>
        <v/>
      </c>
      <c r="B87" s="9" t="str">
        <f>IF(B86="","",IF(B86="1-2","3-4",IF(B86="3-4","1-2","")))</f>
        <v/>
      </c>
      <c r="C87" s="19" t="str">
        <f>IF(OR(A86="",C86=""),"",100-C86)</f>
        <v/>
      </c>
      <c r="D87" s="3" t="str">
        <f t="shared" si="1"/>
        <v>INVALID PERCENT</v>
      </c>
    </row>
    <row r="88" spans="1:4" ht="14.25" customHeight="1" x14ac:dyDescent="0.3">
      <c r="A88" s="7"/>
      <c r="B88" s="7"/>
      <c r="C88" s="18"/>
      <c r="D88" s="3" t="str">
        <f t="shared" si="1"/>
        <v/>
      </c>
    </row>
    <row r="89" spans="1:4" ht="14.25" customHeight="1" x14ac:dyDescent="0.3">
      <c r="A89" s="9" t="str">
        <f>IF(OR(A88="",B88=""),"",A88)</f>
        <v/>
      </c>
      <c r="B89" s="9" t="str">
        <f>IF(B88="","",IF(B88="1-2","3-4",IF(B88="3-4","1-2","")))</f>
        <v/>
      </c>
      <c r="C89" s="19" t="str">
        <f>IF(OR(A88="",C88=""),"",100-C88)</f>
        <v/>
      </c>
      <c r="D89" s="3" t="str">
        <f t="shared" si="1"/>
        <v>INVALID PERCENT</v>
      </c>
    </row>
    <row r="90" spans="1:4" ht="14.25" customHeight="1" x14ac:dyDescent="0.3">
      <c r="A90" s="7"/>
      <c r="B90" s="7"/>
      <c r="C90" s="18"/>
      <c r="D90" s="3" t="str">
        <f t="shared" si="1"/>
        <v/>
      </c>
    </row>
    <row r="91" spans="1:4" ht="14.25" customHeight="1" x14ac:dyDescent="0.3">
      <c r="A91" s="9" t="str">
        <f>IF(OR(A90="",B90=""),"",A90)</f>
        <v/>
      </c>
      <c r="B91" s="9" t="str">
        <f>IF(B90="","",IF(B90="1-2","3-4",IF(B90="3-4","1-2","")))</f>
        <v/>
      </c>
      <c r="C91" s="19" t="str">
        <f>IF(OR(A90="",C90=""),"",100-C90)</f>
        <v/>
      </c>
      <c r="D91" s="3" t="str">
        <f t="shared" si="1"/>
        <v>INVALID PERCENT</v>
      </c>
    </row>
    <row r="92" spans="1:4" ht="14.25" customHeight="1" x14ac:dyDescent="0.3">
      <c r="A92" s="7"/>
      <c r="B92" s="7"/>
      <c r="C92" s="18"/>
      <c r="D92" s="3" t="str">
        <f t="shared" si="1"/>
        <v/>
      </c>
    </row>
    <row r="93" spans="1:4" ht="14.25" customHeight="1" x14ac:dyDescent="0.3">
      <c r="A93" s="9" t="str">
        <f>IF(OR(A92="",B92=""),"",A92)</f>
        <v/>
      </c>
      <c r="B93" s="9" t="str">
        <f>IF(B92="","",IF(B92="1-2","3-4",IF(B92="3-4","1-2","")))</f>
        <v/>
      </c>
      <c r="C93" s="19" t="str">
        <f>IF(OR(A92="",C92=""),"",100-C92)</f>
        <v/>
      </c>
      <c r="D93" s="3" t="str">
        <f t="shared" si="1"/>
        <v>INVALID PERCENT</v>
      </c>
    </row>
    <row r="94" spans="1:4" ht="14.25" customHeight="1" x14ac:dyDescent="0.3">
      <c r="A94" s="7"/>
      <c r="B94" s="7"/>
      <c r="C94" s="18"/>
      <c r="D94" s="3" t="str">
        <f t="shared" si="1"/>
        <v/>
      </c>
    </row>
    <row r="95" spans="1:4" ht="14.25" customHeight="1" x14ac:dyDescent="0.3">
      <c r="A95" s="9" t="str">
        <f>IF(OR(A94="",B94=""),"",A94)</f>
        <v/>
      </c>
      <c r="B95" s="9" t="str">
        <f>IF(B94="","",IF(B94="1-2","3-4",IF(B94="3-4","1-2","")))</f>
        <v/>
      </c>
      <c r="C95" s="19" t="str">
        <f>IF(OR(A94="",C94=""),"",100-C94)</f>
        <v/>
      </c>
      <c r="D95" s="3" t="str">
        <f t="shared" si="1"/>
        <v>INVALID PERCENT</v>
      </c>
    </row>
    <row r="96" spans="1:4" ht="14.25" customHeight="1" x14ac:dyDescent="0.3">
      <c r="A96" s="7"/>
      <c r="B96" s="7"/>
      <c r="C96" s="18"/>
      <c r="D96" s="3" t="str">
        <f t="shared" si="1"/>
        <v/>
      </c>
    </row>
    <row r="97" spans="1:4" ht="14.25" customHeight="1" x14ac:dyDescent="0.3">
      <c r="A97" s="9" t="str">
        <f>IF(OR(A96="",B96=""),"",A96)</f>
        <v/>
      </c>
      <c r="B97" s="9" t="str">
        <f>IF(B96="","",IF(B96="1-2","3-4",IF(B96="3-4","1-2","")))</f>
        <v/>
      </c>
      <c r="C97" s="19" t="str">
        <f>IF(OR(A96="",C96=""),"",100-C96)</f>
        <v/>
      </c>
      <c r="D97" s="3" t="str">
        <f t="shared" si="1"/>
        <v>INVALID PERCENT</v>
      </c>
    </row>
    <row r="98" spans="1:4" ht="14.25" customHeight="1" x14ac:dyDescent="0.3">
      <c r="A98" s="7"/>
      <c r="B98" s="7"/>
      <c r="C98" s="18"/>
      <c r="D98" s="3" t="str">
        <f t="shared" si="1"/>
        <v/>
      </c>
    </row>
    <row r="99" spans="1:4" ht="14.25" customHeight="1" x14ac:dyDescent="0.3">
      <c r="A99" s="9" t="str">
        <f>IF(OR(A98="",B98=""),"",A98)</f>
        <v/>
      </c>
      <c r="B99" s="9" t="str">
        <f>IF(B98="","",IF(B98="1-2","3-4",IF(B98="3-4","1-2","")))</f>
        <v/>
      </c>
      <c r="C99" s="19" t="str">
        <f>IF(OR(A98="",C98=""),"",100-C98)</f>
        <v/>
      </c>
      <c r="D99" s="3" t="str">
        <f t="shared" si="1"/>
        <v>INVALID PERCENT</v>
      </c>
    </row>
    <row r="100" spans="1:4" ht="14.25" customHeight="1" x14ac:dyDescent="0.3">
      <c r="A100" s="7"/>
      <c r="B100" s="7"/>
      <c r="C100" s="18"/>
      <c r="D100" s="3" t="str">
        <f t="shared" si="1"/>
        <v/>
      </c>
    </row>
    <row r="101" spans="1:4" ht="14.25" customHeight="1" x14ac:dyDescent="0.3">
      <c r="A101" s="9" t="str">
        <f>IF(OR(A100="",B100=""),"",A100)</f>
        <v/>
      </c>
      <c r="B101" s="9" t="str">
        <f>IF(B100="","",IF(B100="1-2","3-4",IF(B100="3-4","1-2","")))</f>
        <v/>
      </c>
      <c r="C101" s="19" t="str">
        <f>IF(OR(A100="",C100=""),"",100-C100)</f>
        <v/>
      </c>
      <c r="D101" s="3" t="str">
        <f t="shared" si="1"/>
        <v>INVALID PERCENT</v>
      </c>
    </row>
    <row r="102" spans="1:4" ht="14.25" customHeight="1" x14ac:dyDescent="0.3">
      <c r="A102" s="7"/>
      <c r="B102" s="7"/>
      <c r="C102" s="18"/>
      <c r="D102" s="3" t="str">
        <f t="shared" si="1"/>
        <v/>
      </c>
    </row>
    <row r="103" spans="1:4" ht="14.25" customHeight="1" x14ac:dyDescent="0.3">
      <c r="A103" s="9" t="str">
        <f>IF(OR(A102="",B102=""),"",A102)</f>
        <v/>
      </c>
      <c r="B103" s="9" t="str">
        <f>IF(B102="","",IF(B102="1-2","3-4",IF(B102="3-4","1-2","")))</f>
        <v/>
      </c>
      <c r="C103" s="19" t="str">
        <f>IF(OR(A102="",C102=""),"",100-C102)</f>
        <v/>
      </c>
      <c r="D103" s="3" t="str">
        <f t="shared" si="1"/>
        <v>INVALID PERCENT</v>
      </c>
    </row>
    <row r="104" spans="1:4" ht="14.25" customHeight="1" x14ac:dyDescent="0.3">
      <c r="A104" s="7"/>
      <c r="B104" s="7"/>
      <c r="C104" s="18"/>
      <c r="D104" s="3" t="str">
        <f t="shared" si="1"/>
        <v/>
      </c>
    </row>
    <row r="105" spans="1:4" ht="14.25" customHeight="1" x14ac:dyDescent="0.3">
      <c r="A105" s="9" t="str">
        <f>IF(OR(A104="",B104=""),"",A104)</f>
        <v/>
      </c>
      <c r="B105" s="9" t="str">
        <f>IF(B104="","",IF(B104="1-2","3-4",IF(B104="3-4","1-2","")))</f>
        <v/>
      </c>
      <c r="C105" s="19" t="str">
        <f>IF(OR(A104="",C104=""),"",100-C104)</f>
        <v/>
      </c>
      <c r="D105" s="3" t="str">
        <f t="shared" si="1"/>
        <v>INVALID PERCENT</v>
      </c>
    </row>
    <row r="106" spans="1:4" ht="14.25" customHeight="1" x14ac:dyDescent="0.3">
      <c r="A106" s="7"/>
      <c r="B106" s="7"/>
      <c r="C106" s="18"/>
      <c r="D106" s="3" t="str">
        <f t="shared" si="1"/>
        <v/>
      </c>
    </row>
    <row r="107" spans="1:4" ht="14.25" customHeight="1" x14ac:dyDescent="0.3">
      <c r="A107" s="9" t="str">
        <f>IF(OR(A106="",B106=""),"",A106)</f>
        <v/>
      </c>
      <c r="B107" s="9" t="str">
        <f>IF(B106="","",IF(B106="1-2","3-4",IF(B106="3-4","1-2","")))</f>
        <v/>
      </c>
      <c r="C107" s="19" t="str">
        <f>IF(OR(A106="",C106=""),"",100-C106)</f>
        <v/>
      </c>
      <c r="D107" s="3" t="str">
        <f t="shared" si="1"/>
        <v>INVALID PERCENT</v>
      </c>
    </row>
    <row r="108" spans="1:4" ht="14.25" customHeight="1" x14ac:dyDescent="0.3">
      <c r="A108" s="7"/>
      <c r="B108" s="7"/>
      <c r="C108" s="18"/>
      <c r="D108" s="3" t="str">
        <f t="shared" si="1"/>
        <v/>
      </c>
    </row>
    <row r="109" spans="1:4" ht="14.25" customHeight="1" x14ac:dyDescent="0.3">
      <c r="A109" s="9" t="str">
        <f>IF(OR(A108="",B108=""),"",A108)</f>
        <v/>
      </c>
      <c r="B109" s="9" t="str">
        <f>IF(B108="","",IF(B108="1-2","3-4",IF(B108="3-4","1-2","")))</f>
        <v/>
      </c>
      <c r="C109" s="19" t="str">
        <f>IF(OR(A108="",C108=""),"",100-C108)</f>
        <v/>
      </c>
      <c r="D109" s="3" t="str">
        <f t="shared" si="1"/>
        <v>INVALID PERCENT</v>
      </c>
    </row>
    <row r="110" spans="1:4" ht="14.25" customHeight="1" x14ac:dyDescent="0.3">
      <c r="A110" s="7"/>
      <c r="B110" s="7"/>
      <c r="C110" s="18"/>
      <c r="D110" s="3" t="str">
        <f t="shared" si="1"/>
        <v/>
      </c>
    </row>
    <row r="111" spans="1:4" ht="14.25" customHeight="1" x14ac:dyDescent="0.3">
      <c r="A111" s="9" t="str">
        <f>IF(OR(A110="",B110=""),"",A110)</f>
        <v/>
      </c>
      <c r="B111" s="9" t="str">
        <f>IF(B110="","",IF(B110="1-2","3-4",IF(B110="3-4","1-2","")))</f>
        <v/>
      </c>
      <c r="C111" s="19" t="str">
        <f>IF(OR(A110="",C110=""),"",100-C110)</f>
        <v/>
      </c>
      <c r="D111" s="3" t="str">
        <f t="shared" si="1"/>
        <v>INVALID PERCENT</v>
      </c>
    </row>
    <row r="112" spans="1:4" ht="14.25" customHeight="1" x14ac:dyDescent="0.3">
      <c r="A112" s="7"/>
      <c r="B112" s="7"/>
      <c r="C112" s="18"/>
      <c r="D112" s="3" t="str">
        <f t="shared" si="1"/>
        <v/>
      </c>
    </row>
    <row r="113" spans="1:4" ht="14.25" customHeight="1" x14ac:dyDescent="0.3">
      <c r="A113" s="9" t="str">
        <f>IF(OR(A112="",B112=""),"",A112)</f>
        <v/>
      </c>
      <c r="B113" s="9" t="str">
        <f>IF(B112="","",IF(B112="1-2","3-4",IF(B112="3-4","1-2","")))</f>
        <v/>
      </c>
      <c r="C113" s="19" t="str">
        <f>IF(OR(A112="",C112=""),"",100-C112)</f>
        <v/>
      </c>
      <c r="D113" s="3" t="str">
        <f t="shared" si="1"/>
        <v>INVALID PERCENT</v>
      </c>
    </row>
    <row r="114" spans="1:4" ht="14.25" customHeight="1" x14ac:dyDescent="0.3">
      <c r="A114" s="7"/>
      <c r="B114" s="7"/>
      <c r="C114" s="18"/>
      <c r="D114" s="3" t="str">
        <f t="shared" si="1"/>
        <v/>
      </c>
    </row>
    <row r="115" spans="1:4" ht="14.25" customHeight="1" x14ac:dyDescent="0.3">
      <c r="A115" s="9" t="str">
        <f>IF(OR(A114="",B114=""),"",A114)</f>
        <v/>
      </c>
      <c r="B115" s="9" t="str">
        <f>IF(B114="","",IF(B114="1-2","3-4",IF(B114="3-4","1-2","")))</f>
        <v/>
      </c>
      <c r="C115" s="19" t="str">
        <f>IF(OR(A114="",C114=""),"",100-C114)</f>
        <v/>
      </c>
      <c r="D115" s="3" t="str">
        <f t="shared" si="1"/>
        <v>INVALID PERCENT</v>
      </c>
    </row>
    <row r="116" spans="1:4" ht="14.25" customHeight="1" x14ac:dyDescent="0.3">
      <c r="A116" s="7"/>
      <c r="B116" s="7"/>
      <c r="C116" s="18"/>
      <c r="D116" s="3" t="str">
        <f t="shared" si="1"/>
        <v/>
      </c>
    </row>
    <row r="117" spans="1:4" ht="14.25" customHeight="1" x14ac:dyDescent="0.3">
      <c r="A117" s="9" t="str">
        <f>IF(OR(A116="",B116=""),"",A116)</f>
        <v/>
      </c>
      <c r="B117" s="9" t="str">
        <f>IF(B116="","",IF(B116="1-2","3-4",IF(B116="3-4","1-2","")))</f>
        <v/>
      </c>
      <c r="C117" s="19" t="str">
        <f>IF(OR(A116="",C116=""),"",100-C116)</f>
        <v/>
      </c>
      <c r="D117" s="3" t="str">
        <f t="shared" si="1"/>
        <v>INVALID PERCENT</v>
      </c>
    </row>
    <row r="118" spans="1:4" ht="14.25" customHeight="1" x14ac:dyDescent="0.3">
      <c r="A118" s="7"/>
      <c r="B118" s="7"/>
      <c r="C118" s="18"/>
      <c r="D118" s="3" t="str">
        <f t="shared" si="1"/>
        <v/>
      </c>
    </row>
    <row r="119" spans="1:4" ht="14.25" customHeight="1" x14ac:dyDescent="0.3">
      <c r="A119" s="9" t="str">
        <f>IF(OR(A118="",B118=""),"",A118)</f>
        <v/>
      </c>
      <c r="B119" s="9" t="str">
        <f>IF(B118="","",IF(B118="1-2","3-4",IF(B118="3-4","1-2","")))</f>
        <v/>
      </c>
      <c r="C119" s="19" t="str">
        <f>IF(OR(A118="",C118=""),"",100-C118)</f>
        <v/>
      </c>
      <c r="D119" s="3" t="str">
        <f t="shared" si="1"/>
        <v>INVALID PERCENT</v>
      </c>
    </row>
    <row r="120" spans="1:4" ht="14.25" customHeight="1" x14ac:dyDescent="0.3">
      <c r="A120" s="7"/>
      <c r="B120" s="7"/>
      <c r="C120" s="18"/>
      <c r="D120" s="3" t="str">
        <f t="shared" si="1"/>
        <v/>
      </c>
    </row>
    <row r="121" spans="1:4" ht="14.25" customHeight="1" x14ac:dyDescent="0.3">
      <c r="A121" s="9" t="str">
        <f>IF(OR(A120="",B120=""),"",A120)</f>
        <v/>
      </c>
      <c r="B121" s="9" t="str">
        <f>IF(B120="","",IF(B120="1-2","3-4",IF(B120="3-4","1-2","")))</f>
        <v/>
      </c>
      <c r="C121" s="19" t="str">
        <f>IF(OR(A120="",C120=""),"",100-C120)</f>
        <v/>
      </c>
      <c r="D121" s="3" t="str">
        <f t="shared" si="1"/>
        <v>INVALID PERCENT</v>
      </c>
    </row>
    <row r="122" spans="1:4" ht="14.25" customHeight="1" x14ac:dyDescent="0.3">
      <c r="A122" s="7"/>
      <c r="B122" s="7"/>
      <c r="C122" s="18"/>
      <c r="D122" s="3" t="str">
        <f t="shared" si="1"/>
        <v/>
      </c>
    </row>
    <row r="123" spans="1:4" ht="14.25" customHeight="1" x14ac:dyDescent="0.3">
      <c r="A123" s="9" t="str">
        <f>IF(OR(A122="",B122=""),"",A122)</f>
        <v/>
      </c>
      <c r="B123" s="9" t="str">
        <f>IF(B122="","",IF(B122="1-2","3-4",IF(B122="3-4","1-2","")))</f>
        <v/>
      </c>
      <c r="C123" s="19" t="str">
        <f>IF(OR(A122="",C122=""),"",100-C122)</f>
        <v/>
      </c>
      <c r="D123" s="3" t="str">
        <f t="shared" si="1"/>
        <v>INVALID PERCENT</v>
      </c>
    </row>
    <row r="124" spans="1:4" ht="14.25" customHeight="1" x14ac:dyDescent="0.3">
      <c r="A124" s="7"/>
      <c r="B124" s="7"/>
      <c r="C124" s="18"/>
      <c r="D124" s="3" t="str">
        <f t="shared" si="1"/>
        <v/>
      </c>
    </row>
    <row r="125" spans="1:4" ht="14.25" customHeight="1" x14ac:dyDescent="0.3">
      <c r="A125" s="9" t="str">
        <f>IF(OR(A124="",B124=""),"",A124)</f>
        <v/>
      </c>
      <c r="B125" s="9" t="str">
        <f>IF(B124="","",IF(B124="1-2","3-4",IF(B124="3-4","1-2","")))</f>
        <v/>
      </c>
      <c r="C125" s="19" t="str">
        <f>IF(OR(A124="",C124=""),"",100-C124)</f>
        <v/>
      </c>
      <c r="D125" s="3" t="str">
        <f t="shared" si="1"/>
        <v>INVALID PERCENT</v>
      </c>
    </row>
    <row r="126" spans="1:4" ht="14.25" customHeight="1" x14ac:dyDescent="0.3">
      <c r="A126" s="7"/>
      <c r="B126" s="7"/>
      <c r="C126" s="18"/>
      <c r="D126" s="3" t="str">
        <f t="shared" si="1"/>
        <v/>
      </c>
    </row>
    <row r="127" spans="1:4" ht="14.25" customHeight="1" x14ac:dyDescent="0.3">
      <c r="A127" s="9" t="str">
        <f>IF(OR(A126="",B126=""),"",A126)</f>
        <v/>
      </c>
      <c r="B127" s="9" t="str">
        <f>IF(B126="","",IF(B126="1-2","3-4",IF(B126="3-4","1-2","")))</f>
        <v/>
      </c>
      <c r="C127" s="19" t="str">
        <f>IF(OR(A126="",C126=""),"",100-C126)</f>
        <v/>
      </c>
      <c r="D127" s="3" t="str">
        <f t="shared" si="1"/>
        <v>INVALID PERCENT</v>
      </c>
    </row>
    <row r="128" spans="1:4" ht="14.25" customHeight="1" x14ac:dyDescent="0.3">
      <c r="A128" s="7"/>
      <c r="B128" s="7"/>
      <c r="C128" s="18"/>
      <c r="D128" s="3" t="str">
        <f t="shared" si="1"/>
        <v/>
      </c>
    </row>
    <row r="129" spans="1:4" ht="14.25" customHeight="1" x14ac:dyDescent="0.3">
      <c r="A129" s="9" t="str">
        <f>IF(OR(A128="",B128=""),"",A128)</f>
        <v/>
      </c>
      <c r="B129" s="9" t="str">
        <f>IF(B128="","",IF(B128="1-2","3-4",IF(B128="3-4","1-2","")))</f>
        <v/>
      </c>
      <c r="C129" s="19" t="str">
        <f>IF(OR(A128="",C128=""),"",100-C128)</f>
        <v/>
      </c>
      <c r="D129" s="3" t="str">
        <f t="shared" si="1"/>
        <v>INVALID PERCENT</v>
      </c>
    </row>
    <row r="130" spans="1:4" ht="14.25" customHeight="1" x14ac:dyDescent="0.3">
      <c r="A130" s="7"/>
      <c r="B130" s="7"/>
      <c r="C130" s="18"/>
      <c r="D130" s="3" t="str">
        <f t="shared" ref="D130:D193" si="2">IF(COUNTA(A130:C130)=0,"",IF(OR(C130&lt;0,C130&gt;100),"INVALID PERCENT",IF(COUNTIFS($A$2:$A$1000,A130,$B$2:$B$1000,B130)&gt;1,"DUPLICATE ROOM/GROUP","OK")))</f>
        <v/>
      </c>
    </row>
    <row r="131" spans="1:4" ht="14.25" customHeight="1" x14ac:dyDescent="0.3">
      <c r="A131" s="9" t="str">
        <f>IF(OR(A130="",B130=""),"",A130)</f>
        <v/>
      </c>
      <c r="B131" s="9" t="str">
        <f>IF(B130="","",IF(B130="1-2","3-4",IF(B130="3-4","1-2","")))</f>
        <v/>
      </c>
      <c r="C131" s="19" t="str">
        <f>IF(OR(A130="",C130=""),"",100-C130)</f>
        <v/>
      </c>
      <c r="D131" s="3" t="str">
        <f t="shared" si="2"/>
        <v>INVALID PERCENT</v>
      </c>
    </row>
    <row r="132" spans="1:4" ht="14.25" customHeight="1" x14ac:dyDescent="0.3">
      <c r="A132" s="7"/>
      <c r="B132" s="7"/>
      <c r="C132" s="18"/>
      <c r="D132" s="3" t="str">
        <f t="shared" si="2"/>
        <v/>
      </c>
    </row>
    <row r="133" spans="1:4" ht="14.25" customHeight="1" x14ac:dyDescent="0.3">
      <c r="A133" s="9" t="str">
        <f>IF(OR(A132="",B132=""),"",A132)</f>
        <v/>
      </c>
      <c r="B133" s="9" t="str">
        <f>IF(B132="","",IF(B132="1-2","3-4",IF(B132="3-4","1-2","")))</f>
        <v/>
      </c>
      <c r="C133" s="19" t="str">
        <f>IF(OR(A132="",C132=""),"",100-C132)</f>
        <v/>
      </c>
      <c r="D133" s="3" t="str">
        <f t="shared" si="2"/>
        <v>INVALID PERCENT</v>
      </c>
    </row>
    <row r="134" spans="1:4" ht="14.25" customHeight="1" x14ac:dyDescent="0.3">
      <c r="A134" s="7"/>
      <c r="B134" s="7"/>
      <c r="C134" s="18"/>
      <c r="D134" s="3" t="str">
        <f t="shared" si="2"/>
        <v/>
      </c>
    </row>
    <row r="135" spans="1:4" ht="14.25" customHeight="1" x14ac:dyDescent="0.3">
      <c r="A135" s="9" t="str">
        <f>IF(OR(A134="",B134=""),"",A134)</f>
        <v/>
      </c>
      <c r="B135" s="9" t="str">
        <f>IF(B134="","",IF(B134="1-2","3-4",IF(B134="3-4","1-2","")))</f>
        <v/>
      </c>
      <c r="C135" s="19" t="str">
        <f>IF(OR(A134="",C134=""),"",100-C134)</f>
        <v/>
      </c>
      <c r="D135" s="3" t="str">
        <f t="shared" si="2"/>
        <v>INVALID PERCENT</v>
      </c>
    </row>
    <row r="136" spans="1:4" ht="14.25" customHeight="1" x14ac:dyDescent="0.3">
      <c r="A136" s="7"/>
      <c r="B136" s="7"/>
      <c r="C136" s="18"/>
      <c r="D136" s="3" t="str">
        <f t="shared" si="2"/>
        <v/>
      </c>
    </row>
    <row r="137" spans="1:4" ht="14.25" customHeight="1" x14ac:dyDescent="0.3">
      <c r="A137" s="9" t="str">
        <f>IF(OR(A136="",B136=""),"",A136)</f>
        <v/>
      </c>
      <c r="B137" s="9" t="str">
        <f>IF(B136="","",IF(B136="1-2","3-4",IF(B136="3-4","1-2","")))</f>
        <v/>
      </c>
      <c r="C137" s="19" t="str">
        <f>IF(OR(A136="",C136=""),"",100-C136)</f>
        <v/>
      </c>
      <c r="D137" s="3" t="str">
        <f t="shared" si="2"/>
        <v>INVALID PERCENT</v>
      </c>
    </row>
    <row r="138" spans="1:4" ht="14.25" customHeight="1" x14ac:dyDescent="0.3">
      <c r="A138" s="7"/>
      <c r="B138" s="7"/>
      <c r="C138" s="18"/>
      <c r="D138" s="3" t="str">
        <f t="shared" si="2"/>
        <v/>
      </c>
    </row>
    <row r="139" spans="1:4" ht="14.25" customHeight="1" x14ac:dyDescent="0.3">
      <c r="A139" s="9" t="str">
        <f>IF(OR(A138="",B138=""),"",A138)</f>
        <v/>
      </c>
      <c r="B139" s="9" t="str">
        <f>IF(B138="","",IF(B138="1-2","3-4",IF(B138="3-4","1-2","")))</f>
        <v/>
      </c>
      <c r="C139" s="19" t="str">
        <f>IF(OR(A138="",C138=""),"",100-C138)</f>
        <v/>
      </c>
      <c r="D139" s="3" t="str">
        <f t="shared" si="2"/>
        <v>INVALID PERCENT</v>
      </c>
    </row>
    <row r="140" spans="1:4" ht="14.25" customHeight="1" x14ac:dyDescent="0.3">
      <c r="A140" s="7"/>
      <c r="B140" s="7"/>
      <c r="C140" s="18"/>
      <c r="D140" s="3" t="str">
        <f t="shared" si="2"/>
        <v/>
      </c>
    </row>
    <row r="141" spans="1:4" ht="14.25" customHeight="1" x14ac:dyDescent="0.3">
      <c r="A141" s="9" t="str">
        <f>IF(OR(A140="",B140=""),"",A140)</f>
        <v/>
      </c>
      <c r="B141" s="9" t="str">
        <f>IF(B140="","",IF(B140="1-2","3-4",IF(B140="3-4","1-2","")))</f>
        <v/>
      </c>
      <c r="C141" s="19" t="str">
        <f>IF(OR(A140="",C140=""),"",100-C140)</f>
        <v/>
      </c>
      <c r="D141" s="3" t="str">
        <f t="shared" si="2"/>
        <v>INVALID PERCENT</v>
      </c>
    </row>
    <row r="142" spans="1:4" ht="14.25" customHeight="1" x14ac:dyDescent="0.3">
      <c r="A142" s="7"/>
      <c r="B142" s="7"/>
      <c r="C142" s="18"/>
      <c r="D142" s="3" t="str">
        <f t="shared" si="2"/>
        <v/>
      </c>
    </row>
    <row r="143" spans="1:4" ht="14.25" customHeight="1" x14ac:dyDescent="0.3">
      <c r="A143" s="9" t="str">
        <f>IF(OR(A142="",B142=""),"",A142)</f>
        <v/>
      </c>
      <c r="B143" s="9" t="str">
        <f>IF(B142="","",IF(B142="1-2","3-4",IF(B142="3-4","1-2","")))</f>
        <v/>
      </c>
      <c r="C143" s="19" t="str">
        <f>IF(OR(A142="",C142=""),"",100-C142)</f>
        <v/>
      </c>
      <c r="D143" s="3" t="str">
        <f t="shared" si="2"/>
        <v>INVALID PERCENT</v>
      </c>
    </row>
    <row r="144" spans="1:4" ht="14.25" customHeight="1" x14ac:dyDescent="0.3">
      <c r="A144" s="7"/>
      <c r="B144" s="7"/>
      <c r="C144" s="18"/>
      <c r="D144" s="3" t="str">
        <f t="shared" si="2"/>
        <v/>
      </c>
    </row>
    <row r="145" spans="1:4" ht="14.25" customHeight="1" x14ac:dyDescent="0.3">
      <c r="A145" s="9" t="str">
        <f>IF(OR(A144="",B144=""),"",A144)</f>
        <v/>
      </c>
      <c r="B145" s="9" t="str">
        <f>IF(B144="","",IF(B144="1-2","3-4",IF(B144="3-4","1-2","")))</f>
        <v/>
      </c>
      <c r="C145" s="19" t="str">
        <f>IF(OR(A144="",C144=""),"",100-C144)</f>
        <v/>
      </c>
      <c r="D145" s="3" t="str">
        <f t="shared" si="2"/>
        <v>INVALID PERCENT</v>
      </c>
    </row>
    <row r="146" spans="1:4" ht="14.25" customHeight="1" x14ac:dyDescent="0.3">
      <c r="A146" s="7"/>
      <c r="B146" s="7"/>
      <c r="C146" s="18"/>
      <c r="D146" s="3" t="str">
        <f t="shared" si="2"/>
        <v/>
      </c>
    </row>
    <row r="147" spans="1:4" ht="14.25" customHeight="1" x14ac:dyDescent="0.3">
      <c r="A147" s="9" t="str">
        <f>IF(OR(A146="",B146=""),"",A146)</f>
        <v/>
      </c>
      <c r="B147" s="9" t="str">
        <f>IF(B146="","",IF(B146="1-2","3-4",IF(B146="3-4","1-2","")))</f>
        <v/>
      </c>
      <c r="C147" s="19" t="str">
        <f>IF(OR(A146="",C146=""),"",100-C146)</f>
        <v/>
      </c>
      <c r="D147" s="3" t="str">
        <f t="shared" si="2"/>
        <v>INVALID PERCENT</v>
      </c>
    </row>
    <row r="148" spans="1:4" ht="14.25" customHeight="1" x14ac:dyDescent="0.3">
      <c r="A148" s="7"/>
      <c r="B148" s="7"/>
      <c r="C148" s="18"/>
      <c r="D148" s="3" t="str">
        <f t="shared" si="2"/>
        <v/>
      </c>
    </row>
    <row r="149" spans="1:4" ht="14.25" customHeight="1" x14ac:dyDescent="0.3">
      <c r="A149" s="9" t="str">
        <f>IF(OR(A148="",B148=""),"",A148)</f>
        <v/>
      </c>
      <c r="B149" s="9" t="str">
        <f>IF(B148="","",IF(B148="1-2","3-4",IF(B148="3-4","1-2","")))</f>
        <v/>
      </c>
      <c r="C149" s="19" t="str">
        <f>IF(OR(A148="",C148=""),"",100-C148)</f>
        <v/>
      </c>
      <c r="D149" s="3" t="str">
        <f t="shared" si="2"/>
        <v>INVALID PERCENT</v>
      </c>
    </row>
    <row r="150" spans="1:4" ht="14.25" customHeight="1" x14ac:dyDescent="0.3">
      <c r="A150" s="7"/>
      <c r="B150" s="7"/>
      <c r="C150" s="18"/>
      <c r="D150" s="3" t="str">
        <f t="shared" si="2"/>
        <v/>
      </c>
    </row>
    <row r="151" spans="1:4" ht="14.25" customHeight="1" x14ac:dyDescent="0.3">
      <c r="A151" s="9" t="str">
        <f>IF(OR(A150="",B150=""),"",A150)</f>
        <v/>
      </c>
      <c r="B151" s="9" t="str">
        <f>IF(B150="","",IF(B150="1-2","3-4",IF(B150="3-4","1-2","")))</f>
        <v/>
      </c>
      <c r="C151" s="19" t="str">
        <f>IF(OR(A150="",C150=""),"",100-C150)</f>
        <v/>
      </c>
      <c r="D151" s="3" t="str">
        <f t="shared" si="2"/>
        <v>INVALID PERCENT</v>
      </c>
    </row>
    <row r="152" spans="1:4" ht="14.25" customHeight="1" x14ac:dyDescent="0.3">
      <c r="A152" s="7"/>
      <c r="B152" s="7"/>
      <c r="C152" s="18"/>
      <c r="D152" s="3" t="str">
        <f t="shared" si="2"/>
        <v/>
      </c>
    </row>
    <row r="153" spans="1:4" ht="14.25" customHeight="1" x14ac:dyDescent="0.3">
      <c r="A153" s="9" t="str">
        <f>IF(OR(A152="",B152=""),"",A152)</f>
        <v/>
      </c>
      <c r="B153" s="9" t="str">
        <f>IF(B152="","",IF(B152="1-2","3-4",IF(B152="3-4","1-2","")))</f>
        <v/>
      </c>
      <c r="C153" s="19" t="str">
        <f>IF(OR(A152="",C152=""),"",100-C152)</f>
        <v/>
      </c>
      <c r="D153" s="3" t="str">
        <f t="shared" si="2"/>
        <v>INVALID PERCENT</v>
      </c>
    </row>
    <row r="154" spans="1:4" ht="14.25" customHeight="1" x14ac:dyDescent="0.3">
      <c r="A154" s="7"/>
      <c r="B154" s="7"/>
      <c r="C154" s="18"/>
      <c r="D154" s="3" t="str">
        <f t="shared" si="2"/>
        <v/>
      </c>
    </row>
    <row r="155" spans="1:4" ht="14.25" customHeight="1" x14ac:dyDescent="0.3">
      <c r="A155" s="9" t="str">
        <f>IF(OR(A154="",B154=""),"",A154)</f>
        <v/>
      </c>
      <c r="B155" s="9" t="str">
        <f>IF(B154="","",IF(B154="1-2","3-4",IF(B154="3-4","1-2","")))</f>
        <v/>
      </c>
      <c r="C155" s="19" t="str">
        <f>IF(OR(A154="",C154=""),"",100-C154)</f>
        <v/>
      </c>
      <c r="D155" s="3" t="str">
        <f t="shared" si="2"/>
        <v>INVALID PERCENT</v>
      </c>
    </row>
    <row r="156" spans="1:4" ht="14.25" customHeight="1" x14ac:dyDescent="0.3">
      <c r="A156" s="7"/>
      <c r="B156" s="7"/>
      <c r="C156" s="18"/>
      <c r="D156" s="3" t="str">
        <f t="shared" si="2"/>
        <v/>
      </c>
    </row>
    <row r="157" spans="1:4" ht="14.25" customHeight="1" x14ac:dyDescent="0.3">
      <c r="A157" s="9" t="str">
        <f>IF(OR(A156="",B156=""),"",A156)</f>
        <v/>
      </c>
      <c r="B157" s="9" t="str">
        <f>IF(B156="","",IF(B156="1-2","3-4",IF(B156="3-4","1-2","")))</f>
        <v/>
      </c>
      <c r="C157" s="19" t="str">
        <f>IF(OR(A156="",C156=""),"",100-C156)</f>
        <v/>
      </c>
      <c r="D157" s="3" t="str">
        <f t="shared" si="2"/>
        <v>INVALID PERCENT</v>
      </c>
    </row>
    <row r="158" spans="1:4" ht="14.25" customHeight="1" x14ac:dyDescent="0.3">
      <c r="A158" s="7"/>
      <c r="B158" s="7"/>
      <c r="C158" s="18"/>
      <c r="D158" s="3" t="str">
        <f t="shared" si="2"/>
        <v/>
      </c>
    </row>
    <row r="159" spans="1:4" ht="14.25" customHeight="1" x14ac:dyDescent="0.3">
      <c r="A159" s="9" t="str">
        <f>IF(OR(A158="",B158=""),"",A158)</f>
        <v/>
      </c>
      <c r="B159" s="9" t="str">
        <f>IF(B158="","",IF(B158="1-2","3-4",IF(B158="3-4","1-2","")))</f>
        <v/>
      </c>
      <c r="C159" s="19" t="str">
        <f>IF(OR(A158="",C158=""),"",100-C158)</f>
        <v/>
      </c>
      <c r="D159" s="3" t="str">
        <f t="shared" si="2"/>
        <v>INVALID PERCENT</v>
      </c>
    </row>
    <row r="160" spans="1:4" ht="14.25" customHeight="1" x14ac:dyDescent="0.3">
      <c r="A160" s="7"/>
      <c r="B160" s="7"/>
      <c r="C160" s="18"/>
      <c r="D160" s="3" t="str">
        <f t="shared" si="2"/>
        <v/>
      </c>
    </row>
    <row r="161" spans="1:4" ht="14.25" customHeight="1" x14ac:dyDescent="0.3">
      <c r="A161" s="9" t="str">
        <f>IF(OR(A160="",B160=""),"",A160)</f>
        <v/>
      </c>
      <c r="B161" s="9" t="str">
        <f>IF(B160="","",IF(B160="1-2","3-4",IF(B160="3-4","1-2","")))</f>
        <v/>
      </c>
      <c r="C161" s="19" t="str">
        <f>IF(OR(A160="",C160=""),"",100-C160)</f>
        <v/>
      </c>
      <c r="D161" s="3" t="str">
        <f t="shared" si="2"/>
        <v>INVALID PERCENT</v>
      </c>
    </row>
    <row r="162" spans="1:4" ht="14.25" customHeight="1" x14ac:dyDescent="0.3">
      <c r="A162" s="7"/>
      <c r="B162" s="7"/>
      <c r="C162" s="18"/>
      <c r="D162" s="3" t="str">
        <f t="shared" si="2"/>
        <v/>
      </c>
    </row>
    <row r="163" spans="1:4" ht="14.25" customHeight="1" x14ac:dyDescent="0.3">
      <c r="A163" s="9" t="str">
        <f>IF(OR(A162="",B162=""),"",A162)</f>
        <v/>
      </c>
      <c r="B163" s="9" t="str">
        <f>IF(B162="","",IF(B162="1-2","3-4",IF(B162="3-4","1-2","")))</f>
        <v/>
      </c>
      <c r="C163" s="19" t="str">
        <f>IF(OR(A162="",C162=""),"",100-C162)</f>
        <v/>
      </c>
      <c r="D163" s="3" t="str">
        <f t="shared" si="2"/>
        <v>INVALID PERCENT</v>
      </c>
    </row>
    <row r="164" spans="1:4" ht="14.25" customHeight="1" x14ac:dyDescent="0.3">
      <c r="A164" s="7"/>
      <c r="B164" s="7"/>
      <c r="C164" s="18"/>
      <c r="D164" s="3" t="str">
        <f t="shared" si="2"/>
        <v/>
      </c>
    </row>
    <row r="165" spans="1:4" ht="14.25" customHeight="1" x14ac:dyDescent="0.3">
      <c r="A165" s="9" t="str">
        <f>IF(OR(A164="",B164=""),"",A164)</f>
        <v/>
      </c>
      <c r="B165" s="9" t="str">
        <f>IF(B164="","",IF(B164="1-2","3-4",IF(B164="3-4","1-2","")))</f>
        <v/>
      </c>
      <c r="C165" s="19" t="str">
        <f>IF(OR(A164="",C164=""),"",100-C164)</f>
        <v/>
      </c>
      <c r="D165" s="3" t="str">
        <f t="shared" si="2"/>
        <v>INVALID PERCENT</v>
      </c>
    </row>
    <row r="166" spans="1:4" ht="14.25" customHeight="1" x14ac:dyDescent="0.3">
      <c r="A166" s="7"/>
      <c r="B166" s="7"/>
      <c r="C166" s="18"/>
      <c r="D166" s="3" t="str">
        <f t="shared" si="2"/>
        <v/>
      </c>
    </row>
    <row r="167" spans="1:4" ht="14.25" customHeight="1" x14ac:dyDescent="0.3">
      <c r="A167" s="9" t="str">
        <f>IF(OR(A166="",B166=""),"",A166)</f>
        <v/>
      </c>
      <c r="B167" s="9" t="str">
        <f>IF(B166="","",IF(B166="1-2","3-4",IF(B166="3-4","1-2","")))</f>
        <v/>
      </c>
      <c r="C167" s="19" t="str">
        <f>IF(OR(A166="",C166=""),"",100-C166)</f>
        <v/>
      </c>
      <c r="D167" s="3" t="str">
        <f t="shared" si="2"/>
        <v>INVALID PERCENT</v>
      </c>
    </row>
    <row r="168" spans="1:4" ht="14.25" customHeight="1" x14ac:dyDescent="0.3">
      <c r="A168" s="7"/>
      <c r="B168" s="7"/>
      <c r="C168" s="18"/>
      <c r="D168" s="3" t="str">
        <f t="shared" si="2"/>
        <v/>
      </c>
    </row>
    <row r="169" spans="1:4" ht="14.25" customHeight="1" x14ac:dyDescent="0.3">
      <c r="A169" s="9" t="str">
        <f>IF(OR(A168="",B168=""),"",A168)</f>
        <v/>
      </c>
      <c r="B169" s="9" t="str">
        <f>IF(B168="","",IF(B168="1-2","3-4",IF(B168="3-4","1-2","")))</f>
        <v/>
      </c>
      <c r="C169" s="19" t="str">
        <f>IF(OR(A168="",C168=""),"",100-C168)</f>
        <v/>
      </c>
      <c r="D169" s="3" t="str">
        <f t="shared" si="2"/>
        <v>INVALID PERCENT</v>
      </c>
    </row>
    <row r="170" spans="1:4" ht="14.25" customHeight="1" x14ac:dyDescent="0.3">
      <c r="A170" s="7"/>
      <c r="B170" s="7"/>
      <c r="C170" s="18"/>
      <c r="D170" s="3" t="str">
        <f t="shared" si="2"/>
        <v/>
      </c>
    </row>
    <row r="171" spans="1:4" ht="14.25" customHeight="1" x14ac:dyDescent="0.3">
      <c r="A171" s="9" t="str">
        <f>IF(OR(A170="",B170=""),"",A170)</f>
        <v/>
      </c>
      <c r="B171" s="9" t="str">
        <f>IF(B170="","",IF(B170="1-2","3-4",IF(B170="3-4","1-2","")))</f>
        <v/>
      </c>
      <c r="C171" s="19" t="str">
        <f>IF(OR(A170="",C170=""),"",100-C170)</f>
        <v/>
      </c>
      <c r="D171" s="3" t="str">
        <f t="shared" si="2"/>
        <v>INVALID PERCENT</v>
      </c>
    </row>
    <row r="172" spans="1:4" ht="14.25" customHeight="1" x14ac:dyDescent="0.3">
      <c r="A172" s="7"/>
      <c r="B172" s="7"/>
      <c r="C172" s="18"/>
      <c r="D172" s="3" t="str">
        <f t="shared" si="2"/>
        <v/>
      </c>
    </row>
    <row r="173" spans="1:4" ht="14.25" customHeight="1" x14ac:dyDescent="0.3">
      <c r="A173" s="9" t="str">
        <f>IF(OR(A172="",B172=""),"",A172)</f>
        <v/>
      </c>
      <c r="B173" s="9" t="str">
        <f>IF(B172="","",IF(B172="1-2","3-4",IF(B172="3-4","1-2","")))</f>
        <v/>
      </c>
      <c r="C173" s="19" t="str">
        <f>IF(OR(A172="",C172=""),"",100-C172)</f>
        <v/>
      </c>
      <c r="D173" s="3" t="str">
        <f t="shared" si="2"/>
        <v>INVALID PERCENT</v>
      </c>
    </row>
    <row r="174" spans="1:4" ht="14.25" customHeight="1" x14ac:dyDescent="0.3">
      <c r="A174" s="7"/>
      <c r="B174" s="7"/>
      <c r="C174" s="18"/>
      <c r="D174" s="3" t="str">
        <f t="shared" si="2"/>
        <v/>
      </c>
    </row>
    <row r="175" spans="1:4" ht="14.25" customHeight="1" x14ac:dyDescent="0.3">
      <c r="A175" s="9" t="str">
        <f>IF(OR(A174="",B174=""),"",A174)</f>
        <v/>
      </c>
      <c r="B175" s="9" t="str">
        <f>IF(B174="","",IF(B174="1-2","3-4",IF(B174="3-4","1-2","")))</f>
        <v/>
      </c>
      <c r="C175" s="19" t="str">
        <f>IF(OR(A174="",C174=""),"",100-C174)</f>
        <v/>
      </c>
      <c r="D175" s="3" t="str">
        <f t="shared" si="2"/>
        <v>INVALID PERCENT</v>
      </c>
    </row>
    <row r="176" spans="1:4" ht="14.25" customHeight="1" x14ac:dyDescent="0.3">
      <c r="A176" s="7"/>
      <c r="B176" s="7"/>
      <c r="C176" s="18"/>
      <c r="D176" s="3" t="str">
        <f t="shared" si="2"/>
        <v/>
      </c>
    </row>
    <row r="177" spans="1:4" ht="14.25" customHeight="1" x14ac:dyDescent="0.3">
      <c r="A177" s="9" t="str">
        <f>IF(OR(A176="",B176=""),"",A176)</f>
        <v/>
      </c>
      <c r="B177" s="9" t="str">
        <f>IF(B176="","",IF(B176="1-2","3-4",IF(B176="3-4","1-2","")))</f>
        <v/>
      </c>
      <c r="C177" s="19" t="str">
        <f>IF(OR(A176="",C176=""),"",100-C176)</f>
        <v/>
      </c>
      <c r="D177" s="3" t="str">
        <f t="shared" si="2"/>
        <v>INVALID PERCENT</v>
      </c>
    </row>
    <row r="178" spans="1:4" ht="14.25" customHeight="1" x14ac:dyDescent="0.3">
      <c r="A178" s="7"/>
      <c r="B178" s="7"/>
      <c r="C178" s="18"/>
      <c r="D178" s="3" t="str">
        <f t="shared" si="2"/>
        <v/>
      </c>
    </row>
    <row r="179" spans="1:4" ht="14.25" customHeight="1" x14ac:dyDescent="0.3">
      <c r="A179" s="9" t="str">
        <f>IF(OR(A178="",B178=""),"",A178)</f>
        <v/>
      </c>
      <c r="B179" s="9" t="str">
        <f>IF(B178="","",IF(B178="1-2","3-4",IF(B178="3-4","1-2","")))</f>
        <v/>
      </c>
      <c r="C179" s="19" t="str">
        <f>IF(OR(A178="",C178=""),"",100-C178)</f>
        <v/>
      </c>
      <c r="D179" s="3" t="str">
        <f t="shared" si="2"/>
        <v>INVALID PERCENT</v>
      </c>
    </row>
    <row r="180" spans="1:4" ht="14.25" customHeight="1" x14ac:dyDescent="0.3">
      <c r="A180" s="7"/>
      <c r="B180" s="7"/>
      <c r="C180" s="18"/>
      <c r="D180" s="3" t="str">
        <f t="shared" si="2"/>
        <v/>
      </c>
    </row>
    <row r="181" spans="1:4" ht="14.25" customHeight="1" x14ac:dyDescent="0.3">
      <c r="A181" s="9" t="str">
        <f>IF(OR(A180="",B180=""),"",A180)</f>
        <v/>
      </c>
      <c r="B181" s="9" t="str">
        <f>IF(B180="","",IF(B180="1-2","3-4",IF(B180="3-4","1-2","")))</f>
        <v/>
      </c>
      <c r="C181" s="19" t="str">
        <f>IF(OR(A180="",C180=""),"",100-C180)</f>
        <v/>
      </c>
      <c r="D181" s="3" t="str">
        <f t="shared" si="2"/>
        <v>INVALID PERCENT</v>
      </c>
    </row>
    <row r="182" spans="1:4" ht="14.25" customHeight="1" x14ac:dyDescent="0.3">
      <c r="A182" s="7"/>
      <c r="B182" s="7"/>
      <c r="C182" s="18"/>
      <c r="D182" s="3" t="str">
        <f t="shared" si="2"/>
        <v/>
      </c>
    </row>
    <row r="183" spans="1:4" ht="14.25" customHeight="1" x14ac:dyDescent="0.3">
      <c r="A183" s="9" t="str">
        <f>IF(OR(A182="",B182=""),"",A182)</f>
        <v/>
      </c>
      <c r="B183" s="9" t="str">
        <f>IF(B182="","",IF(B182="1-2","3-4",IF(B182="3-4","1-2","")))</f>
        <v/>
      </c>
      <c r="C183" s="19" t="str">
        <f>IF(OR(A182="",C182=""),"",100-C182)</f>
        <v/>
      </c>
      <c r="D183" s="3" t="str">
        <f t="shared" si="2"/>
        <v>INVALID PERCENT</v>
      </c>
    </row>
    <row r="184" spans="1:4" ht="14.25" customHeight="1" x14ac:dyDescent="0.3">
      <c r="A184" s="7"/>
      <c r="B184" s="7"/>
      <c r="C184" s="18"/>
      <c r="D184" s="3" t="str">
        <f t="shared" si="2"/>
        <v/>
      </c>
    </row>
    <row r="185" spans="1:4" ht="14.25" customHeight="1" x14ac:dyDescent="0.3">
      <c r="A185" s="9" t="str">
        <f>IF(OR(A184="",B184=""),"",A184)</f>
        <v/>
      </c>
      <c r="B185" s="9" t="str">
        <f>IF(B184="","",IF(B184="1-2","3-4",IF(B184="3-4","1-2","")))</f>
        <v/>
      </c>
      <c r="C185" s="19" t="str">
        <f>IF(OR(A184="",C184=""),"",100-C184)</f>
        <v/>
      </c>
      <c r="D185" s="3" t="str">
        <f t="shared" si="2"/>
        <v>INVALID PERCENT</v>
      </c>
    </row>
    <row r="186" spans="1:4" ht="14.25" customHeight="1" x14ac:dyDescent="0.3">
      <c r="A186" s="7"/>
      <c r="B186" s="7"/>
      <c r="C186" s="18"/>
      <c r="D186" s="3" t="str">
        <f t="shared" si="2"/>
        <v/>
      </c>
    </row>
    <row r="187" spans="1:4" ht="14.25" customHeight="1" x14ac:dyDescent="0.3">
      <c r="A187" s="9" t="str">
        <f>IF(OR(A186="",B186=""),"",A186)</f>
        <v/>
      </c>
      <c r="B187" s="9" t="str">
        <f>IF(B186="","",IF(B186="1-2","3-4",IF(B186="3-4","1-2","")))</f>
        <v/>
      </c>
      <c r="C187" s="19" t="str">
        <f>IF(OR(A186="",C186=""),"",100-C186)</f>
        <v/>
      </c>
      <c r="D187" s="3" t="str">
        <f t="shared" si="2"/>
        <v>INVALID PERCENT</v>
      </c>
    </row>
    <row r="188" spans="1:4" ht="14.25" customHeight="1" x14ac:dyDescent="0.3">
      <c r="A188" s="7"/>
      <c r="B188" s="7"/>
      <c r="C188" s="18"/>
      <c r="D188" s="3" t="str">
        <f t="shared" si="2"/>
        <v/>
      </c>
    </row>
    <row r="189" spans="1:4" ht="14.25" customHeight="1" x14ac:dyDescent="0.3">
      <c r="A189" s="9" t="str">
        <f>IF(OR(A188="",B188=""),"",A188)</f>
        <v/>
      </c>
      <c r="B189" s="9" t="str">
        <f>IF(B188="","",IF(B188="1-2","3-4",IF(B188="3-4","1-2","")))</f>
        <v/>
      </c>
      <c r="C189" s="19" t="str">
        <f>IF(OR(A188="",C188=""),"",100-C188)</f>
        <v/>
      </c>
      <c r="D189" s="3" t="str">
        <f t="shared" si="2"/>
        <v>INVALID PERCENT</v>
      </c>
    </row>
    <row r="190" spans="1:4" ht="14.25" customHeight="1" x14ac:dyDescent="0.3">
      <c r="A190" s="7"/>
      <c r="B190" s="7"/>
      <c r="C190" s="18"/>
      <c r="D190" s="3" t="str">
        <f t="shared" si="2"/>
        <v/>
      </c>
    </row>
    <row r="191" spans="1:4" ht="14.25" customHeight="1" x14ac:dyDescent="0.3">
      <c r="A191" s="9" t="str">
        <f>IF(OR(A190="",B190=""),"",A190)</f>
        <v/>
      </c>
      <c r="B191" s="9" t="str">
        <f>IF(B190="","",IF(B190="1-2","3-4",IF(B190="3-4","1-2","")))</f>
        <v/>
      </c>
      <c r="C191" s="19" t="str">
        <f>IF(OR(A190="",C190=""),"",100-C190)</f>
        <v/>
      </c>
      <c r="D191" s="3" t="str">
        <f t="shared" si="2"/>
        <v>INVALID PERCENT</v>
      </c>
    </row>
    <row r="192" spans="1:4" ht="14.25" customHeight="1" x14ac:dyDescent="0.3">
      <c r="A192" s="7"/>
      <c r="B192" s="7"/>
      <c r="C192" s="18"/>
      <c r="D192" s="3" t="str">
        <f t="shared" si="2"/>
        <v/>
      </c>
    </row>
    <row r="193" spans="1:4" ht="14.25" customHeight="1" x14ac:dyDescent="0.3">
      <c r="A193" s="9" t="str">
        <f>IF(OR(A192="",B192=""),"",A192)</f>
        <v/>
      </c>
      <c r="B193" s="9" t="str">
        <f>IF(B192="","",IF(B192="1-2","3-4",IF(B192="3-4","1-2","")))</f>
        <v/>
      </c>
      <c r="C193" s="19" t="str">
        <f>IF(OR(A192="",C192=""),"",100-C192)</f>
        <v/>
      </c>
      <c r="D193" s="3" t="str">
        <f t="shared" si="2"/>
        <v>INVALID PERCENT</v>
      </c>
    </row>
    <row r="194" spans="1:4" ht="14.25" customHeight="1" x14ac:dyDescent="0.3">
      <c r="A194" s="7"/>
      <c r="B194" s="7"/>
      <c r="C194" s="18"/>
      <c r="D194" s="3" t="str">
        <f t="shared" ref="D194:D257" si="3">IF(COUNTA(A194:C194)=0,"",IF(OR(C194&lt;0,C194&gt;100),"INVALID PERCENT",IF(COUNTIFS($A$2:$A$1000,A194,$B$2:$B$1000,B194)&gt;1,"DUPLICATE ROOM/GROUP","OK")))</f>
        <v/>
      </c>
    </row>
    <row r="195" spans="1:4" ht="14.25" customHeight="1" x14ac:dyDescent="0.3">
      <c r="A195" s="9" t="str">
        <f>IF(OR(A194="",B194=""),"",A194)</f>
        <v/>
      </c>
      <c r="B195" s="9" t="str">
        <f>IF(B194="","",IF(B194="1-2","3-4",IF(B194="3-4","1-2","")))</f>
        <v/>
      </c>
      <c r="C195" s="19" t="str">
        <f>IF(OR(A194="",C194=""),"",100-C194)</f>
        <v/>
      </c>
      <c r="D195" s="3" t="str">
        <f t="shared" si="3"/>
        <v>INVALID PERCENT</v>
      </c>
    </row>
    <row r="196" spans="1:4" ht="14.25" customHeight="1" x14ac:dyDescent="0.3">
      <c r="A196" s="7"/>
      <c r="B196" s="7"/>
      <c r="C196" s="18"/>
      <c r="D196" s="3" t="str">
        <f t="shared" si="3"/>
        <v/>
      </c>
    </row>
    <row r="197" spans="1:4" ht="14.25" customHeight="1" x14ac:dyDescent="0.3">
      <c r="A197" s="9" t="str">
        <f>IF(OR(A196="",B196=""),"",A196)</f>
        <v/>
      </c>
      <c r="B197" s="9" t="str">
        <f>IF(B196="","",IF(B196="1-2","3-4",IF(B196="3-4","1-2","")))</f>
        <v/>
      </c>
      <c r="C197" s="19" t="str">
        <f>IF(OR(A196="",C196=""),"",100-C196)</f>
        <v/>
      </c>
      <c r="D197" s="3" t="str">
        <f t="shared" si="3"/>
        <v>INVALID PERCENT</v>
      </c>
    </row>
    <row r="198" spans="1:4" ht="14.25" customHeight="1" x14ac:dyDescent="0.3">
      <c r="A198" s="7"/>
      <c r="B198" s="7"/>
      <c r="C198" s="18"/>
      <c r="D198" s="3" t="str">
        <f t="shared" si="3"/>
        <v/>
      </c>
    </row>
    <row r="199" spans="1:4" ht="14.25" customHeight="1" x14ac:dyDescent="0.3">
      <c r="A199" s="9" t="str">
        <f>IF(OR(A198="",B198=""),"",A198)</f>
        <v/>
      </c>
      <c r="B199" s="9" t="str">
        <f>IF(B198="","",IF(B198="1-2","3-4",IF(B198="3-4","1-2","")))</f>
        <v/>
      </c>
      <c r="C199" s="19" t="str">
        <f>IF(OR(A198="",C198=""),"",100-C198)</f>
        <v/>
      </c>
      <c r="D199" s="3" t="str">
        <f t="shared" si="3"/>
        <v>INVALID PERCENT</v>
      </c>
    </row>
    <row r="200" spans="1:4" ht="14.25" customHeight="1" x14ac:dyDescent="0.3">
      <c r="A200" s="7"/>
      <c r="B200" s="7"/>
      <c r="C200" s="18"/>
      <c r="D200" s="3" t="str">
        <f t="shared" si="3"/>
        <v/>
      </c>
    </row>
    <row r="201" spans="1:4" ht="14.25" customHeight="1" x14ac:dyDescent="0.3">
      <c r="A201" s="9" t="str">
        <f>IF(OR(A200="",B200=""),"",A200)</f>
        <v/>
      </c>
      <c r="B201" s="9" t="str">
        <f>IF(B200="","",IF(B200="1-2","3-4",IF(B200="3-4","1-2","")))</f>
        <v/>
      </c>
      <c r="C201" s="19" t="str">
        <f>IF(OR(A200="",C200=""),"",100-C200)</f>
        <v/>
      </c>
      <c r="D201" s="3" t="str">
        <f t="shared" si="3"/>
        <v>INVALID PERCENT</v>
      </c>
    </row>
    <row r="202" spans="1:4" ht="14.25" customHeight="1" x14ac:dyDescent="0.3">
      <c r="A202" s="7"/>
      <c r="B202" s="7"/>
      <c r="C202" s="18"/>
      <c r="D202" s="3" t="str">
        <f t="shared" si="3"/>
        <v/>
      </c>
    </row>
    <row r="203" spans="1:4" ht="14.25" customHeight="1" x14ac:dyDescent="0.3">
      <c r="A203" s="9" t="str">
        <f>IF(OR(A202="",B202=""),"",A202)</f>
        <v/>
      </c>
      <c r="B203" s="9" t="str">
        <f>IF(B202="","",IF(B202="1-2","3-4",IF(B202="3-4","1-2","")))</f>
        <v/>
      </c>
      <c r="C203" s="19" t="str">
        <f>IF(OR(A202="",C202=""),"",100-C202)</f>
        <v/>
      </c>
      <c r="D203" s="3" t="str">
        <f t="shared" si="3"/>
        <v>INVALID PERCENT</v>
      </c>
    </row>
    <row r="204" spans="1:4" ht="14.25" customHeight="1" x14ac:dyDescent="0.3">
      <c r="A204" s="7"/>
      <c r="B204" s="7"/>
      <c r="C204" s="18"/>
      <c r="D204" s="3" t="str">
        <f t="shared" si="3"/>
        <v/>
      </c>
    </row>
    <row r="205" spans="1:4" ht="14.25" customHeight="1" x14ac:dyDescent="0.3">
      <c r="A205" s="9" t="str">
        <f>IF(OR(A204="",B204=""),"",A204)</f>
        <v/>
      </c>
      <c r="B205" s="9" t="str">
        <f>IF(B204="","",IF(B204="1-2","3-4",IF(B204="3-4","1-2","")))</f>
        <v/>
      </c>
      <c r="C205" s="19" t="str">
        <f>IF(OR(A204="",C204=""),"",100-C204)</f>
        <v/>
      </c>
      <c r="D205" s="3" t="str">
        <f t="shared" si="3"/>
        <v>INVALID PERCENT</v>
      </c>
    </row>
    <row r="206" spans="1:4" ht="14.25" customHeight="1" x14ac:dyDescent="0.3">
      <c r="A206" s="7"/>
      <c r="B206" s="7"/>
      <c r="C206" s="18"/>
      <c r="D206" s="3" t="str">
        <f t="shared" si="3"/>
        <v/>
      </c>
    </row>
    <row r="207" spans="1:4" ht="14.25" customHeight="1" x14ac:dyDescent="0.3">
      <c r="A207" s="9" t="str">
        <f>IF(OR(A206="",B206=""),"",A206)</f>
        <v/>
      </c>
      <c r="B207" s="9" t="str">
        <f>IF(B206="","",IF(B206="1-2","3-4",IF(B206="3-4","1-2","")))</f>
        <v/>
      </c>
      <c r="C207" s="19" t="str">
        <f>IF(OR(A206="",C206=""),"",100-C206)</f>
        <v/>
      </c>
      <c r="D207" s="3" t="str">
        <f t="shared" si="3"/>
        <v>INVALID PERCENT</v>
      </c>
    </row>
    <row r="208" spans="1:4" ht="14.25" customHeight="1" x14ac:dyDescent="0.3">
      <c r="A208" s="7"/>
      <c r="B208" s="7"/>
      <c r="C208" s="18"/>
      <c r="D208" s="3" t="str">
        <f t="shared" si="3"/>
        <v/>
      </c>
    </row>
    <row r="209" spans="1:4" ht="14.25" customHeight="1" x14ac:dyDescent="0.3">
      <c r="A209" s="9" t="str">
        <f>IF(OR(A208="",B208=""),"",A208)</f>
        <v/>
      </c>
      <c r="B209" s="9" t="str">
        <f>IF(B208="","",IF(B208="1-2","3-4",IF(B208="3-4","1-2","")))</f>
        <v/>
      </c>
      <c r="C209" s="19" t="str">
        <f>IF(OR(A208="",C208=""),"",100-C208)</f>
        <v/>
      </c>
      <c r="D209" s="3" t="str">
        <f t="shared" si="3"/>
        <v>INVALID PERCENT</v>
      </c>
    </row>
    <row r="210" spans="1:4" ht="14.25" customHeight="1" x14ac:dyDescent="0.3">
      <c r="A210" s="7"/>
      <c r="B210" s="7"/>
      <c r="C210" s="18"/>
      <c r="D210" s="3" t="str">
        <f t="shared" si="3"/>
        <v/>
      </c>
    </row>
    <row r="211" spans="1:4" ht="14.25" customHeight="1" x14ac:dyDescent="0.3">
      <c r="A211" s="9" t="str">
        <f>IF(OR(A210="",B210=""),"",A210)</f>
        <v/>
      </c>
      <c r="B211" s="9" t="str">
        <f>IF(B210="","",IF(B210="1-2","3-4",IF(B210="3-4","1-2","")))</f>
        <v/>
      </c>
      <c r="C211" s="19" t="str">
        <f>IF(OR(A210="",C210=""),"",100-C210)</f>
        <v/>
      </c>
      <c r="D211" s="3" t="str">
        <f t="shared" si="3"/>
        <v>INVALID PERCENT</v>
      </c>
    </row>
    <row r="212" spans="1:4" ht="14.25" customHeight="1" x14ac:dyDescent="0.3">
      <c r="A212" s="7"/>
      <c r="B212" s="7"/>
      <c r="C212" s="18"/>
      <c r="D212" s="3" t="str">
        <f t="shared" si="3"/>
        <v/>
      </c>
    </row>
    <row r="213" spans="1:4" ht="14.25" customHeight="1" x14ac:dyDescent="0.3">
      <c r="A213" s="9" t="str">
        <f>IF(OR(A212="",B212=""),"",A212)</f>
        <v/>
      </c>
      <c r="B213" s="9" t="str">
        <f>IF(B212="","",IF(B212="1-2","3-4",IF(B212="3-4","1-2","")))</f>
        <v/>
      </c>
      <c r="C213" s="19" t="str">
        <f>IF(OR(A212="",C212=""),"",100-C212)</f>
        <v/>
      </c>
      <c r="D213" s="3" t="str">
        <f t="shared" si="3"/>
        <v>INVALID PERCENT</v>
      </c>
    </row>
    <row r="214" spans="1:4" ht="14.25" customHeight="1" x14ac:dyDescent="0.3">
      <c r="A214" s="7"/>
      <c r="B214" s="7"/>
      <c r="C214" s="18"/>
      <c r="D214" s="3" t="str">
        <f t="shared" si="3"/>
        <v/>
      </c>
    </row>
    <row r="215" spans="1:4" ht="14.25" customHeight="1" x14ac:dyDescent="0.3">
      <c r="A215" s="9" t="str">
        <f>IF(OR(A214="",B214=""),"",A214)</f>
        <v/>
      </c>
      <c r="B215" s="9" t="str">
        <f>IF(B214="","",IF(B214="1-2","3-4",IF(B214="3-4","1-2","")))</f>
        <v/>
      </c>
      <c r="C215" s="19" t="str">
        <f>IF(OR(A214="",C214=""),"",100-C214)</f>
        <v/>
      </c>
      <c r="D215" s="3" t="str">
        <f t="shared" si="3"/>
        <v>INVALID PERCENT</v>
      </c>
    </row>
    <row r="216" spans="1:4" ht="14.25" customHeight="1" x14ac:dyDescent="0.3">
      <c r="A216" s="7"/>
      <c r="B216" s="7"/>
      <c r="C216" s="18"/>
      <c r="D216" s="3" t="str">
        <f t="shared" si="3"/>
        <v/>
      </c>
    </row>
    <row r="217" spans="1:4" ht="14.25" customHeight="1" x14ac:dyDescent="0.3">
      <c r="A217" s="9" t="str">
        <f>IF(OR(A216="",B216=""),"",A216)</f>
        <v/>
      </c>
      <c r="B217" s="9" t="str">
        <f>IF(B216="","",IF(B216="1-2","3-4",IF(B216="3-4","1-2","")))</f>
        <v/>
      </c>
      <c r="C217" s="19" t="str">
        <f>IF(OR(A216="",C216=""),"",100-C216)</f>
        <v/>
      </c>
      <c r="D217" s="3" t="str">
        <f t="shared" si="3"/>
        <v>INVALID PERCENT</v>
      </c>
    </row>
    <row r="218" spans="1:4" ht="14.25" customHeight="1" x14ac:dyDescent="0.3">
      <c r="A218" s="7"/>
      <c r="B218" s="7"/>
      <c r="C218" s="18"/>
      <c r="D218" s="3" t="str">
        <f t="shared" si="3"/>
        <v/>
      </c>
    </row>
    <row r="219" spans="1:4" ht="14.25" customHeight="1" x14ac:dyDescent="0.3">
      <c r="A219" s="9" t="str">
        <f>IF(OR(A218="",B218=""),"",A218)</f>
        <v/>
      </c>
      <c r="B219" s="9" t="str">
        <f>IF(B218="","",IF(B218="1-2","3-4",IF(B218="3-4","1-2","")))</f>
        <v/>
      </c>
      <c r="C219" s="19" t="str">
        <f>IF(OR(A218="",C218=""),"",100-C218)</f>
        <v/>
      </c>
      <c r="D219" s="3" t="str">
        <f t="shared" si="3"/>
        <v>INVALID PERCENT</v>
      </c>
    </row>
    <row r="220" spans="1:4" ht="14.25" customHeight="1" x14ac:dyDescent="0.3">
      <c r="A220" s="7"/>
      <c r="B220" s="7"/>
      <c r="C220" s="18"/>
      <c r="D220" s="3" t="str">
        <f t="shared" si="3"/>
        <v/>
      </c>
    </row>
    <row r="221" spans="1:4" ht="14.25" customHeight="1" x14ac:dyDescent="0.3">
      <c r="A221" s="9" t="str">
        <f>IF(OR(A220="",B220=""),"",A220)</f>
        <v/>
      </c>
      <c r="B221" s="9" t="str">
        <f>IF(B220="","",IF(B220="1-2","3-4",IF(B220="3-4","1-2","")))</f>
        <v/>
      </c>
      <c r="C221" s="19" t="str">
        <f>IF(OR(A220="",C220=""),"",100-C220)</f>
        <v/>
      </c>
      <c r="D221" s="3" t="str">
        <f t="shared" si="3"/>
        <v>INVALID PERCENT</v>
      </c>
    </row>
    <row r="222" spans="1:4" ht="14.25" customHeight="1" x14ac:dyDescent="0.3">
      <c r="A222" s="7"/>
      <c r="B222" s="7"/>
      <c r="C222" s="18"/>
      <c r="D222" s="3" t="str">
        <f t="shared" si="3"/>
        <v/>
      </c>
    </row>
    <row r="223" spans="1:4" ht="14.25" customHeight="1" x14ac:dyDescent="0.3">
      <c r="A223" s="9" t="str">
        <f>IF(OR(A222="",B222=""),"",A222)</f>
        <v/>
      </c>
      <c r="B223" s="9" t="str">
        <f>IF(B222="","",IF(B222="1-2","3-4",IF(B222="3-4","1-2","")))</f>
        <v/>
      </c>
      <c r="C223" s="19" t="str">
        <f>IF(OR(A222="",C222=""),"",100-C222)</f>
        <v/>
      </c>
      <c r="D223" s="3" t="str">
        <f t="shared" si="3"/>
        <v>INVALID PERCENT</v>
      </c>
    </row>
    <row r="224" spans="1:4" ht="14.25" customHeight="1" x14ac:dyDescent="0.3">
      <c r="A224" s="7"/>
      <c r="B224" s="7"/>
      <c r="C224" s="18"/>
      <c r="D224" s="3" t="str">
        <f t="shared" si="3"/>
        <v/>
      </c>
    </row>
    <row r="225" spans="1:4" ht="14.25" customHeight="1" x14ac:dyDescent="0.3">
      <c r="A225" s="9" t="str">
        <f>IF(OR(A224="",B224=""),"",A224)</f>
        <v/>
      </c>
      <c r="B225" s="9" t="str">
        <f>IF(B224="","",IF(B224="1-2","3-4",IF(B224="3-4","1-2","")))</f>
        <v/>
      </c>
      <c r="C225" s="19" t="str">
        <f>IF(OR(A224="",C224=""),"",100-C224)</f>
        <v/>
      </c>
      <c r="D225" s="3" t="str">
        <f t="shared" si="3"/>
        <v>INVALID PERCENT</v>
      </c>
    </row>
    <row r="226" spans="1:4" ht="14.25" customHeight="1" x14ac:dyDescent="0.3">
      <c r="A226" s="7"/>
      <c r="B226" s="7"/>
      <c r="C226" s="18"/>
      <c r="D226" s="3" t="str">
        <f t="shared" si="3"/>
        <v/>
      </c>
    </row>
    <row r="227" spans="1:4" ht="14.25" customHeight="1" x14ac:dyDescent="0.3">
      <c r="A227" s="9" t="str">
        <f>IF(OR(A226="",B226=""),"",A226)</f>
        <v/>
      </c>
      <c r="B227" s="9" t="str">
        <f>IF(B226="","",IF(B226="1-2","3-4",IF(B226="3-4","1-2","")))</f>
        <v/>
      </c>
      <c r="C227" s="19" t="str">
        <f>IF(OR(A226="",C226=""),"",100-C226)</f>
        <v/>
      </c>
      <c r="D227" s="3" t="str">
        <f t="shared" si="3"/>
        <v>INVALID PERCENT</v>
      </c>
    </row>
    <row r="228" spans="1:4" ht="14.25" customHeight="1" x14ac:dyDescent="0.3">
      <c r="A228" s="7"/>
      <c r="B228" s="7"/>
      <c r="C228" s="18"/>
      <c r="D228" s="3" t="str">
        <f t="shared" si="3"/>
        <v/>
      </c>
    </row>
    <row r="229" spans="1:4" ht="14.25" customHeight="1" x14ac:dyDescent="0.3">
      <c r="A229" s="9" t="str">
        <f>IF(OR(A228="",B228=""),"",A228)</f>
        <v/>
      </c>
      <c r="B229" s="9" t="str">
        <f>IF(B228="","",IF(B228="1-2","3-4",IF(B228="3-4","1-2","")))</f>
        <v/>
      </c>
      <c r="C229" s="19" t="str">
        <f>IF(OR(A228="",C228=""),"",100-C228)</f>
        <v/>
      </c>
      <c r="D229" s="3" t="str">
        <f t="shared" si="3"/>
        <v>INVALID PERCENT</v>
      </c>
    </row>
    <row r="230" spans="1:4" ht="14.25" customHeight="1" x14ac:dyDescent="0.3">
      <c r="A230" s="7"/>
      <c r="B230" s="7"/>
      <c r="C230" s="18"/>
      <c r="D230" s="3" t="str">
        <f t="shared" si="3"/>
        <v/>
      </c>
    </row>
    <row r="231" spans="1:4" ht="14.25" customHeight="1" x14ac:dyDescent="0.3">
      <c r="A231" s="9" t="str">
        <f>IF(OR(A230="",B230=""),"",A230)</f>
        <v/>
      </c>
      <c r="B231" s="9" t="str">
        <f>IF(B230="","",IF(B230="1-2","3-4",IF(B230="3-4","1-2","")))</f>
        <v/>
      </c>
      <c r="C231" s="19" t="str">
        <f>IF(OR(A230="",C230=""),"",100-C230)</f>
        <v/>
      </c>
      <c r="D231" s="3" t="str">
        <f t="shared" si="3"/>
        <v>INVALID PERCENT</v>
      </c>
    </row>
    <row r="232" spans="1:4" ht="14.25" customHeight="1" x14ac:dyDescent="0.3">
      <c r="A232" s="7"/>
      <c r="B232" s="7"/>
      <c r="C232" s="18"/>
      <c r="D232" s="3" t="str">
        <f t="shared" si="3"/>
        <v/>
      </c>
    </row>
    <row r="233" spans="1:4" ht="14.25" customHeight="1" x14ac:dyDescent="0.3">
      <c r="A233" s="9" t="str">
        <f>IF(OR(A232="",B232=""),"",A232)</f>
        <v/>
      </c>
      <c r="B233" s="9" t="str">
        <f>IF(B232="","",IF(B232="1-2","3-4",IF(B232="3-4","1-2","")))</f>
        <v/>
      </c>
      <c r="C233" s="19" t="str">
        <f>IF(OR(A232="",C232=""),"",100-C232)</f>
        <v/>
      </c>
      <c r="D233" s="3" t="str">
        <f t="shared" si="3"/>
        <v>INVALID PERCENT</v>
      </c>
    </row>
    <row r="234" spans="1:4" ht="14.25" customHeight="1" x14ac:dyDescent="0.3">
      <c r="A234" s="7"/>
      <c r="B234" s="7"/>
      <c r="C234" s="18"/>
      <c r="D234" s="3" t="str">
        <f t="shared" si="3"/>
        <v/>
      </c>
    </row>
    <row r="235" spans="1:4" ht="14.25" customHeight="1" x14ac:dyDescent="0.3">
      <c r="A235" s="9" t="str">
        <f>IF(OR(A234="",B234=""),"",A234)</f>
        <v/>
      </c>
      <c r="B235" s="9" t="str">
        <f>IF(B234="","",IF(B234="1-2","3-4",IF(B234="3-4","1-2","")))</f>
        <v/>
      </c>
      <c r="C235" s="19" t="str">
        <f>IF(OR(A234="",C234=""),"",100-C234)</f>
        <v/>
      </c>
      <c r="D235" s="3" t="str">
        <f t="shared" si="3"/>
        <v>INVALID PERCENT</v>
      </c>
    </row>
    <row r="236" spans="1:4" ht="14.25" customHeight="1" x14ac:dyDescent="0.3">
      <c r="A236" s="7"/>
      <c r="B236" s="7"/>
      <c r="C236" s="18"/>
      <c r="D236" s="3" t="str">
        <f t="shared" si="3"/>
        <v/>
      </c>
    </row>
    <row r="237" spans="1:4" ht="14.25" customHeight="1" x14ac:dyDescent="0.3">
      <c r="A237" s="9" t="str">
        <f>IF(OR(A236="",B236=""),"",A236)</f>
        <v/>
      </c>
      <c r="B237" s="9" t="str">
        <f>IF(B236="","",IF(B236="1-2","3-4",IF(B236="3-4","1-2","")))</f>
        <v/>
      </c>
      <c r="C237" s="19" t="str">
        <f>IF(OR(A236="",C236=""),"",100-C236)</f>
        <v/>
      </c>
      <c r="D237" s="3" t="str">
        <f t="shared" si="3"/>
        <v>INVALID PERCENT</v>
      </c>
    </row>
    <row r="238" spans="1:4" ht="14.25" customHeight="1" x14ac:dyDescent="0.3">
      <c r="A238" s="7"/>
      <c r="B238" s="7"/>
      <c r="C238" s="18"/>
      <c r="D238" s="3" t="str">
        <f t="shared" si="3"/>
        <v/>
      </c>
    </row>
    <row r="239" spans="1:4" ht="14.25" customHeight="1" x14ac:dyDescent="0.3">
      <c r="A239" s="9" t="str">
        <f>IF(OR(A238="",B238=""),"",A238)</f>
        <v/>
      </c>
      <c r="B239" s="9" t="str">
        <f>IF(B238="","",IF(B238="1-2","3-4",IF(B238="3-4","1-2","")))</f>
        <v/>
      </c>
      <c r="C239" s="19" t="str">
        <f>IF(OR(A238="",C238=""),"",100-C238)</f>
        <v/>
      </c>
      <c r="D239" s="3" t="str">
        <f t="shared" si="3"/>
        <v>INVALID PERCENT</v>
      </c>
    </row>
    <row r="240" spans="1:4" ht="14.25" customHeight="1" x14ac:dyDescent="0.3">
      <c r="A240" s="7"/>
      <c r="B240" s="7"/>
      <c r="C240" s="18"/>
      <c r="D240" s="3" t="str">
        <f t="shared" si="3"/>
        <v/>
      </c>
    </row>
    <row r="241" spans="1:4" ht="14.25" customHeight="1" x14ac:dyDescent="0.3">
      <c r="A241" s="9" t="str">
        <f>IF(OR(A240="",B240=""),"",A240)</f>
        <v/>
      </c>
      <c r="B241" s="9" t="str">
        <f>IF(B240="","",IF(B240="1-2","3-4",IF(B240="3-4","1-2","")))</f>
        <v/>
      </c>
      <c r="C241" s="19" t="str">
        <f>IF(OR(A240="",C240=""),"",100-C240)</f>
        <v/>
      </c>
      <c r="D241" s="3" t="str">
        <f t="shared" si="3"/>
        <v>INVALID PERCENT</v>
      </c>
    </row>
    <row r="242" spans="1:4" ht="14.25" customHeight="1" x14ac:dyDescent="0.3">
      <c r="A242" s="7"/>
      <c r="B242" s="7"/>
      <c r="C242" s="18"/>
      <c r="D242" s="3" t="str">
        <f t="shared" si="3"/>
        <v/>
      </c>
    </row>
    <row r="243" spans="1:4" ht="14.25" customHeight="1" x14ac:dyDescent="0.3">
      <c r="A243" s="9" t="str">
        <f>IF(OR(A242="",B242=""),"",A242)</f>
        <v/>
      </c>
      <c r="B243" s="9" t="str">
        <f>IF(B242="","",IF(B242="1-2","3-4",IF(B242="3-4","1-2","")))</f>
        <v/>
      </c>
      <c r="C243" s="19" t="str">
        <f>IF(OR(A242="",C242=""),"",100-C242)</f>
        <v/>
      </c>
      <c r="D243" s="3" t="str">
        <f t="shared" si="3"/>
        <v>INVALID PERCENT</v>
      </c>
    </row>
    <row r="244" spans="1:4" ht="14.25" customHeight="1" x14ac:dyDescent="0.3">
      <c r="A244" s="7"/>
      <c r="B244" s="7"/>
      <c r="C244" s="18"/>
      <c r="D244" s="3" t="str">
        <f t="shared" si="3"/>
        <v/>
      </c>
    </row>
    <row r="245" spans="1:4" ht="14.25" customHeight="1" x14ac:dyDescent="0.3">
      <c r="A245" s="9" t="str">
        <f>IF(OR(A244="",B244=""),"",A244)</f>
        <v/>
      </c>
      <c r="B245" s="9" t="str">
        <f>IF(B244="","",IF(B244="1-2","3-4",IF(B244="3-4","1-2","")))</f>
        <v/>
      </c>
      <c r="C245" s="19" t="str">
        <f>IF(OR(A244="",C244=""),"",100-C244)</f>
        <v/>
      </c>
      <c r="D245" s="3" t="str">
        <f t="shared" si="3"/>
        <v>INVALID PERCENT</v>
      </c>
    </row>
    <row r="246" spans="1:4" ht="14.25" customHeight="1" x14ac:dyDescent="0.3">
      <c r="A246" s="7"/>
      <c r="B246" s="7"/>
      <c r="C246" s="18"/>
      <c r="D246" s="3" t="str">
        <f t="shared" si="3"/>
        <v/>
      </c>
    </row>
    <row r="247" spans="1:4" ht="14.25" customHeight="1" x14ac:dyDescent="0.3">
      <c r="A247" s="9" t="str">
        <f>IF(OR(A246="",B246=""),"",A246)</f>
        <v/>
      </c>
      <c r="B247" s="9" t="str">
        <f>IF(B246="","",IF(B246="1-2","3-4",IF(B246="3-4","1-2","")))</f>
        <v/>
      </c>
      <c r="C247" s="19" t="str">
        <f>IF(OR(A246="",C246=""),"",100-C246)</f>
        <v/>
      </c>
      <c r="D247" s="3" t="str">
        <f t="shared" si="3"/>
        <v>INVALID PERCENT</v>
      </c>
    </row>
    <row r="248" spans="1:4" ht="14.25" customHeight="1" x14ac:dyDescent="0.3">
      <c r="A248" s="7"/>
      <c r="B248" s="7"/>
      <c r="C248" s="18"/>
      <c r="D248" s="3" t="str">
        <f t="shared" si="3"/>
        <v/>
      </c>
    </row>
    <row r="249" spans="1:4" ht="14.25" customHeight="1" x14ac:dyDescent="0.3">
      <c r="A249" s="9" t="str">
        <f>IF(OR(A248="",B248=""),"",A248)</f>
        <v/>
      </c>
      <c r="B249" s="9" t="str">
        <f>IF(B248="","",IF(B248="1-2","3-4",IF(B248="3-4","1-2","")))</f>
        <v/>
      </c>
      <c r="C249" s="19" t="str">
        <f>IF(OR(A248="",C248=""),"",100-C248)</f>
        <v/>
      </c>
      <c r="D249" s="3" t="str">
        <f t="shared" si="3"/>
        <v>INVALID PERCENT</v>
      </c>
    </row>
    <row r="250" spans="1:4" ht="14.25" customHeight="1" x14ac:dyDescent="0.3">
      <c r="A250" s="7"/>
      <c r="B250" s="7"/>
      <c r="C250" s="18"/>
      <c r="D250" s="3" t="str">
        <f t="shared" si="3"/>
        <v/>
      </c>
    </row>
    <row r="251" spans="1:4" ht="14.25" customHeight="1" x14ac:dyDescent="0.3">
      <c r="A251" s="9" t="str">
        <f>IF(OR(A250="",B250=""),"",A250)</f>
        <v/>
      </c>
      <c r="B251" s="9" t="str">
        <f>IF(B250="","",IF(B250="1-2","3-4",IF(B250="3-4","1-2","")))</f>
        <v/>
      </c>
      <c r="C251" s="19" t="str">
        <f>IF(OR(A250="",C250=""),"",100-C250)</f>
        <v/>
      </c>
      <c r="D251" s="3" t="str">
        <f t="shared" si="3"/>
        <v>INVALID PERCENT</v>
      </c>
    </row>
    <row r="252" spans="1:4" ht="14.25" customHeight="1" x14ac:dyDescent="0.3">
      <c r="A252" s="7"/>
      <c r="B252" s="7"/>
      <c r="C252" s="18"/>
      <c r="D252" s="3" t="str">
        <f t="shared" si="3"/>
        <v/>
      </c>
    </row>
    <row r="253" spans="1:4" ht="14.25" customHeight="1" x14ac:dyDescent="0.3">
      <c r="A253" s="9" t="str">
        <f>IF(OR(A252="",B252=""),"",A252)</f>
        <v/>
      </c>
      <c r="B253" s="9" t="str">
        <f>IF(B252="","",IF(B252="1-2","3-4",IF(B252="3-4","1-2","")))</f>
        <v/>
      </c>
      <c r="C253" s="19" t="str">
        <f>IF(OR(A252="",C252=""),"",100-C252)</f>
        <v/>
      </c>
      <c r="D253" s="3" t="str">
        <f t="shared" si="3"/>
        <v>INVALID PERCENT</v>
      </c>
    </row>
    <row r="254" spans="1:4" ht="14.25" customHeight="1" x14ac:dyDescent="0.3">
      <c r="A254" s="7"/>
      <c r="B254" s="7"/>
      <c r="C254" s="18"/>
      <c r="D254" s="3" t="str">
        <f t="shared" si="3"/>
        <v/>
      </c>
    </row>
    <row r="255" spans="1:4" ht="14.25" customHeight="1" x14ac:dyDescent="0.3">
      <c r="A255" s="9" t="str">
        <f>IF(OR(A254="",B254=""),"",A254)</f>
        <v/>
      </c>
      <c r="B255" s="9" t="str">
        <f>IF(B254="","",IF(B254="1-2","3-4",IF(B254="3-4","1-2","")))</f>
        <v/>
      </c>
      <c r="C255" s="19" t="str">
        <f>IF(OR(A254="",C254=""),"",100-C254)</f>
        <v/>
      </c>
      <c r="D255" s="3" t="str">
        <f t="shared" si="3"/>
        <v>INVALID PERCENT</v>
      </c>
    </row>
    <row r="256" spans="1:4" ht="14.25" customHeight="1" x14ac:dyDescent="0.3">
      <c r="A256" s="7"/>
      <c r="B256" s="7"/>
      <c r="C256" s="18"/>
      <c r="D256" s="3" t="str">
        <f t="shared" si="3"/>
        <v/>
      </c>
    </row>
    <row r="257" spans="1:4" ht="14.25" customHeight="1" x14ac:dyDescent="0.3">
      <c r="A257" s="9" t="str">
        <f>IF(OR(A256="",B256=""),"",A256)</f>
        <v/>
      </c>
      <c r="B257" s="9" t="str">
        <f>IF(B256="","",IF(B256="1-2","3-4",IF(B256="3-4","1-2","")))</f>
        <v/>
      </c>
      <c r="C257" s="19" t="str">
        <f>IF(OR(A256="",C256=""),"",100-C256)</f>
        <v/>
      </c>
      <c r="D257" s="3" t="str">
        <f t="shared" si="3"/>
        <v>INVALID PERCENT</v>
      </c>
    </row>
    <row r="258" spans="1:4" ht="14.25" customHeight="1" x14ac:dyDescent="0.3">
      <c r="A258" s="7"/>
      <c r="B258" s="7"/>
      <c r="C258" s="18"/>
      <c r="D258" s="3" t="str">
        <f t="shared" ref="D258:D321" si="4">IF(COUNTA(A258:C258)=0,"",IF(OR(C258&lt;0,C258&gt;100),"INVALID PERCENT",IF(COUNTIFS($A$2:$A$1000,A258,$B$2:$B$1000,B258)&gt;1,"DUPLICATE ROOM/GROUP","OK")))</f>
        <v/>
      </c>
    </row>
    <row r="259" spans="1:4" ht="14.25" customHeight="1" x14ac:dyDescent="0.3">
      <c r="A259" s="9" t="str">
        <f>IF(OR(A258="",B258=""),"",A258)</f>
        <v/>
      </c>
      <c r="B259" s="9" t="str">
        <f>IF(B258="","",IF(B258="1-2","3-4",IF(B258="3-4","1-2","")))</f>
        <v/>
      </c>
      <c r="C259" s="19" t="str">
        <f>IF(OR(A258="",C258=""),"",100-C258)</f>
        <v/>
      </c>
      <c r="D259" s="3" t="str">
        <f t="shared" si="4"/>
        <v>INVALID PERCENT</v>
      </c>
    </row>
    <row r="260" spans="1:4" ht="14.25" customHeight="1" x14ac:dyDescent="0.3">
      <c r="A260" s="7"/>
      <c r="B260" s="7"/>
      <c r="C260" s="18"/>
      <c r="D260" s="3" t="str">
        <f t="shared" si="4"/>
        <v/>
      </c>
    </row>
    <row r="261" spans="1:4" ht="14.25" customHeight="1" x14ac:dyDescent="0.3">
      <c r="A261" s="9" t="str">
        <f>IF(OR(A260="",B260=""),"",A260)</f>
        <v/>
      </c>
      <c r="B261" s="9" t="str">
        <f>IF(B260="","",IF(B260="1-2","3-4",IF(B260="3-4","1-2","")))</f>
        <v/>
      </c>
      <c r="C261" s="19" t="str">
        <f>IF(OR(A260="",C260=""),"",100-C260)</f>
        <v/>
      </c>
      <c r="D261" s="3" t="str">
        <f t="shared" si="4"/>
        <v>INVALID PERCENT</v>
      </c>
    </row>
    <row r="262" spans="1:4" ht="14.25" customHeight="1" x14ac:dyDescent="0.3">
      <c r="A262" s="7"/>
      <c r="B262" s="7"/>
      <c r="C262" s="18"/>
      <c r="D262" s="3" t="str">
        <f t="shared" si="4"/>
        <v/>
      </c>
    </row>
    <row r="263" spans="1:4" ht="14.25" customHeight="1" x14ac:dyDescent="0.3">
      <c r="A263" s="9" t="str">
        <f>IF(OR(A262="",B262=""),"",A262)</f>
        <v/>
      </c>
      <c r="B263" s="9" t="str">
        <f>IF(B262="","",IF(B262="1-2","3-4",IF(B262="3-4","1-2","")))</f>
        <v/>
      </c>
      <c r="C263" s="19" t="str">
        <f>IF(OR(A262="",C262=""),"",100-C262)</f>
        <v/>
      </c>
      <c r="D263" s="3" t="str">
        <f t="shared" si="4"/>
        <v>INVALID PERCENT</v>
      </c>
    </row>
    <row r="264" spans="1:4" ht="14.25" customHeight="1" x14ac:dyDescent="0.3">
      <c r="A264" s="7"/>
      <c r="B264" s="7"/>
      <c r="C264" s="18"/>
      <c r="D264" s="3" t="str">
        <f t="shared" si="4"/>
        <v/>
      </c>
    </row>
    <row r="265" spans="1:4" ht="14.25" customHeight="1" x14ac:dyDescent="0.3">
      <c r="A265" s="9" t="str">
        <f>IF(OR(A264="",B264=""),"",A264)</f>
        <v/>
      </c>
      <c r="B265" s="9" t="str">
        <f>IF(B264="","",IF(B264="1-2","3-4",IF(B264="3-4","1-2","")))</f>
        <v/>
      </c>
      <c r="C265" s="19" t="str">
        <f>IF(OR(A264="",C264=""),"",100-C264)</f>
        <v/>
      </c>
      <c r="D265" s="3" t="str">
        <f t="shared" si="4"/>
        <v>INVALID PERCENT</v>
      </c>
    </row>
    <row r="266" spans="1:4" ht="14.25" customHeight="1" x14ac:dyDescent="0.3">
      <c r="A266" s="7"/>
      <c r="B266" s="7"/>
      <c r="C266" s="18"/>
      <c r="D266" s="3" t="str">
        <f t="shared" si="4"/>
        <v/>
      </c>
    </row>
    <row r="267" spans="1:4" ht="14.25" customHeight="1" x14ac:dyDescent="0.3">
      <c r="A267" s="9" t="str">
        <f>IF(OR(A266="",B266=""),"",A266)</f>
        <v/>
      </c>
      <c r="B267" s="9" t="str">
        <f>IF(B266="","",IF(B266="1-2","3-4",IF(B266="3-4","1-2","")))</f>
        <v/>
      </c>
      <c r="C267" s="19" t="str">
        <f>IF(OR(A266="",C266=""),"",100-C266)</f>
        <v/>
      </c>
      <c r="D267" s="3" t="str">
        <f t="shared" si="4"/>
        <v>INVALID PERCENT</v>
      </c>
    </row>
    <row r="268" spans="1:4" ht="14.25" customHeight="1" x14ac:dyDescent="0.3">
      <c r="A268" s="7"/>
      <c r="B268" s="7"/>
      <c r="C268" s="18"/>
      <c r="D268" s="3" t="str">
        <f t="shared" si="4"/>
        <v/>
      </c>
    </row>
    <row r="269" spans="1:4" ht="14.25" customHeight="1" x14ac:dyDescent="0.3">
      <c r="A269" s="9" t="str">
        <f>IF(OR(A268="",B268=""),"",A268)</f>
        <v/>
      </c>
      <c r="B269" s="9" t="str">
        <f>IF(B268="","",IF(B268="1-2","3-4",IF(B268="3-4","1-2","")))</f>
        <v/>
      </c>
      <c r="C269" s="19" t="str">
        <f>IF(OR(A268="",C268=""),"",100-C268)</f>
        <v/>
      </c>
      <c r="D269" s="3" t="str">
        <f t="shared" si="4"/>
        <v>INVALID PERCENT</v>
      </c>
    </row>
    <row r="270" spans="1:4" ht="14.25" customHeight="1" x14ac:dyDescent="0.3">
      <c r="A270" s="7"/>
      <c r="B270" s="7"/>
      <c r="C270" s="18"/>
      <c r="D270" s="3" t="str">
        <f t="shared" si="4"/>
        <v/>
      </c>
    </row>
    <row r="271" spans="1:4" ht="14.25" customHeight="1" x14ac:dyDescent="0.3">
      <c r="A271" s="9" t="str">
        <f>IF(OR(A270="",B270=""),"",A270)</f>
        <v/>
      </c>
      <c r="B271" s="9" t="str">
        <f>IF(B270="","",IF(B270="1-2","3-4",IF(B270="3-4","1-2","")))</f>
        <v/>
      </c>
      <c r="C271" s="19" t="str">
        <f>IF(OR(A270="",C270=""),"",100-C270)</f>
        <v/>
      </c>
      <c r="D271" s="3" t="str">
        <f t="shared" si="4"/>
        <v>INVALID PERCENT</v>
      </c>
    </row>
    <row r="272" spans="1:4" ht="14.25" customHeight="1" x14ac:dyDescent="0.3">
      <c r="A272" s="7"/>
      <c r="B272" s="7"/>
      <c r="C272" s="18"/>
      <c r="D272" s="3" t="str">
        <f t="shared" si="4"/>
        <v/>
      </c>
    </row>
    <row r="273" spans="1:4" ht="14.25" customHeight="1" x14ac:dyDescent="0.3">
      <c r="A273" s="9" t="str">
        <f>IF(OR(A272="",B272=""),"",A272)</f>
        <v/>
      </c>
      <c r="B273" s="9" t="str">
        <f>IF(B272="","",IF(B272="1-2","3-4",IF(B272="3-4","1-2","")))</f>
        <v/>
      </c>
      <c r="C273" s="19" t="str">
        <f>IF(OR(A272="",C272=""),"",100-C272)</f>
        <v/>
      </c>
      <c r="D273" s="3" t="str">
        <f t="shared" si="4"/>
        <v>INVALID PERCENT</v>
      </c>
    </row>
    <row r="274" spans="1:4" ht="14.25" customHeight="1" x14ac:dyDescent="0.3">
      <c r="A274" s="7"/>
      <c r="B274" s="7"/>
      <c r="C274" s="18"/>
      <c r="D274" s="3" t="str">
        <f t="shared" si="4"/>
        <v/>
      </c>
    </row>
    <row r="275" spans="1:4" ht="14.25" customHeight="1" x14ac:dyDescent="0.3">
      <c r="A275" s="9" t="str">
        <f>IF(OR(A274="",B274=""),"",A274)</f>
        <v/>
      </c>
      <c r="B275" s="9" t="str">
        <f>IF(B274="","",IF(B274="1-2","3-4",IF(B274="3-4","1-2","")))</f>
        <v/>
      </c>
      <c r="C275" s="19" t="str">
        <f>IF(OR(A274="",C274=""),"",100-C274)</f>
        <v/>
      </c>
      <c r="D275" s="3" t="str">
        <f t="shared" si="4"/>
        <v>INVALID PERCENT</v>
      </c>
    </row>
    <row r="276" spans="1:4" ht="14.25" customHeight="1" x14ac:dyDescent="0.3">
      <c r="A276" s="7"/>
      <c r="B276" s="7"/>
      <c r="C276" s="18"/>
      <c r="D276" s="3" t="str">
        <f t="shared" si="4"/>
        <v/>
      </c>
    </row>
    <row r="277" spans="1:4" ht="14.25" customHeight="1" x14ac:dyDescent="0.3">
      <c r="A277" s="9" t="str">
        <f>IF(OR(A276="",B276=""),"",A276)</f>
        <v/>
      </c>
      <c r="B277" s="9" t="str">
        <f>IF(B276="","",IF(B276="1-2","3-4",IF(B276="3-4","1-2","")))</f>
        <v/>
      </c>
      <c r="C277" s="19" t="str">
        <f>IF(OR(A276="",C276=""),"",100-C276)</f>
        <v/>
      </c>
      <c r="D277" s="3" t="str">
        <f t="shared" si="4"/>
        <v>INVALID PERCENT</v>
      </c>
    </row>
    <row r="278" spans="1:4" ht="14.25" customHeight="1" x14ac:dyDescent="0.3">
      <c r="A278" s="7"/>
      <c r="B278" s="7"/>
      <c r="C278" s="18"/>
      <c r="D278" s="3" t="str">
        <f t="shared" si="4"/>
        <v/>
      </c>
    </row>
    <row r="279" spans="1:4" ht="14.25" customHeight="1" x14ac:dyDescent="0.3">
      <c r="A279" s="9" t="str">
        <f>IF(OR(A278="",B278=""),"",A278)</f>
        <v/>
      </c>
      <c r="B279" s="9" t="str">
        <f>IF(B278="","",IF(B278="1-2","3-4",IF(B278="3-4","1-2","")))</f>
        <v/>
      </c>
      <c r="C279" s="19" t="str">
        <f>IF(OR(A278="",C278=""),"",100-C278)</f>
        <v/>
      </c>
      <c r="D279" s="3" t="str">
        <f t="shared" si="4"/>
        <v>INVALID PERCENT</v>
      </c>
    </row>
    <row r="280" spans="1:4" ht="14.25" customHeight="1" x14ac:dyDescent="0.3">
      <c r="A280" s="7"/>
      <c r="B280" s="7"/>
      <c r="C280" s="18"/>
      <c r="D280" s="3" t="str">
        <f t="shared" si="4"/>
        <v/>
      </c>
    </row>
    <row r="281" spans="1:4" ht="14.25" customHeight="1" x14ac:dyDescent="0.3">
      <c r="A281" s="9" t="str">
        <f>IF(OR(A280="",B280=""),"",A280)</f>
        <v/>
      </c>
      <c r="B281" s="9" t="str">
        <f>IF(B280="","",IF(B280="1-2","3-4",IF(B280="3-4","1-2","")))</f>
        <v/>
      </c>
      <c r="C281" s="19" t="str">
        <f>IF(OR(A280="",C280=""),"",100-C280)</f>
        <v/>
      </c>
      <c r="D281" s="3" t="str">
        <f t="shared" si="4"/>
        <v>INVALID PERCENT</v>
      </c>
    </row>
    <row r="282" spans="1:4" ht="14.25" customHeight="1" x14ac:dyDescent="0.3">
      <c r="A282" s="7"/>
      <c r="B282" s="7"/>
      <c r="C282" s="18"/>
      <c r="D282" s="3" t="str">
        <f t="shared" si="4"/>
        <v/>
      </c>
    </row>
    <row r="283" spans="1:4" ht="14.25" customHeight="1" x14ac:dyDescent="0.3">
      <c r="A283" s="9" t="str">
        <f>IF(OR(A282="",B282=""),"",A282)</f>
        <v/>
      </c>
      <c r="B283" s="9" t="str">
        <f>IF(B282="","",IF(B282="1-2","3-4",IF(B282="3-4","1-2","")))</f>
        <v/>
      </c>
      <c r="C283" s="19" t="str">
        <f>IF(OR(A282="",C282=""),"",100-C282)</f>
        <v/>
      </c>
      <c r="D283" s="3" t="str">
        <f t="shared" si="4"/>
        <v>INVALID PERCENT</v>
      </c>
    </row>
    <row r="284" spans="1:4" ht="14.25" customHeight="1" x14ac:dyDescent="0.3">
      <c r="A284" s="7"/>
      <c r="B284" s="7"/>
      <c r="C284" s="18"/>
      <c r="D284" s="3" t="str">
        <f t="shared" si="4"/>
        <v/>
      </c>
    </row>
    <row r="285" spans="1:4" ht="14.25" customHeight="1" x14ac:dyDescent="0.3">
      <c r="A285" s="9" t="str">
        <f>IF(OR(A284="",B284=""),"",A284)</f>
        <v/>
      </c>
      <c r="B285" s="9" t="str">
        <f>IF(B284="","",IF(B284="1-2","3-4",IF(B284="3-4","1-2","")))</f>
        <v/>
      </c>
      <c r="C285" s="19" t="str">
        <f>IF(OR(A284="",C284=""),"",100-C284)</f>
        <v/>
      </c>
      <c r="D285" s="3" t="str">
        <f t="shared" si="4"/>
        <v>INVALID PERCENT</v>
      </c>
    </row>
    <row r="286" spans="1:4" ht="14.25" customHeight="1" x14ac:dyDescent="0.3">
      <c r="A286" s="7"/>
      <c r="B286" s="7"/>
      <c r="C286" s="18"/>
      <c r="D286" s="3" t="str">
        <f t="shared" si="4"/>
        <v/>
      </c>
    </row>
    <row r="287" spans="1:4" ht="14.25" customHeight="1" x14ac:dyDescent="0.3">
      <c r="A287" s="9" t="str">
        <f>IF(OR(A286="",B286=""),"",A286)</f>
        <v/>
      </c>
      <c r="B287" s="9" t="str">
        <f>IF(B286="","",IF(B286="1-2","3-4",IF(B286="3-4","1-2","")))</f>
        <v/>
      </c>
      <c r="C287" s="19" t="str">
        <f>IF(OR(A286="",C286=""),"",100-C286)</f>
        <v/>
      </c>
      <c r="D287" s="3" t="str">
        <f t="shared" si="4"/>
        <v>INVALID PERCENT</v>
      </c>
    </row>
    <row r="288" spans="1:4" ht="14.25" customHeight="1" x14ac:dyDescent="0.3">
      <c r="A288" s="7"/>
      <c r="B288" s="7"/>
      <c r="C288" s="18"/>
      <c r="D288" s="3" t="str">
        <f t="shared" si="4"/>
        <v/>
      </c>
    </row>
    <row r="289" spans="1:4" ht="14.25" customHeight="1" x14ac:dyDescent="0.3">
      <c r="A289" s="9" t="str">
        <f>IF(OR(A288="",B288=""),"",A288)</f>
        <v/>
      </c>
      <c r="B289" s="9" t="str">
        <f>IF(B288="","",IF(B288="1-2","3-4",IF(B288="3-4","1-2","")))</f>
        <v/>
      </c>
      <c r="C289" s="19" t="str">
        <f>IF(OR(A288="",C288=""),"",100-C288)</f>
        <v/>
      </c>
      <c r="D289" s="3" t="str">
        <f t="shared" si="4"/>
        <v>INVALID PERCENT</v>
      </c>
    </row>
    <row r="290" spans="1:4" ht="14.25" customHeight="1" x14ac:dyDescent="0.3">
      <c r="A290" s="7"/>
      <c r="B290" s="7"/>
      <c r="C290" s="18"/>
      <c r="D290" s="3" t="str">
        <f t="shared" si="4"/>
        <v/>
      </c>
    </row>
    <row r="291" spans="1:4" ht="14.25" customHeight="1" x14ac:dyDescent="0.3">
      <c r="A291" s="9" t="str">
        <f>IF(OR(A290="",B290=""),"",A290)</f>
        <v/>
      </c>
      <c r="B291" s="9" t="str">
        <f>IF(B290="","",IF(B290="1-2","3-4",IF(B290="3-4","1-2","")))</f>
        <v/>
      </c>
      <c r="C291" s="19" t="str">
        <f>IF(OR(A290="",C290=""),"",100-C290)</f>
        <v/>
      </c>
      <c r="D291" s="3" t="str">
        <f t="shared" si="4"/>
        <v>INVALID PERCENT</v>
      </c>
    </row>
    <row r="292" spans="1:4" ht="14.25" customHeight="1" x14ac:dyDescent="0.3">
      <c r="A292" s="7"/>
      <c r="B292" s="7"/>
      <c r="C292" s="18"/>
      <c r="D292" s="3" t="str">
        <f t="shared" si="4"/>
        <v/>
      </c>
    </row>
    <row r="293" spans="1:4" ht="14.25" customHeight="1" x14ac:dyDescent="0.3">
      <c r="A293" s="9" t="str">
        <f>IF(OR(A292="",B292=""),"",A292)</f>
        <v/>
      </c>
      <c r="B293" s="9" t="str">
        <f>IF(B292="","",IF(B292="1-2","3-4",IF(B292="3-4","1-2","")))</f>
        <v/>
      </c>
      <c r="C293" s="19" t="str">
        <f>IF(OR(A292="",C292=""),"",100-C292)</f>
        <v/>
      </c>
      <c r="D293" s="3" t="str">
        <f t="shared" si="4"/>
        <v>INVALID PERCENT</v>
      </c>
    </row>
    <row r="294" spans="1:4" ht="14.25" customHeight="1" x14ac:dyDescent="0.3">
      <c r="A294" s="7"/>
      <c r="B294" s="7"/>
      <c r="C294" s="18"/>
      <c r="D294" s="3" t="str">
        <f t="shared" si="4"/>
        <v/>
      </c>
    </row>
    <row r="295" spans="1:4" ht="14.25" customHeight="1" x14ac:dyDescent="0.3">
      <c r="A295" s="9" t="str">
        <f>IF(OR(A294="",B294=""),"",A294)</f>
        <v/>
      </c>
      <c r="B295" s="9" t="str">
        <f>IF(B294="","",IF(B294="1-2","3-4",IF(B294="3-4","1-2","")))</f>
        <v/>
      </c>
      <c r="C295" s="19" t="str">
        <f>IF(OR(A294="",C294=""),"",100-C294)</f>
        <v/>
      </c>
      <c r="D295" s="3" t="str">
        <f t="shared" si="4"/>
        <v>INVALID PERCENT</v>
      </c>
    </row>
    <row r="296" spans="1:4" ht="14.25" customHeight="1" x14ac:dyDescent="0.3">
      <c r="A296" s="7"/>
      <c r="B296" s="7"/>
      <c r="C296" s="18"/>
      <c r="D296" s="3" t="str">
        <f t="shared" si="4"/>
        <v/>
      </c>
    </row>
    <row r="297" spans="1:4" ht="14.25" customHeight="1" x14ac:dyDescent="0.3">
      <c r="A297" s="9" t="str">
        <f>IF(OR(A296="",B296=""),"",A296)</f>
        <v/>
      </c>
      <c r="B297" s="9" t="str">
        <f>IF(B296="","",IF(B296="1-2","3-4",IF(B296="3-4","1-2","")))</f>
        <v/>
      </c>
      <c r="C297" s="19" t="str">
        <f>IF(OR(A296="",C296=""),"",100-C296)</f>
        <v/>
      </c>
      <c r="D297" s="3" t="str">
        <f t="shared" si="4"/>
        <v>INVALID PERCENT</v>
      </c>
    </row>
    <row r="298" spans="1:4" ht="14.25" customHeight="1" x14ac:dyDescent="0.3">
      <c r="A298" s="7"/>
      <c r="B298" s="7"/>
      <c r="C298" s="18"/>
      <c r="D298" s="3" t="str">
        <f t="shared" si="4"/>
        <v/>
      </c>
    </row>
    <row r="299" spans="1:4" ht="14.25" customHeight="1" x14ac:dyDescent="0.3">
      <c r="A299" s="9" t="str">
        <f>IF(OR(A298="",B298=""),"",A298)</f>
        <v/>
      </c>
      <c r="B299" s="9" t="str">
        <f>IF(B298="","",IF(B298="1-2","3-4",IF(B298="3-4","1-2","")))</f>
        <v/>
      </c>
      <c r="C299" s="19" t="str">
        <f>IF(OR(A298="",C298=""),"",100-C298)</f>
        <v/>
      </c>
      <c r="D299" s="3" t="str">
        <f t="shared" si="4"/>
        <v>INVALID PERCENT</v>
      </c>
    </row>
    <row r="300" spans="1:4" ht="14.25" customHeight="1" x14ac:dyDescent="0.3">
      <c r="A300" s="7"/>
      <c r="B300" s="7"/>
      <c r="C300" s="18"/>
      <c r="D300" s="3" t="str">
        <f t="shared" si="4"/>
        <v/>
      </c>
    </row>
    <row r="301" spans="1:4" ht="14.25" customHeight="1" x14ac:dyDescent="0.3">
      <c r="A301" s="9" t="str">
        <f>IF(OR(A300="",B300=""),"",A300)</f>
        <v/>
      </c>
      <c r="B301" s="9" t="str">
        <f>IF(B300="","",IF(B300="1-2","3-4",IF(B300="3-4","1-2","")))</f>
        <v/>
      </c>
      <c r="C301" s="19" t="str">
        <f>IF(OR(A300="",C300=""),"",100-C300)</f>
        <v/>
      </c>
      <c r="D301" s="3" t="str">
        <f t="shared" si="4"/>
        <v>INVALID PERCENT</v>
      </c>
    </row>
    <row r="302" spans="1:4" ht="14.25" customHeight="1" x14ac:dyDescent="0.3">
      <c r="A302" s="7"/>
      <c r="B302" s="7"/>
      <c r="C302" s="18"/>
      <c r="D302" s="3" t="str">
        <f t="shared" si="4"/>
        <v/>
      </c>
    </row>
    <row r="303" spans="1:4" ht="14.25" customHeight="1" x14ac:dyDescent="0.3">
      <c r="A303" s="9" t="str">
        <f>IF(OR(A302="",B302=""),"",A302)</f>
        <v/>
      </c>
      <c r="B303" s="9" t="str">
        <f>IF(B302="","",IF(B302="1-2","3-4",IF(B302="3-4","1-2","")))</f>
        <v/>
      </c>
      <c r="C303" s="19" t="str">
        <f>IF(OR(A302="",C302=""),"",100-C302)</f>
        <v/>
      </c>
      <c r="D303" s="3" t="str">
        <f t="shared" si="4"/>
        <v>INVALID PERCENT</v>
      </c>
    </row>
    <row r="304" spans="1:4" ht="14.25" customHeight="1" x14ac:dyDescent="0.3">
      <c r="A304" s="7"/>
      <c r="B304" s="7"/>
      <c r="C304" s="18"/>
      <c r="D304" s="3" t="str">
        <f t="shared" si="4"/>
        <v/>
      </c>
    </row>
    <row r="305" spans="1:4" ht="14.25" customHeight="1" x14ac:dyDescent="0.3">
      <c r="A305" s="9" t="str">
        <f>IF(OR(A304="",B304=""),"",A304)</f>
        <v/>
      </c>
      <c r="B305" s="9" t="str">
        <f>IF(B304="","",IF(B304="1-2","3-4",IF(B304="3-4","1-2","")))</f>
        <v/>
      </c>
      <c r="C305" s="19" t="str">
        <f>IF(OR(A304="",C304=""),"",100-C304)</f>
        <v/>
      </c>
      <c r="D305" s="3" t="str">
        <f t="shared" si="4"/>
        <v>INVALID PERCENT</v>
      </c>
    </row>
    <row r="306" spans="1:4" ht="14.25" customHeight="1" x14ac:dyDescent="0.3">
      <c r="A306" s="7"/>
      <c r="B306" s="7"/>
      <c r="C306" s="18"/>
      <c r="D306" s="3" t="str">
        <f t="shared" si="4"/>
        <v/>
      </c>
    </row>
    <row r="307" spans="1:4" ht="14.25" customHeight="1" x14ac:dyDescent="0.3">
      <c r="A307" s="9" t="str">
        <f>IF(OR(A306="",B306=""),"",A306)</f>
        <v/>
      </c>
      <c r="B307" s="9" t="str">
        <f>IF(B306="","",IF(B306="1-2","3-4",IF(B306="3-4","1-2","")))</f>
        <v/>
      </c>
      <c r="C307" s="19" t="str">
        <f>IF(OR(A306="",C306=""),"",100-C306)</f>
        <v/>
      </c>
      <c r="D307" s="3" t="str">
        <f t="shared" si="4"/>
        <v>INVALID PERCENT</v>
      </c>
    </row>
    <row r="308" spans="1:4" ht="14.25" customHeight="1" x14ac:dyDescent="0.3">
      <c r="A308" s="7"/>
      <c r="B308" s="7"/>
      <c r="C308" s="18"/>
      <c r="D308" s="3" t="str">
        <f t="shared" si="4"/>
        <v/>
      </c>
    </row>
    <row r="309" spans="1:4" ht="14.25" customHeight="1" x14ac:dyDescent="0.3">
      <c r="A309" s="9" t="str">
        <f>IF(OR(A308="",B308=""),"",A308)</f>
        <v/>
      </c>
      <c r="B309" s="9" t="str">
        <f>IF(B308="","",IF(B308="1-2","3-4",IF(B308="3-4","1-2","")))</f>
        <v/>
      </c>
      <c r="C309" s="19" t="str">
        <f>IF(OR(A308="",C308=""),"",100-C308)</f>
        <v/>
      </c>
      <c r="D309" s="3" t="str">
        <f t="shared" si="4"/>
        <v>INVALID PERCENT</v>
      </c>
    </row>
    <row r="310" spans="1:4" ht="14.25" customHeight="1" x14ac:dyDescent="0.3">
      <c r="A310" s="7"/>
      <c r="B310" s="7"/>
      <c r="C310" s="18"/>
      <c r="D310" s="3" t="str">
        <f t="shared" si="4"/>
        <v/>
      </c>
    </row>
    <row r="311" spans="1:4" ht="14.25" customHeight="1" x14ac:dyDescent="0.3">
      <c r="A311" s="9" t="str">
        <f>IF(OR(A310="",B310=""),"",A310)</f>
        <v/>
      </c>
      <c r="B311" s="9" t="str">
        <f>IF(B310="","",IF(B310="1-2","3-4",IF(B310="3-4","1-2","")))</f>
        <v/>
      </c>
      <c r="C311" s="19" t="str">
        <f>IF(OR(A310="",C310=""),"",100-C310)</f>
        <v/>
      </c>
      <c r="D311" s="3" t="str">
        <f t="shared" si="4"/>
        <v>INVALID PERCENT</v>
      </c>
    </row>
    <row r="312" spans="1:4" ht="14.25" customHeight="1" x14ac:dyDescent="0.3">
      <c r="A312" s="7"/>
      <c r="B312" s="7"/>
      <c r="C312" s="18"/>
      <c r="D312" s="3" t="str">
        <f t="shared" si="4"/>
        <v/>
      </c>
    </row>
    <row r="313" spans="1:4" ht="14.25" customHeight="1" x14ac:dyDescent="0.3">
      <c r="A313" s="9" t="str">
        <f>IF(OR(A312="",B312=""),"",A312)</f>
        <v/>
      </c>
      <c r="B313" s="9" t="str">
        <f>IF(B312="","",IF(B312="1-2","3-4",IF(B312="3-4","1-2","")))</f>
        <v/>
      </c>
      <c r="C313" s="19" t="str">
        <f>IF(OR(A312="",C312=""),"",100-C312)</f>
        <v/>
      </c>
      <c r="D313" s="3" t="str">
        <f t="shared" si="4"/>
        <v>INVALID PERCENT</v>
      </c>
    </row>
    <row r="314" spans="1:4" ht="14.25" customHeight="1" x14ac:dyDescent="0.3">
      <c r="A314" s="7"/>
      <c r="B314" s="7"/>
      <c r="C314" s="18"/>
      <c r="D314" s="3" t="str">
        <f t="shared" si="4"/>
        <v/>
      </c>
    </row>
    <row r="315" spans="1:4" ht="14.25" customHeight="1" x14ac:dyDescent="0.3">
      <c r="A315" s="9" t="str">
        <f>IF(OR(A314="",B314=""),"",A314)</f>
        <v/>
      </c>
      <c r="B315" s="9" t="str">
        <f>IF(B314="","",IF(B314="1-2","3-4",IF(B314="3-4","1-2","")))</f>
        <v/>
      </c>
      <c r="C315" s="19" t="str">
        <f>IF(OR(A314="",C314=""),"",100-C314)</f>
        <v/>
      </c>
      <c r="D315" s="3" t="str">
        <f t="shared" si="4"/>
        <v>INVALID PERCENT</v>
      </c>
    </row>
    <row r="316" spans="1:4" ht="14.25" customHeight="1" x14ac:dyDescent="0.3">
      <c r="A316" s="7"/>
      <c r="B316" s="7"/>
      <c r="C316" s="18"/>
      <c r="D316" s="3" t="str">
        <f t="shared" si="4"/>
        <v/>
      </c>
    </row>
    <row r="317" spans="1:4" ht="14.25" customHeight="1" x14ac:dyDescent="0.3">
      <c r="A317" s="9" t="str">
        <f>IF(OR(A316="",B316=""),"",A316)</f>
        <v/>
      </c>
      <c r="B317" s="9" t="str">
        <f>IF(B316="","",IF(B316="1-2","3-4",IF(B316="3-4","1-2","")))</f>
        <v/>
      </c>
      <c r="C317" s="19" t="str">
        <f>IF(OR(A316="",C316=""),"",100-C316)</f>
        <v/>
      </c>
      <c r="D317" s="3" t="str">
        <f t="shared" si="4"/>
        <v>INVALID PERCENT</v>
      </c>
    </row>
    <row r="318" spans="1:4" ht="14.25" customHeight="1" x14ac:dyDescent="0.3">
      <c r="A318" s="7"/>
      <c r="B318" s="7"/>
      <c r="C318" s="18"/>
      <c r="D318" s="3" t="str">
        <f t="shared" si="4"/>
        <v/>
      </c>
    </row>
    <row r="319" spans="1:4" ht="14.25" customHeight="1" x14ac:dyDescent="0.3">
      <c r="A319" s="9" t="str">
        <f>IF(OR(A318="",B318=""),"",A318)</f>
        <v/>
      </c>
      <c r="B319" s="9" t="str">
        <f>IF(B318="","",IF(B318="1-2","3-4",IF(B318="3-4","1-2","")))</f>
        <v/>
      </c>
      <c r="C319" s="19" t="str">
        <f>IF(OR(A318="",C318=""),"",100-C318)</f>
        <v/>
      </c>
      <c r="D319" s="3" t="str">
        <f t="shared" si="4"/>
        <v>INVALID PERCENT</v>
      </c>
    </row>
    <row r="320" spans="1:4" ht="14.25" customHeight="1" x14ac:dyDescent="0.3">
      <c r="A320" s="7"/>
      <c r="B320" s="7"/>
      <c r="C320" s="18"/>
      <c r="D320" s="3" t="str">
        <f t="shared" si="4"/>
        <v/>
      </c>
    </row>
    <row r="321" spans="1:4" ht="14.25" customHeight="1" x14ac:dyDescent="0.3">
      <c r="A321" s="9" t="str">
        <f>IF(OR(A320="",B320=""),"",A320)</f>
        <v/>
      </c>
      <c r="B321" s="9" t="str">
        <f>IF(B320="","",IF(B320="1-2","3-4",IF(B320="3-4","1-2","")))</f>
        <v/>
      </c>
      <c r="C321" s="19" t="str">
        <f>IF(OR(A320="",C320=""),"",100-C320)</f>
        <v/>
      </c>
      <c r="D321" s="3" t="str">
        <f t="shared" si="4"/>
        <v>INVALID PERCENT</v>
      </c>
    </row>
    <row r="322" spans="1:4" ht="14.25" customHeight="1" x14ac:dyDescent="0.3">
      <c r="A322" s="7"/>
      <c r="B322" s="7"/>
      <c r="C322" s="18"/>
      <c r="D322" s="3" t="str">
        <f t="shared" ref="D322:D385" si="5">IF(COUNTA(A322:C322)=0,"",IF(OR(C322&lt;0,C322&gt;100),"INVALID PERCENT",IF(COUNTIFS($A$2:$A$1000,A322,$B$2:$B$1000,B322)&gt;1,"DUPLICATE ROOM/GROUP","OK")))</f>
        <v/>
      </c>
    </row>
    <row r="323" spans="1:4" ht="14.25" customHeight="1" x14ac:dyDescent="0.3">
      <c r="A323" s="9" t="str">
        <f>IF(OR(A322="",B322=""),"",A322)</f>
        <v/>
      </c>
      <c r="B323" s="9" t="str">
        <f>IF(B322="","",IF(B322="1-2","3-4",IF(B322="3-4","1-2","")))</f>
        <v/>
      </c>
      <c r="C323" s="19" t="str">
        <f>IF(OR(A322="",C322=""),"",100-C322)</f>
        <v/>
      </c>
      <c r="D323" s="3" t="str">
        <f t="shared" si="5"/>
        <v>INVALID PERCENT</v>
      </c>
    </row>
    <row r="324" spans="1:4" ht="14.25" customHeight="1" x14ac:dyDescent="0.3">
      <c r="A324" s="7"/>
      <c r="B324" s="7"/>
      <c r="C324" s="18"/>
      <c r="D324" s="3" t="str">
        <f t="shared" si="5"/>
        <v/>
      </c>
    </row>
    <row r="325" spans="1:4" ht="14.25" customHeight="1" x14ac:dyDescent="0.3">
      <c r="A325" s="9" t="str">
        <f>IF(OR(A324="",B324=""),"",A324)</f>
        <v/>
      </c>
      <c r="B325" s="9" t="str">
        <f>IF(B324="","",IF(B324="1-2","3-4",IF(B324="3-4","1-2","")))</f>
        <v/>
      </c>
      <c r="C325" s="19" t="str">
        <f>IF(OR(A324="",C324=""),"",100-C324)</f>
        <v/>
      </c>
      <c r="D325" s="3" t="str">
        <f t="shared" si="5"/>
        <v>INVALID PERCENT</v>
      </c>
    </row>
    <row r="326" spans="1:4" ht="14.25" customHeight="1" x14ac:dyDescent="0.3">
      <c r="A326" s="7"/>
      <c r="B326" s="7"/>
      <c r="C326" s="18"/>
      <c r="D326" s="3" t="str">
        <f t="shared" si="5"/>
        <v/>
      </c>
    </row>
    <row r="327" spans="1:4" ht="14.25" customHeight="1" x14ac:dyDescent="0.3">
      <c r="A327" s="9" t="str">
        <f>IF(OR(A326="",B326=""),"",A326)</f>
        <v/>
      </c>
      <c r="B327" s="9" t="str">
        <f>IF(B326="","",IF(B326="1-2","3-4",IF(B326="3-4","1-2","")))</f>
        <v/>
      </c>
      <c r="C327" s="19" t="str">
        <f>IF(OR(A326="",C326=""),"",100-C326)</f>
        <v/>
      </c>
      <c r="D327" s="3" t="str">
        <f t="shared" si="5"/>
        <v>INVALID PERCENT</v>
      </c>
    </row>
    <row r="328" spans="1:4" ht="14.25" customHeight="1" x14ac:dyDescent="0.3">
      <c r="A328" s="7"/>
      <c r="B328" s="7"/>
      <c r="C328" s="18"/>
      <c r="D328" s="3" t="str">
        <f t="shared" si="5"/>
        <v/>
      </c>
    </row>
    <row r="329" spans="1:4" ht="14.25" customHeight="1" x14ac:dyDescent="0.3">
      <c r="A329" s="9" t="str">
        <f>IF(OR(A328="",B328=""),"",A328)</f>
        <v/>
      </c>
      <c r="B329" s="9" t="str">
        <f>IF(B328="","",IF(B328="1-2","3-4",IF(B328="3-4","1-2","")))</f>
        <v/>
      </c>
      <c r="C329" s="19" t="str">
        <f>IF(OR(A328="",C328=""),"",100-C328)</f>
        <v/>
      </c>
      <c r="D329" s="3" t="str">
        <f t="shared" si="5"/>
        <v>INVALID PERCENT</v>
      </c>
    </row>
    <row r="330" spans="1:4" ht="14.25" customHeight="1" x14ac:dyDescent="0.3">
      <c r="A330" s="7"/>
      <c r="B330" s="7"/>
      <c r="C330" s="18"/>
      <c r="D330" s="3" t="str">
        <f t="shared" si="5"/>
        <v/>
      </c>
    </row>
    <row r="331" spans="1:4" ht="14.25" customHeight="1" x14ac:dyDescent="0.3">
      <c r="A331" s="9" t="str">
        <f>IF(OR(A330="",B330=""),"",A330)</f>
        <v/>
      </c>
      <c r="B331" s="9" t="str">
        <f>IF(B330="","",IF(B330="1-2","3-4",IF(B330="3-4","1-2","")))</f>
        <v/>
      </c>
      <c r="C331" s="19" t="str">
        <f>IF(OR(A330="",C330=""),"",100-C330)</f>
        <v/>
      </c>
      <c r="D331" s="3" t="str">
        <f t="shared" si="5"/>
        <v>INVALID PERCENT</v>
      </c>
    </row>
    <row r="332" spans="1:4" ht="14.25" customHeight="1" x14ac:dyDescent="0.3">
      <c r="A332" s="7"/>
      <c r="B332" s="7"/>
      <c r="C332" s="18"/>
      <c r="D332" s="3" t="str">
        <f t="shared" si="5"/>
        <v/>
      </c>
    </row>
    <row r="333" spans="1:4" ht="14.25" customHeight="1" x14ac:dyDescent="0.3">
      <c r="A333" s="9" t="str">
        <f>IF(OR(A332="",B332=""),"",A332)</f>
        <v/>
      </c>
      <c r="B333" s="9" t="str">
        <f>IF(B332="","",IF(B332="1-2","3-4",IF(B332="3-4","1-2","")))</f>
        <v/>
      </c>
      <c r="C333" s="19" t="str">
        <f>IF(OR(A332="",C332=""),"",100-C332)</f>
        <v/>
      </c>
      <c r="D333" s="3" t="str">
        <f t="shared" si="5"/>
        <v>INVALID PERCENT</v>
      </c>
    </row>
    <row r="334" spans="1:4" ht="14.25" customHeight="1" x14ac:dyDescent="0.3">
      <c r="A334" s="7"/>
      <c r="B334" s="7"/>
      <c r="C334" s="18"/>
      <c r="D334" s="3" t="str">
        <f t="shared" si="5"/>
        <v/>
      </c>
    </row>
    <row r="335" spans="1:4" ht="14.25" customHeight="1" x14ac:dyDescent="0.3">
      <c r="A335" s="9" t="str">
        <f>IF(OR(A334="",B334=""),"",A334)</f>
        <v/>
      </c>
      <c r="B335" s="9" t="str">
        <f>IF(B334="","",IF(B334="1-2","3-4",IF(B334="3-4","1-2","")))</f>
        <v/>
      </c>
      <c r="C335" s="19" t="str">
        <f>IF(OR(A334="",C334=""),"",100-C334)</f>
        <v/>
      </c>
      <c r="D335" s="3" t="str">
        <f t="shared" si="5"/>
        <v>INVALID PERCENT</v>
      </c>
    </row>
    <row r="336" spans="1:4" ht="14.25" customHeight="1" x14ac:dyDescent="0.3">
      <c r="A336" s="7"/>
      <c r="B336" s="7"/>
      <c r="C336" s="18"/>
      <c r="D336" s="3" t="str">
        <f t="shared" si="5"/>
        <v/>
      </c>
    </row>
    <row r="337" spans="1:4" ht="14.25" customHeight="1" x14ac:dyDescent="0.3">
      <c r="A337" s="9" t="str">
        <f>IF(OR(A336="",B336=""),"",A336)</f>
        <v/>
      </c>
      <c r="B337" s="9" t="str">
        <f>IF(B336="","",IF(B336="1-2","3-4",IF(B336="3-4","1-2","")))</f>
        <v/>
      </c>
      <c r="C337" s="19" t="str">
        <f>IF(OR(A336="",C336=""),"",100-C336)</f>
        <v/>
      </c>
      <c r="D337" s="3" t="str">
        <f t="shared" si="5"/>
        <v>INVALID PERCENT</v>
      </c>
    </row>
    <row r="338" spans="1:4" ht="14.25" customHeight="1" x14ac:dyDescent="0.3">
      <c r="A338" s="7"/>
      <c r="B338" s="7"/>
      <c r="C338" s="18"/>
      <c r="D338" s="3" t="str">
        <f t="shared" si="5"/>
        <v/>
      </c>
    </row>
    <row r="339" spans="1:4" ht="14.25" customHeight="1" x14ac:dyDescent="0.3">
      <c r="A339" s="9" t="str">
        <f>IF(OR(A338="",B338=""),"",A338)</f>
        <v/>
      </c>
      <c r="B339" s="9" t="str">
        <f>IF(B338="","",IF(B338="1-2","3-4",IF(B338="3-4","1-2","")))</f>
        <v/>
      </c>
      <c r="C339" s="19" t="str">
        <f>IF(OR(A338="",C338=""),"",100-C338)</f>
        <v/>
      </c>
      <c r="D339" s="3" t="str">
        <f t="shared" si="5"/>
        <v>INVALID PERCENT</v>
      </c>
    </row>
    <row r="340" spans="1:4" ht="14.25" customHeight="1" x14ac:dyDescent="0.3">
      <c r="A340" s="7"/>
      <c r="B340" s="7"/>
      <c r="C340" s="18"/>
      <c r="D340" s="3" t="str">
        <f t="shared" si="5"/>
        <v/>
      </c>
    </row>
    <row r="341" spans="1:4" ht="14.25" customHeight="1" x14ac:dyDescent="0.3">
      <c r="A341" s="9" t="str">
        <f>IF(OR(A340="",B340=""),"",A340)</f>
        <v/>
      </c>
      <c r="B341" s="9" t="str">
        <f>IF(B340="","",IF(B340="1-2","3-4",IF(B340="3-4","1-2","")))</f>
        <v/>
      </c>
      <c r="C341" s="19" t="str">
        <f>IF(OR(A340="",C340=""),"",100-C340)</f>
        <v/>
      </c>
      <c r="D341" s="3" t="str">
        <f t="shared" si="5"/>
        <v>INVALID PERCENT</v>
      </c>
    </row>
    <row r="342" spans="1:4" ht="14.25" customHeight="1" x14ac:dyDescent="0.3">
      <c r="A342" s="7"/>
      <c r="B342" s="7"/>
      <c r="C342" s="18"/>
      <c r="D342" s="3" t="str">
        <f t="shared" si="5"/>
        <v/>
      </c>
    </row>
    <row r="343" spans="1:4" ht="14.25" customHeight="1" x14ac:dyDescent="0.3">
      <c r="A343" s="9" t="str">
        <f>IF(OR(A342="",B342=""),"",A342)</f>
        <v/>
      </c>
      <c r="B343" s="9" t="str">
        <f>IF(B342="","",IF(B342="1-2","3-4",IF(B342="3-4","1-2","")))</f>
        <v/>
      </c>
      <c r="C343" s="19" t="str">
        <f>IF(OR(A342="",C342=""),"",100-C342)</f>
        <v/>
      </c>
      <c r="D343" s="3" t="str">
        <f t="shared" si="5"/>
        <v>INVALID PERCENT</v>
      </c>
    </row>
    <row r="344" spans="1:4" ht="14.25" customHeight="1" x14ac:dyDescent="0.3">
      <c r="A344" s="7"/>
      <c r="B344" s="7"/>
      <c r="C344" s="18"/>
      <c r="D344" s="3" t="str">
        <f t="shared" si="5"/>
        <v/>
      </c>
    </row>
    <row r="345" spans="1:4" ht="14.25" customHeight="1" x14ac:dyDescent="0.3">
      <c r="A345" s="9" t="str">
        <f>IF(OR(A344="",B344=""),"",A344)</f>
        <v/>
      </c>
      <c r="B345" s="9" t="str">
        <f>IF(B344="","",IF(B344="1-2","3-4",IF(B344="3-4","1-2","")))</f>
        <v/>
      </c>
      <c r="C345" s="19" t="str">
        <f>IF(OR(A344="",C344=""),"",100-C344)</f>
        <v/>
      </c>
      <c r="D345" s="3" t="str">
        <f t="shared" si="5"/>
        <v>INVALID PERCENT</v>
      </c>
    </row>
    <row r="346" spans="1:4" ht="14.25" customHeight="1" x14ac:dyDescent="0.3">
      <c r="A346" s="7"/>
      <c r="B346" s="7"/>
      <c r="C346" s="18"/>
      <c r="D346" s="3" t="str">
        <f t="shared" si="5"/>
        <v/>
      </c>
    </row>
    <row r="347" spans="1:4" ht="14.25" customHeight="1" x14ac:dyDescent="0.3">
      <c r="A347" s="9" t="str">
        <f>IF(OR(A346="",B346=""),"",A346)</f>
        <v/>
      </c>
      <c r="B347" s="9" t="str">
        <f>IF(B346="","",IF(B346="1-2","3-4",IF(B346="3-4","1-2","")))</f>
        <v/>
      </c>
      <c r="C347" s="19" t="str">
        <f>IF(OR(A346="",C346=""),"",100-C346)</f>
        <v/>
      </c>
      <c r="D347" s="3" t="str">
        <f t="shared" si="5"/>
        <v>INVALID PERCENT</v>
      </c>
    </row>
    <row r="348" spans="1:4" ht="14.25" customHeight="1" x14ac:dyDescent="0.3">
      <c r="A348" s="7"/>
      <c r="B348" s="7"/>
      <c r="C348" s="18"/>
      <c r="D348" s="3" t="str">
        <f t="shared" si="5"/>
        <v/>
      </c>
    </row>
    <row r="349" spans="1:4" ht="14.25" customHeight="1" x14ac:dyDescent="0.3">
      <c r="A349" s="9" t="str">
        <f>IF(OR(A348="",B348=""),"",A348)</f>
        <v/>
      </c>
      <c r="B349" s="9" t="str">
        <f>IF(B348="","",IF(B348="1-2","3-4",IF(B348="3-4","1-2","")))</f>
        <v/>
      </c>
      <c r="C349" s="19" t="str">
        <f>IF(OR(A348="",C348=""),"",100-C348)</f>
        <v/>
      </c>
      <c r="D349" s="3" t="str">
        <f t="shared" si="5"/>
        <v>INVALID PERCENT</v>
      </c>
    </row>
    <row r="350" spans="1:4" ht="14.25" customHeight="1" x14ac:dyDescent="0.3">
      <c r="A350" s="7"/>
      <c r="B350" s="7"/>
      <c r="C350" s="18"/>
      <c r="D350" s="3" t="str">
        <f t="shared" si="5"/>
        <v/>
      </c>
    </row>
    <row r="351" spans="1:4" ht="14.25" customHeight="1" x14ac:dyDescent="0.3">
      <c r="A351" s="9" t="str">
        <f>IF(OR(A350="",B350=""),"",A350)</f>
        <v/>
      </c>
      <c r="B351" s="9" t="str">
        <f>IF(B350="","",IF(B350="1-2","3-4",IF(B350="3-4","1-2","")))</f>
        <v/>
      </c>
      <c r="C351" s="19" t="str">
        <f>IF(OR(A350="",C350=""),"",100-C350)</f>
        <v/>
      </c>
      <c r="D351" s="3" t="str">
        <f t="shared" si="5"/>
        <v>INVALID PERCENT</v>
      </c>
    </row>
    <row r="352" spans="1:4" ht="14.25" customHeight="1" x14ac:dyDescent="0.3">
      <c r="A352" s="7"/>
      <c r="B352" s="7"/>
      <c r="C352" s="18"/>
      <c r="D352" s="3" t="str">
        <f t="shared" si="5"/>
        <v/>
      </c>
    </row>
    <row r="353" spans="1:4" ht="14.25" customHeight="1" x14ac:dyDescent="0.3">
      <c r="A353" s="9" t="str">
        <f>IF(OR(A352="",B352=""),"",A352)</f>
        <v/>
      </c>
      <c r="B353" s="9" t="str">
        <f>IF(B352="","",IF(B352="1-2","3-4",IF(B352="3-4","1-2","")))</f>
        <v/>
      </c>
      <c r="C353" s="19" t="str">
        <f>IF(OR(A352="",C352=""),"",100-C352)</f>
        <v/>
      </c>
      <c r="D353" s="3" t="str">
        <f t="shared" si="5"/>
        <v>INVALID PERCENT</v>
      </c>
    </row>
    <row r="354" spans="1:4" ht="14.25" customHeight="1" x14ac:dyDescent="0.3">
      <c r="A354" s="7"/>
      <c r="B354" s="7"/>
      <c r="C354" s="18"/>
      <c r="D354" s="3" t="str">
        <f t="shared" si="5"/>
        <v/>
      </c>
    </row>
    <row r="355" spans="1:4" ht="14.25" customHeight="1" x14ac:dyDescent="0.3">
      <c r="A355" s="9" t="str">
        <f>IF(OR(A354="",B354=""),"",A354)</f>
        <v/>
      </c>
      <c r="B355" s="9" t="str">
        <f>IF(B354="","",IF(B354="1-2","3-4",IF(B354="3-4","1-2","")))</f>
        <v/>
      </c>
      <c r="C355" s="19" t="str">
        <f>IF(OR(A354="",C354=""),"",100-C354)</f>
        <v/>
      </c>
      <c r="D355" s="3" t="str">
        <f t="shared" si="5"/>
        <v>INVALID PERCENT</v>
      </c>
    </row>
    <row r="356" spans="1:4" ht="14.25" customHeight="1" x14ac:dyDescent="0.3">
      <c r="A356" s="7"/>
      <c r="B356" s="7"/>
      <c r="C356" s="18"/>
      <c r="D356" s="3" t="str">
        <f t="shared" si="5"/>
        <v/>
      </c>
    </row>
    <row r="357" spans="1:4" ht="14.25" customHeight="1" x14ac:dyDescent="0.3">
      <c r="A357" s="9" t="str">
        <f>IF(OR(A356="",B356=""),"",A356)</f>
        <v/>
      </c>
      <c r="B357" s="9" t="str">
        <f>IF(B356="","",IF(B356="1-2","3-4",IF(B356="3-4","1-2","")))</f>
        <v/>
      </c>
      <c r="C357" s="19" t="str">
        <f>IF(OR(A356="",C356=""),"",100-C356)</f>
        <v/>
      </c>
      <c r="D357" s="3" t="str">
        <f t="shared" si="5"/>
        <v>INVALID PERCENT</v>
      </c>
    </row>
    <row r="358" spans="1:4" ht="14.25" customHeight="1" x14ac:dyDescent="0.3">
      <c r="A358" s="7"/>
      <c r="B358" s="7"/>
      <c r="C358" s="18"/>
      <c r="D358" s="3" t="str">
        <f t="shared" si="5"/>
        <v/>
      </c>
    </row>
    <row r="359" spans="1:4" ht="14.25" customHeight="1" x14ac:dyDescent="0.3">
      <c r="A359" s="9" t="str">
        <f>IF(OR(A358="",B358=""),"",A358)</f>
        <v/>
      </c>
      <c r="B359" s="9" t="str">
        <f>IF(B358="","",IF(B358="1-2","3-4",IF(B358="3-4","1-2","")))</f>
        <v/>
      </c>
      <c r="C359" s="19" t="str">
        <f>IF(OR(A358="",C358=""),"",100-C358)</f>
        <v/>
      </c>
      <c r="D359" s="3" t="str">
        <f t="shared" si="5"/>
        <v>INVALID PERCENT</v>
      </c>
    </row>
    <row r="360" spans="1:4" ht="14.25" customHeight="1" x14ac:dyDescent="0.3">
      <c r="A360" s="7"/>
      <c r="B360" s="7"/>
      <c r="C360" s="18"/>
      <c r="D360" s="3" t="str">
        <f t="shared" si="5"/>
        <v/>
      </c>
    </row>
    <row r="361" spans="1:4" ht="14.25" customHeight="1" x14ac:dyDescent="0.3">
      <c r="A361" s="9" t="str">
        <f>IF(OR(A360="",B360=""),"",A360)</f>
        <v/>
      </c>
      <c r="B361" s="9" t="str">
        <f>IF(B360="","",IF(B360="1-2","3-4",IF(B360="3-4","1-2","")))</f>
        <v/>
      </c>
      <c r="C361" s="19" t="str">
        <f>IF(OR(A360="",C360=""),"",100-C360)</f>
        <v/>
      </c>
      <c r="D361" s="3" t="str">
        <f t="shared" si="5"/>
        <v>INVALID PERCENT</v>
      </c>
    </row>
    <row r="362" spans="1:4" ht="14.25" customHeight="1" x14ac:dyDescent="0.3">
      <c r="A362" s="7"/>
      <c r="B362" s="7"/>
      <c r="C362" s="18"/>
      <c r="D362" s="3" t="str">
        <f t="shared" si="5"/>
        <v/>
      </c>
    </row>
    <row r="363" spans="1:4" ht="14.25" customHeight="1" x14ac:dyDescent="0.3">
      <c r="A363" s="9" t="str">
        <f>IF(OR(A362="",B362=""),"",A362)</f>
        <v/>
      </c>
      <c r="B363" s="9" t="str">
        <f>IF(B362="","",IF(B362="1-2","3-4",IF(B362="3-4","1-2","")))</f>
        <v/>
      </c>
      <c r="C363" s="19" t="str">
        <f>IF(OR(A362="",C362=""),"",100-C362)</f>
        <v/>
      </c>
      <c r="D363" s="3" t="str">
        <f t="shared" si="5"/>
        <v>INVALID PERCENT</v>
      </c>
    </row>
    <row r="364" spans="1:4" ht="14.25" customHeight="1" x14ac:dyDescent="0.3">
      <c r="A364" s="7"/>
      <c r="B364" s="7"/>
      <c r="C364" s="18"/>
      <c r="D364" s="3" t="str">
        <f t="shared" si="5"/>
        <v/>
      </c>
    </row>
    <row r="365" spans="1:4" ht="14.25" customHeight="1" x14ac:dyDescent="0.3">
      <c r="A365" s="9" t="str">
        <f>IF(OR(A364="",B364=""),"",A364)</f>
        <v/>
      </c>
      <c r="B365" s="9" t="str">
        <f>IF(B364="","",IF(B364="1-2","3-4",IF(B364="3-4","1-2","")))</f>
        <v/>
      </c>
      <c r="C365" s="19" t="str">
        <f>IF(OR(A364="",C364=""),"",100-C364)</f>
        <v/>
      </c>
      <c r="D365" s="3" t="str">
        <f t="shared" si="5"/>
        <v>INVALID PERCENT</v>
      </c>
    </row>
    <row r="366" spans="1:4" ht="14.25" customHeight="1" x14ac:dyDescent="0.3">
      <c r="A366" s="7"/>
      <c r="B366" s="7"/>
      <c r="C366" s="18"/>
      <c r="D366" s="3" t="str">
        <f t="shared" si="5"/>
        <v/>
      </c>
    </row>
    <row r="367" spans="1:4" ht="14.25" customHeight="1" x14ac:dyDescent="0.3">
      <c r="A367" s="9" t="str">
        <f>IF(OR(A366="",B366=""),"",A366)</f>
        <v/>
      </c>
      <c r="B367" s="9" t="str">
        <f>IF(B366="","",IF(B366="1-2","3-4",IF(B366="3-4","1-2","")))</f>
        <v/>
      </c>
      <c r="C367" s="19" t="str">
        <f>IF(OR(A366="",C366=""),"",100-C366)</f>
        <v/>
      </c>
      <c r="D367" s="3" t="str">
        <f t="shared" si="5"/>
        <v>INVALID PERCENT</v>
      </c>
    </row>
    <row r="368" spans="1:4" ht="14.25" customHeight="1" x14ac:dyDescent="0.3">
      <c r="A368" s="7"/>
      <c r="B368" s="7"/>
      <c r="C368" s="18"/>
      <c r="D368" s="3" t="str">
        <f t="shared" si="5"/>
        <v/>
      </c>
    </row>
    <row r="369" spans="1:4" ht="14.25" customHeight="1" x14ac:dyDescent="0.3">
      <c r="A369" s="9" t="str">
        <f>IF(OR(A368="",B368=""),"",A368)</f>
        <v/>
      </c>
      <c r="B369" s="9" t="str">
        <f>IF(B368="","",IF(B368="1-2","3-4",IF(B368="3-4","1-2","")))</f>
        <v/>
      </c>
      <c r="C369" s="19" t="str">
        <f>IF(OR(A368="",C368=""),"",100-C368)</f>
        <v/>
      </c>
      <c r="D369" s="3" t="str">
        <f t="shared" si="5"/>
        <v>INVALID PERCENT</v>
      </c>
    </row>
    <row r="370" spans="1:4" ht="14.25" customHeight="1" x14ac:dyDescent="0.3">
      <c r="A370" s="7"/>
      <c r="B370" s="7"/>
      <c r="C370" s="18"/>
      <c r="D370" s="3" t="str">
        <f t="shared" si="5"/>
        <v/>
      </c>
    </row>
    <row r="371" spans="1:4" ht="14.25" customHeight="1" x14ac:dyDescent="0.3">
      <c r="A371" s="9" t="str">
        <f>IF(OR(A370="",B370=""),"",A370)</f>
        <v/>
      </c>
      <c r="B371" s="9" t="str">
        <f>IF(B370="","",IF(B370="1-2","3-4",IF(B370="3-4","1-2","")))</f>
        <v/>
      </c>
      <c r="C371" s="19" t="str">
        <f>IF(OR(A370="",C370=""),"",100-C370)</f>
        <v/>
      </c>
      <c r="D371" s="3" t="str">
        <f t="shared" si="5"/>
        <v>INVALID PERCENT</v>
      </c>
    </row>
    <row r="372" spans="1:4" ht="14.25" customHeight="1" x14ac:dyDescent="0.3">
      <c r="A372" s="7"/>
      <c r="B372" s="7"/>
      <c r="C372" s="18"/>
      <c r="D372" s="3" t="str">
        <f t="shared" si="5"/>
        <v/>
      </c>
    </row>
    <row r="373" spans="1:4" ht="14.25" customHeight="1" x14ac:dyDescent="0.3">
      <c r="A373" s="9" t="str">
        <f>IF(OR(A372="",B372=""),"",A372)</f>
        <v/>
      </c>
      <c r="B373" s="9" t="str">
        <f>IF(B372="","",IF(B372="1-2","3-4",IF(B372="3-4","1-2","")))</f>
        <v/>
      </c>
      <c r="C373" s="19" t="str">
        <f>IF(OR(A372="",C372=""),"",100-C372)</f>
        <v/>
      </c>
      <c r="D373" s="3" t="str">
        <f t="shared" si="5"/>
        <v>INVALID PERCENT</v>
      </c>
    </row>
    <row r="374" spans="1:4" ht="14.25" customHeight="1" x14ac:dyDescent="0.3">
      <c r="A374" s="7"/>
      <c r="B374" s="7"/>
      <c r="C374" s="18"/>
      <c r="D374" s="3" t="str">
        <f t="shared" si="5"/>
        <v/>
      </c>
    </row>
    <row r="375" spans="1:4" ht="14.25" customHeight="1" x14ac:dyDescent="0.3">
      <c r="A375" s="9" t="str">
        <f>IF(OR(A374="",B374=""),"",A374)</f>
        <v/>
      </c>
      <c r="B375" s="9" t="str">
        <f>IF(B374="","",IF(B374="1-2","3-4",IF(B374="3-4","1-2","")))</f>
        <v/>
      </c>
      <c r="C375" s="19" t="str">
        <f>IF(OR(A374="",C374=""),"",100-C374)</f>
        <v/>
      </c>
      <c r="D375" s="3" t="str">
        <f t="shared" si="5"/>
        <v>INVALID PERCENT</v>
      </c>
    </row>
    <row r="376" spans="1:4" ht="14.25" customHeight="1" x14ac:dyDescent="0.3">
      <c r="A376" s="7"/>
      <c r="B376" s="7"/>
      <c r="C376" s="18"/>
      <c r="D376" s="3" t="str">
        <f t="shared" si="5"/>
        <v/>
      </c>
    </row>
    <row r="377" spans="1:4" ht="14.25" customHeight="1" x14ac:dyDescent="0.3">
      <c r="A377" s="9" t="str">
        <f>IF(OR(A376="",B376=""),"",A376)</f>
        <v/>
      </c>
      <c r="B377" s="9" t="str">
        <f>IF(B376="","",IF(B376="1-2","3-4",IF(B376="3-4","1-2","")))</f>
        <v/>
      </c>
      <c r="C377" s="19" t="str">
        <f>IF(OR(A376="",C376=""),"",100-C376)</f>
        <v/>
      </c>
      <c r="D377" s="3" t="str">
        <f t="shared" si="5"/>
        <v>INVALID PERCENT</v>
      </c>
    </row>
    <row r="378" spans="1:4" ht="14.25" customHeight="1" x14ac:dyDescent="0.3">
      <c r="A378" s="7"/>
      <c r="B378" s="7"/>
      <c r="C378" s="18"/>
      <c r="D378" s="3" t="str">
        <f t="shared" si="5"/>
        <v/>
      </c>
    </row>
    <row r="379" spans="1:4" ht="14.25" customHeight="1" x14ac:dyDescent="0.3">
      <c r="A379" s="9" t="str">
        <f>IF(OR(A378="",B378=""),"",A378)</f>
        <v/>
      </c>
      <c r="B379" s="9" t="str">
        <f>IF(B378="","",IF(B378="1-2","3-4",IF(B378="3-4","1-2","")))</f>
        <v/>
      </c>
      <c r="C379" s="19" t="str">
        <f>IF(OR(A378="",C378=""),"",100-C378)</f>
        <v/>
      </c>
      <c r="D379" s="3" t="str">
        <f t="shared" si="5"/>
        <v>INVALID PERCENT</v>
      </c>
    </row>
    <row r="380" spans="1:4" ht="14.25" customHeight="1" x14ac:dyDescent="0.3">
      <c r="A380" s="7"/>
      <c r="B380" s="7"/>
      <c r="C380" s="18"/>
      <c r="D380" s="3" t="str">
        <f t="shared" si="5"/>
        <v/>
      </c>
    </row>
    <row r="381" spans="1:4" ht="14.25" customHeight="1" x14ac:dyDescent="0.3">
      <c r="A381" s="9" t="str">
        <f>IF(OR(A380="",B380=""),"",A380)</f>
        <v/>
      </c>
      <c r="B381" s="9" t="str">
        <f>IF(B380="","",IF(B380="1-2","3-4",IF(B380="3-4","1-2","")))</f>
        <v/>
      </c>
      <c r="C381" s="19" t="str">
        <f>IF(OR(A380="",C380=""),"",100-C380)</f>
        <v/>
      </c>
      <c r="D381" s="3" t="str">
        <f t="shared" si="5"/>
        <v>INVALID PERCENT</v>
      </c>
    </row>
    <row r="382" spans="1:4" ht="14.25" customHeight="1" x14ac:dyDescent="0.3">
      <c r="A382" s="7"/>
      <c r="B382" s="7"/>
      <c r="C382" s="18"/>
      <c r="D382" s="3" t="str">
        <f t="shared" si="5"/>
        <v/>
      </c>
    </row>
    <row r="383" spans="1:4" ht="14.25" customHeight="1" x14ac:dyDescent="0.3">
      <c r="A383" s="9" t="str">
        <f>IF(OR(A382="",B382=""),"",A382)</f>
        <v/>
      </c>
      <c r="B383" s="9" t="str">
        <f>IF(B382="","",IF(B382="1-2","3-4",IF(B382="3-4","1-2","")))</f>
        <v/>
      </c>
      <c r="C383" s="19" t="str">
        <f>IF(OR(A382="",C382=""),"",100-C382)</f>
        <v/>
      </c>
      <c r="D383" s="3" t="str">
        <f t="shared" si="5"/>
        <v>INVALID PERCENT</v>
      </c>
    </row>
    <row r="384" spans="1:4" ht="14.25" customHeight="1" x14ac:dyDescent="0.3">
      <c r="A384" s="7"/>
      <c r="B384" s="7"/>
      <c r="C384" s="18"/>
      <c r="D384" s="3" t="str">
        <f t="shared" si="5"/>
        <v/>
      </c>
    </row>
    <row r="385" spans="1:4" ht="14.25" customHeight="1" x14ac:dyDescent="0.3">
      <c r="A385" s="9" t="str">
        <f>IF(OR(A384="",B384=""),"",A384)</f>
        <v/>
      </c>
      <c r="B385" s="9" t="str">
        <f>IF(B384="","",IF(B384="1-2","3-4",IF(B384="3-4","1-2","")))</f>
        <v/>
      </c>
      <c r="C385" s="19" t="str">
        <f>IF(OR(A384="",C384=""),"",100-C384)</f>
        <v/>
      </c>
      <c r="D385" s="3" t="str">
        <f t="shared" si="5"/>
        <v>INVALID PERCENT</v>
      </c>
    </row>
    <row r="386" spans="1:4" ht="14.25" customHeight="1" x14ac:dyDescent="0.3">
      <c r="A386" s="7"/>
      <c r="B386" s="7"/>
      <c r="C386" s="18"/>
      <c r="D386" s="3" t="str">
        <f t="shared" ref="D386:D449" si="6">IF(COUNTA(A386:C386)=0,"",IF(OR(C386&lt;0,C386&gt;100),"INVALID PERCENT",IF(COUNTIFS($A$2:$A$1000,A386,$B$2:$B$1000,B386)&gt;1,"DUPLICATE ROOM/GROUP","OK")))</f>
        <v/>
      </c>
    </row>
    <row r="387" spans="1:4" ht="14.25" customHeight="1" x14ac:dyDescent="0.3">
      <c r="A387" s="9" t="str">
        <f>IF(OR(A386="",B386=""),"",A386)</f>
        <v/>
      </c>
      <c r="B387" s="9" t="str">
        <f>IF(B386="","",IF(B386="1-2","3-4",IF(B386="3-4","1-2","")))</f>
        <v/>
      </c>
      <c r="C387" s="19" t="str">
        <f>IF(OR(A386="",C386=""),"",100-C386)</f>
        <v/>
      </c>
      <c r="D387" s="3" t="str">
        <f t="shared" si="6"/>
        <v>INVALID PERCENT</v>
      </c>
    </row>
    <row r="388" spans="1:4" ht="14.25" customHeight="1" x14ac:dyDescent="0.3">
      <c r="A388" s="7"/>
      <c r="B388" s="7"/>
      <c r="C388" s="18"/>
      <c r="D388" s="3" t="str">
        <f t="shared" si="6"/>
        <v/>
      </c>
    </row>
    <row r="389" spans="1:4" ht="14.25" customHeight="1" x14ac:dyDescent="0.3">
      <c r="A389" s="9" t="str">
        <f>IF(OR(A388="",B388=""),"",A388)</f>
        <v/>
      </c>
      <c r="B389" s="9" t="str">
        <f>IF(B388="","",IF(B388="1-2","3-4",IF(B388="3-4","1-2","")))</f>
        <v/>
      </c>
      <c r="C389" s="19" t="str">
        <f>IF(OR(A388="",C388=""),"",100-C388)</f>
        <v/>
      </c>
      <c r="D389" s="3" t="str">
        <f t="shared" si="6"/>
        <v>INVALID PERCENT</v>
      </c>
    </row>
    <row r="390" spans="1:4" ht="14.25" customHeight="1" x14ac:dyDescent="0.3">
      <c r="A390" s="7"/>
      <c r="B390" s="7"/>
      <c r="C390" s="18"/>
      <c r="D390" s="3" t="str">
        <f t="shared" si="6"/>
        <v/>
      </c>
    </row>
    <row r="391" spans="1:4" ht="14.25" customHeight="1" x14ac:dyDescent="0.3">
      <c r="A391" s="9" t="str">
        <f>IF(OR(A390="",B390=""),"",A390)</f>
        <v/>
      </c>
      <c r="B391" s="9" t="str">
        <f>IF(B390="","",IF(B390="1-2","3-4",IF(B390="3-4","1-2","")))</f>
        <v/>
      </c>
      <c r="C391" s="19" t="str">
        <f>IF(OR(A390="",C390=""),"",100-C390)</f>
        <v/>
      </c>
      <c r="D391" s="3" t="str">
        <f t="shared" si="6"/>
        <v>INVALID PERCENT</v>
      </c>
    </row>
    <row r="392" spans="1:4" ht="14.25" customHeight="1" x14ac:dyDescent="0.3">
      <c r="A392" s="7"/>
      <c r="B392" s="7"/>
      <c r="C392" s="18"/>
      <c r="D392" s="3" t="str">
        <f t="shared" si="6"/>
        <v/>
      </c>
    </row>
    <row r="393" spans="1:4" ht="14.25" customHeight="1" x14ac:dyDescent="0.3">
      <c r="A393" s="9" t="str">
        <f>IF(OR(A392="",B392=""),"",A392)</f>
        <v/>
      </c>
      <c r="B393" s="9" t="str">
        <f>IF(B392="","",IF(B392="1-2","3-4",IF(B392="3-4","1-2","")))</f>
        <v/>
      </c>
      <c r="C393" s="19" t="str">
        <f>IF(OR(A392="",C392=""),"",100-C392)</f>
        <v/>
      </c>
      <c r="D393" s="3" t="str">
        <f t="shared" si="6"/>
        <v>INVALID PERCENT</v>
      </c>
    </row>
    <row r="394" spans="1:4" ht="14.25" customHeight="1" x14ac:dyDescent="0.3">
      <c r="A394" s="7"/>
      <c r="B394" s="7"/>
      <c r="C394" s="18"/>
      <c r="D394" s="3" t="str">
        <f t="shared" si="6"/>
        <v/>
      </c>
    </row>
    <row r="395" spans="1:4" ht="14.25" customHeight="1" x14ac:dyDescent="0.3">
      <c r="A395" s="9" t="str">
        <f>IF(OR(A394="",B394=""),"",A394)</f>
        <v/>
      </c>
      <c r="B395" s="9" t="str">
        <f>IF(B394="","",IF(B394="1-2","3-4",IF(B394="3-4","1-2","")))</f>
        <v/>
      </c>
      <c r="C395" s="19" t="str">
        <f>IF(OR(A394="",C394=""),"",100-C394)</f>
        <v/>
      </c>
      <c r="D395" s="3" t="str">
        <f t="shared" si="6"/>
        <v>INVALID PERCENT</v>
      </c>
    </row>
    <row r="396" spans="1:4" ht="14.25" customHeight="1" x14ac:dyDescent="0.3">
      <c r="A396" s="7"/>
      <c r="B396" s="7"/>
      <c r="C396" s="18"/>
      <c r="D396" s="3" t="str">
        <f t="shared" si="6"/>
        <v/>
      </c>
    </row>
    <row r="397" spans="1:4" ht="14.25" customHeight="1" x14ac:dyDescent="0.3">
      <c r="A397" s="9" t="str">
        <f>IF(OR(A396="",B396=""),"",A396)</f>
        <v/>
      </c>
      <c r="B397" s="9" t="str">
        <f>IF(B396="","",IF(B396="1-2","3-4",IF(B396="3-4","1-2","")))</f>
        <v/>
      </c>
      <c r="C397" s="19" t="str">
        <f>IF(OR(A396="",C396=""),"",100-C396)</f>
        <v/>
      </c>
      <c r="D397" s="3" t="str">
        <f t="shared" si="6"/>
        <v>INVALID PERCENT</v>
      </c>
    </row>
    <row r="398" spans="1:4" ht="14.25" customHeight="1" x14ac:dyDescent="0.3">
      <c r="A398" s="7"/>
      <c r="B398" s="7"/>
      <c r="C398" s="18"/>
      <c r="D398" s="3" t="str">
        <f t="shared" si="6"/>
        <v/>
      </c>
    </row>
    <row r="399" spans="1:4" ht="14.25" customHeight="1" x14ac:dyDescent="0.3">
      <c r="A399" s="9" t="str">
        <f>IF(OR(A398="",B398=""),"",A398)</f>
        <v/>
      </c>
      <c r="B399" s="9" t="str">
        <f>IF(B398="","",IF(B398="1-2","3-4",IF(B398="3-4","1-2","")))</f>
        <v/>
      </c>
      <c r="C399" s="19" t="str">
        <f>IF(OR(A398="",C398=""),"",100-C398)</f>
        <v/>
      </c>
      <c r="D399" s="3" t="str">
        <f t="shared" si="6"/>
        <v>INVALID PERCENT</v>
      </c>
    </row>
    <row r="400" spans="1:4" ht="14.25" customHeight="1" x14ac:dyDescent="0.3">
      <c r="A400" s="7"/>
      <c r="B400" s="7"/>
      <c r="C400" s="18"/>
      <c r="D400" s="3" t="str">
        <f t="shared" si="6"/>
        <v/>
      </c>
    </row>
    <row r="401" spans="1:4" ht="14.25" customHeight="1" x14ac:dyDescent="0.3">
      <c r="A401" s="9" t="str">
        <f>IF(OR(A400="",B400=""),"",A400)</f>
        <v/>
      </c>
      <c r="B401" s="9" t="str">
        <f>IF(B400="","",IF(B400="1-2","3-4",IF(B400="3-4","1-2","")))</f>
        <v/>
      </c>
      <c r="C401" s="19" t="str">
        <f>IF(OR(A400="",C400=""),"",100-C400)</f>
        <v/>
      </c>
      <c r="D401" s="3" t="str">
        <f t="shared" si="6"/>
        <v>INVALID PERCENT</v>
      </c>
    </row>
    <row r="402" spans="1:4" ht="14.25" customHeight="1" x14ac:dyDescent="0.3">
      <c r="A402" s="7"/>
      <c r="B402" s="7"/>
      <c r="C402" s="18"/>
      <c r="D402" s="3" t="str">
        <f t="shared" si="6"/>
        <v/>
      </c>
    </row>
    <row r="403" spans="1:4" ht="14.25" customHeight="1" x14ac:dyDescent="0.3">
      <c r="A403" s="9" t="str">
        <f>IF(OR(A402="",B402=""),"",A402)</f>
        <v/>
      </c>
      <c r="B403" s="9" t="str">
        <f>IF(B402="","",IF(B402="1-2","3-4",IF(B402="3-4","1-2","")))</f>
        <v/>
      </c>
      <c r="C403" s="19" t="str">
        <f>IF(OR(A402="",C402=""),"",100-C402)</f>
        <v/>
      </c>
      <c r="D403" s="3" t="str">
        <f t="shared" si="6"/>
        <v>INVALID PERCENT</v>
      </c>
    </row>
    <row r="404" spans="1:4" ht="14.25" customHeight="1" x14ac:dyDescent="0.3">
      <c r="A404" s="7"/>
      <c r="B404" s="7"/>
      <c r="C404" s="18"/>
      <c r="D404" s="3" t="str">
        <f t="shared" si="6"/>
        <v/>
      </c>
    </row>
    <row r="405" spans="1:4" ht="14.25" customHeight="1" x14ac:dyDescent="0.3">
      <c r="A405" s="9" t="str">
        <f>IF(OR(A404="",B404=""),"",A404)</f>
        <v/>
      </c>
      <c r="B405" s="9" t="str">
        <f>IF(B404="","",IF(B404="1-2","3-4",IF(B404="3-4","1-2","")))</f>
        <v/>
      </c>
      <c r="C405" s="19" t="str">
        <f>IF(OR(A404="",C404=""),"",100-C404)</f>
        <v/>
      </c>
      <c r="D405" s="3" t="str">
        <f t="shared" si="6"/>
        <v>INVALID PERCENT</v>
      </c>
    </row>
    <row r="406" spans="1:4" ht="14.25" customHeight="1" x14ac:dyDescent="0.3">
      <c r="A406" s="7"/>
      <c r="B406" s="7"/>
      <c r="C406" s="18"/>
      <c r="D406" s="3" t="str">
        <f t="shared" si="6"/>
        <v/>
      </c>
    </row>
    <row r="407" spans="1:4" ht="14.25" customHeight="1" x14ac:dyDescent="0.3">
      <c r="A407" s="9" t="str">
        <f>IF(OR(A406="",B406=""),"",A406)</f>
        <v/>
      </c>
      <c r="B407" s="9" t="str">
        <f>IF(B406="","",IF(B406="1-2","3-4",IF(B406="3-4","1-2","")))</f>
        <v/>
      </c>
      <c r="C407" s="19" t="str">
        <f>IF(OR(A406="",C406=""),"",100-C406)</f>
        <v/>
      </c>
      <c r="D407" s="3" t="str">
        <f t="shared" si="6"/>
        <v>INVALID PERCENT</v>
      </c>
    </row>
    <row r="408" spans="1:4" ht="14.25" customHeight="1" x14ac:dyDescent="0.3">
      <c r="A408" s="7"/>
      <c r="B408" s="7"/>
      <c r="C408" s="18"/>
      <c r="D408" s="3" t="str">
        <f t="shared" si="6"/>
        <v/>
      </c>
    </row>
    <row r="409" spans="1:4" ht="14.25" customHeight="1" x14ac:dyDescent="0.3">
      <c r="A409" s="9" t="str">
        <f>IF(OR(A408="",B408=""),"",A408)</f>
        <v/>
      </c>
      <c r="B409" s="9" t="str">
        <f>IF(B408="","",IF(B408="1-2","3-4",IF(B408="3-4","1-2","")))</f>
        <v/>
      </c>
      <c r="C409" s="19" t="str">
        <f>IF(OR(A408="",C408=""),"",100-C408)</f>
        <v/>
      </c>
      <c r="D409" s="3" t="str">
        <f t="shared" si="6"/>
        <v>INVALID PERCENT</v>
      </c>
    </row>
    <row r="410" spans="1:4" ht="14.25" customHeight="1" x14ac:dyDescent="0.3">
      <c r="A410" s="7"/>
      <c r="B410" s="7"/>
      <c r="C410" s="18"/>
      <c r="D410" s="3" t="str">
        <f t="shared" si="6"/>
        <v/>
      </c>
    </row>
    <row r="411" spans="1:4" ht="14.25" customHeight="1" x14ac:dyDescent="0.3">
      <c r="A411" s="9" t="str">
        <f>IF(OR(A410="",B410=""),"",A410)</f>
        <v/>
      </c>
      <c r="B411" s="9" t="str">
        <f>IF(B410="","",IF(B410="1-2","3-4",IF(B410="3-4","1-2","")))</f>
        <v/>
      </c>
      <c r="C411" s="19" t="str">
        <f>IF(OR(A410="",C410=""),"",100-C410)</f>
        <v/>
      </c>
      <c r="D411" s="3" t="str">
        <f t="shared" si="6"/>
        <v>INVALID PERCENT</v>
      </c>
    </row>
    <row r="412" spans="1:4" ht="14.25" customHeight="1" x14ac:dyDescent="0.3">
      <c r="A412" s="7"/>
      <c r="B412" s="7"/>
      <c r="C412" s="18"/>
      <c r="D412" s="3" t="str">
        <f t="shared" si="6"/>
        <v/>
      </c>
    </row>
    <row r="413" spans="1:4" ht="14.25" customHeight="1" x14ac:dyDescent="0.3">
      <c r="A413" s="9" t="str">
        <f>IF(OR(A412="",B412=""),"",A412)</f>
        <v/>
      </c>
      <c r="B413" s="9" t="str">
        <f>IF(B412="","",IF(B412="1-2","3-4",IF(B412="3-4","1-2","")))</f>
        <v/>
      </c>
      <c r="C413" s="19" t="str">
        <f>IF(OR(A412="",C412=""),"",100-C412)</f>
        <v/>
      </c>
      <c r="D413" s="3" t="str">
        <f t="shared" si="6"/>
        <v>INVALID PERCENT</v>
      </c>
    </row>
    <row r="414" spans="1:4" ht="14.25" customHeight="1" x14ac:dyDescent="0.3">
      <c r="A414" s="7"/>
      <c r="B414" s="7"/>
      <c r="C414" s="18"/>
      <c r="D414" s="3" t="str">
        <f t="shared" si="6"/>
        <v/>
      </c>
    </row>
    <row r="415" spans="1:4" ht="14.25" customHeight="1" x14ac:dyDescent="0.3">
      <c r="A415" s="9" t="str">
        <f>IF(OR(A414="",B414=""),"",A414)</f>
        <v/>
      </c>
      <c r="B415" s="9" t="str">
        <f>IF(B414="","",IF(B414="1-2","3-4",IF(B414="3-4","1-2","")))</f>
        <v/>
      </c>
      <c r="C415" s="19" t="str">
        <f>IF(OR(A414="",C414=""),"",100-C414)</f>
        <v/>
      </c>
      <c r="D415" s="3" t="str">
        <f t="shared" si="6"/>
        <v>INVALID PERCENT</v>
      </c>
    </row>
    <row r="416" spans="1:4" ht="14.25" customHeight="1" x14ac:dyDescent="0.3">
      <c r="A416" s="7"/>
      <c r="B416" s="7"/>
      <c r="C416" s="18"/>
      <c r="D416" s="3" t="str">
        <f t="shared" si="6"/>
        <v/>
      </c>
    </row>
    <row r="417" spans="1:4" ht="14.25" customHeight="1" x14ac:dyDescent="0.3">
      <c r="A417" s="9" t="str">
        <f>IF(OR(A416="",B416=""),"",A416)</f>
        <v/>
      </c>
      <c r="B417" s="9" t="str">
        <f>IF(B416="","",IF(B416="1-2","3-4",IF(B416="3-4","1-2","")))</f>
        <v/>
      </c>
      <c r="C417" s="19" t="str">
        <f>IF(OR(A416="",C416=""),"",100-C416)</f>
        <v/>
      </c>
      <c r="D417" s="3" t="str">
        <f t="shared" si="6"/>
        <v>INVALID PERCENT</v>
      </c>
    </row>
    <row r="418" spans="1:4" ht="14.25" customHeight="1" x14ac:dyDescent="0.3">
      <c r="A418" s="7"/>
      <c r="B418" s="7"/>
      <c r="C418" s="18"/>
      <c r="D418" s="3" t="str">
        <f t="shared" si="6"/>
        <v/>
      </c>
    </row>
    <row r="419" spans="1:4" ht="14.25" customHeight="1" x14ac:dyDescent="0.3">
      <c r="A419" s="9" t="str">
        <f>IF(OR(A418="",B418=""),"",A418)</f>
        <v/>
      </c>
      <c r="B419" s="9" t="str">
        <f>IF(B418="","",IF(B418="1-2","3-4",IF(B418="3-4","1-2","")))</f>
        <v/>
      </c>
      <c r="C419" s="19" t="str">
        <f>IF(OR(A418="",C418=""),"",100-C418)</f>
        <v/>
      </c>
      <c r="D419" s="3" t="str">
        <f t="shared" si="6"/>
        <v>INVALID PERCENT</v>
      </c>
    </row>
    <row r="420" spans="1:4" ht="14.25" customHeight="1" x14ac:dyDescent="0.3">
      <c r="A420" s="7"/>
      <c r="B420" s="7"/>
      <c r="C420" s="18"/>
      <c r="D420" s="3" t="str">
        <f t="shared" si="6"/>
        <v/>
      </c>
    </row>
    <row r="421" spans="1:4" ht="14.25" customHeight="1" x14ac:dyDescent="0.3">
      <c r="A421" s="9" t="str">
        <f>IF(OR(A420="",B420=""),"",A420)</f>
        <v/>
      </c>
      <c r="B421" s="9" t="str">
        <f>IF(B420="","",IF(B420="1-2","3-4",IF(B420="3-4","1-2","")))</f>
        <v/>
      </c>
      <c r="C421" s="19" t="str">
        <f>IF(OR(A420="",C420=""),"",100-C420)</f>
        <v/>
      </c>
      <c r="D421" s="3" t="str">
        <f t="shared" si="6"/>
        <v>INVALID PERCENT</v>
      </c>
    </row>
    <row r="422" spans="1:4" ht="14.25" customHeight="1" x14ac:dyDescent="0.3">
      <c r="A422" s="7"/>
      <c r="B422" s="7"/>
      <c r="C422" s="18"/>
      <c r="D422" s="3" t="str">
        <f t="shared" si="6"/>
        <v/>
      </c>
    </row>
    <row r="423" spans="1:4" ht="14.25" customHeight="1" x14ac:dyDescent="0.3">
      <c r="A423" s="9" t="str">
        <f>IF(OR(A422="",B422=""),"",A422)</f>
        <v/>
      </c>
      <c r="B423" s="9" t="str">
        <f>IF(B422="","",IF(B422="1-2","3-4",IF(B422="3-4","1-2","")))</f>
        <v/>
      </c>
      <c r="C423" s="19" t="str">
        <f>IF(OR(A422="",C422=""),"",100-C422)</f>
        <v/>
      </c>
      <c r="D423" s="3" t="str">
        <f t="shared" si="6"/>
        <v>INVALID PERCENT</v>
      </c>
    </row>
    <row r="424" spans="1:4" ht="14.25" customHeight="1" x14ac:dyDescent="0.3">
      <c r="A424" s="7"/>
      <c r="B424" s="7"/>
      <c r="C424" s="18"/>
      <c r="D424" s="3" t="str">
        <f t="shared" si="6"/>
        <v/>
      </c>
    </row>
    <row r="425" spans="1:4" ht="14.25" customHeight="1" x14ac:dyDescent="0.3">
      <c r="A425" s="9" t="str">
        <f>IF(OR(A424="",B424=""),"",A424)</f>
        <v/>
      </c>
      <c r="B425" s="9" t="str">
        <f>IF(B424="","",IF(B424="1-2","3-4",IF(B424="3-4","1-2","")))</f>
        <v/>
      </c>
      <c r="C425" s="19" t="str">
        <f>IF(OR(A424="",C424=""),"",100-C424)</f>
        <v/>
      </c>
      <c r="D425" s="3" t="str">
        <f t="shared" si="6"/>
        <v>INVALID PERCENT</v>
      </c>
    </row>
    <row r="426" spans="1:4" ht="14.25" customHeight="1" x14ac:dyDescent="0.3">
      <c r="A426" s="7"/>
      <c r="B426" s="7"/>
      <c r="C426" s="18"/>
      <c r="D426" s="3" t="str">
        <f t="shared" si="6"/>
        <v/>
      </c>
    </row>
    <row r="427" spans="1:4" ht="14.25" customHeight="1" x14ac:dyDescent="0.3">
      <c r="A427" s="9" t="str">
        <f>IF(OR(A426="",B426=""),"",A426)</f>
        <v/>
      </c>
      <c r="B427" s="9" t="str">
        <f>IF(B426="","",IF(B426="1-2","3-4",IF(B426="3-4","1-2","")))</f>
        <v/>
      </c>
      <c r="C427" s="19" t="str">
        <f>IF(OR(A426="",C426=""),"",100-C426)</f>
        <v/>
      </c>
      <c r="D427" s="3" t="str">
        <f t="shared" si="6"/>
        <v>INVALID PERCENT</v>
      </c>
    </row>
    <row r="428" spans="1:4" ht="14.25" customHeight="1" x14ac:dyDescent="0.3">
      <c r="A428" s="7"/>
      <c r="B428" s="7"/>
      <c r="C428" s="18"/>
      <c r="D428" s="3" t="str">
        <f t="shared" si="6"/>
        <v/>
      </c>
    </row>
    <row r="429" spans="1:4" ht="14.25" customHeight="1" x14ac:dyDescent="0.3">
      <c r="A429" s="9" t="str">
        <f>IF(OR(A428="",B428=""),"",A428)</f>
        <v/>
      </c>
      <c r="B429" s="9" t="str">
        <f>IF(B428="","",IF(B428="1-2","3-4",IF(B428="3-4","1-2","")))</f>
        <v/>
      </c>
      <c r="C429" s="19" t="str">
        <f>IF(OR(A428="",C428=""),"",100-C428)</f>
        <v/>
      </c>
      <c r="D429" s="3" t="str">
        <f t="shared" si="6"/>
        <v>INVALID PERCENT</v>
      </c>
    </row>
    <row r="430" spans="1:4" ht="14.25" customHeight="1" x14ac:dyDescent="0.3">
      <c r="A430" s="7"/>
      <c r="B430" s="7"/>
      <c r="C430" s="18"/>
      <c r="D430" s="3" t="str">
        <f t="shared" si="6"/>
        <v/>
      </c>
    </row>
    <row r="431" spans="1:4" ht="14.25" customHeight="1" x14ac:dyDescent="0.3">
      <c r="A431" s="9" t="str">
        <f>IF(OR(A430="",B430=""),"",A430)</f>
        <v/>
      </c>
      <c r="B431" s="9" t="str">
        <f>IF(B430="","",IF(B430="1-2","3-4",IF(B430="3-4","1-2","")))</f>
        <v/>
      </c>
      <c r="C431" s="19" t="str">
        <f>IF(OR(A430="",C430=""),"",100-C430)</f>
        <v/>
      </c>
      <c r="D431" s="3" t="str">
        <f t="shared" si="6"/>
        <v>INVALID PERCENT</v>
      </c>
    </row>
    <row r="432" spans="1:4" ht="14.25" customHeight="1" x14ac:dyDescent="0.3">
      <c r="A432" s="7"/>
      <c r="B432" s="7"/>
      <c r="C432" s="18"/>
      <c r="D432" s="3" t="str">
        <f t="shared" si="6"/>
        <v/>
      </c>
    </row>
    <row r="433" spans="1:4" ht="14.25" customHeight="1" x14ac:dyDescent="0.3">
      <c r="A433" s="9" t="str">
        <f>IF(OR(A432="",B432=""),"",A432)</f>
        <v/>
      </c>
      <c r="B433" s="9" t="str">
        <f>IF(B432="","",IF(B432="1-2","3-4",IF(B432="3-4","1-2","")))</f>
        <v/>
      </c>
      <c r="C433" s="19" t="str">
        <f>IF(OR(A432="",C432=""),"",100-C432)</f>
        <v/>
      </c>
      <c r="D433" s="3" t="str">
        <f t="shared" si="6"/>
        <v>INVALID PERCENT</v>
      </c>
    </row>
    <row r="434" spans="1:4" ht="14.25" customHeight="1" x14ac:dyDescent="0.3">
      <c r="A434" s="7"/>
      <c r="B434" s="7"/>
      <c r="C434" s="18"/>
      <c r="D434" s="3" t="str">
        <f t="shared" si="6"/>
        <v/>
      </c>
    </row>
    <row r="435" spans="1:4" ht="14.25" customHeight="1" x14ac:dyDescent="0.3">
      <c r="A435" s="9" t="str">
        <f>IF(OR(A434="",B434=""),"",A434)</f>
        <v/>
      </c>
      <c r="B435" s="9" t="str">
        <f>IF(B434="","",IF(B434="1-2","3-4",IF(B434="3-4","1-2","")))</f>
        <v/>
      </c>
      <c r="C435" s="19" t="str">
        <f>IF(OR(A434="",C434=""),"",100-C434)</f>
        <v/>
      </c>
      <c r="D435" s="3" t="str">
        <f t="shared" si="6"/>
        <v>INVALID PERCENT</v>
      </c>
    </row>
    <row r="436" spans="1:4" ht="14.25" customHeight="1" x14ac:dyDescent="0.3">
      <c r="A436" s="7"/>
      <c r="B436" s="7"/>
      <c r="C436" s="18"/>
      <c r="D436" s="3" t="str">
        <f t="shared" si="6"/>
        <v/>
      </c>
    </row>
    <row r="437" spans="1:4" ht="14.25" customHeight="1" x14ac:dyDescent="0.3">
      <c r="A437" s="9" t="str">
        <f>IF(OR(A436="",B436=""),"",A436)</f>
        <v/>
      </c>
      <c r="B437" s="9" t="str">
        <f>IF(B436="","",IF(B436="1-2","3-4",IF(B436="3-4","1-2","")))</f>
        <v/>
      </c>
      <c r="C437" s="19" t="str">
        <f>IF(OR(A436="",C436=""),"",100-C436)</f>
        <v/>
      </c>
      <c r="D437" s="3" t="str">
        <f t="shared" si="6"/>
        <v>INVALID PERCENT</v>
      </c>
    </row>
    <row r="438" spans="1:4" ht="14.25" customHeight="1" x14ac:dyDescent="0.3">
      <c r="A438" s="7"/>
      <c r="B438" s="7"/>
      <c r="C438" s="18"/>
      <c r="D438" s="3" t="str">
        <f t="shared" si="6"/>
        <v/>
      </c>
    </row>
    <row r="439" spans="1:4" ht="14.25" customHeight="1" x14ac:dyDescent="0.3">
      <c r="A439" s="9" t="str">
        <f>IF(OR(A438="",B438=""),"",A438)</f>
        <v/>
      </c>
      <c r="B439" s="9" t="str">
        <f>IF(B438="","",IF(B438="1-2","3-4",IF(B438="3-4","1-2","")))</f>
        <v/>
      </c>
      <c r="C439" s="19" t="str">
        <f>IF(OR(A438="",C438=""),"",100-C438)</f>
        <v/>
      </c>
      <c r="D439" s="3" t="str">
        <f t="shared" si="6"/>
        <v>INVALID PERCENT</v>
      </c>
    </row>
    <row r="440" spans="1:4" ht="14.25" customHeight="1" x14ac:dyDescent="0.3">
      <c r="A440" s="7"/>
      <c r="B440" s="7"/>
      <c r="C440" s="18"/>
      <c r="D440" s="3" t="str">
        <f t="shared" si="6"/>
        <v/>
      </c>
    </row>
    <row r="441" spans="1:4" ht="14.25" customHeight="1" x14ac:dyDescent="0.3">
      <c r="A441" s="9" t="str">
        <f>IF(OR(A440="",B440=""),"",A440)</f>
        <v/>
      </c>
      <c r="B441" s="9" t="str">
        <f>IF(B440="","",IF(B440="1-2","3-4",IF(B440="3-4","1-2","")))</f>
        <v/>
      </c>
      <c r="C441" s="19" t="str">
        <f>IF(OR(A440="",C440=""),"",100-C440)</f>
        <v/>
      </c>
      <c r="D441" s="3" t="str">
        <f t="shared" si="6"/>
        <v>INVALID PERCENT</v>
      </c>
    </row>
    <row r="442" spans="1:4" ht="14.25" customHeight="1" x14ac:dyDescent="0.3">
      <c r="A442" s="7"/>
      <c r="B442" s="7"/>
      <c r="C442" s="18"/>
      <c r="D442" s="3" t="str">
        <f t="shared" si="6"/>
        <v/>
      </c>
    </row>
    <row r="443" spans="1:4" ht="14.25" customHeight="1" x14ac:dyDescent="0.3">
      <c r="A443" s="9" t="str">
        <f>IF(OR(A442="",B442=""),"",A442)</f>
        <v/>
      </c>
      <c r="B443" s="9" t="str">
        <f>IF(B442="","",IF(B442="1-2","3-4",IF(B442="3-4","1-2","")))</f>
        <v/>
      </c>
      <c r="C443" s="19" t="str">
        <f>IF(OR(A442="",C442=""),"",100-C442)</f>
        <v/>
      </c>
      <c r="D443" s="3" t="str">
        <f t="shared" si="6"/>
        <v>INVALID PERCENT</v>
      </c>
    </row>
    <row r="444" spans="1:4" ht="14.25" customHeight="1" x14ac:dyDescent="0.3">
      <c r="A444" s="7"/>
      <c r="B444" s="7"/>
      <c r="C444" s="18"/>
      <c r="D444" s="3" t="str">
        <f t="shared" si="6"/>
        <v/>
      </c>
    </row>
    <row r="445" spans="1:4" ht="14.25" customHeight="1" x14ac:dyDescent="0.3">
      <c r="A445" s="9" t="str">
        <f>IF(OR(A444="",B444=""),"",A444)</f>
        <v/>
      </c>
      <c r="B445" s="9" t="str">
        <f>IF(B444="","",IF(B444="1-2","3-4",IF(B444="3-4","1-2","")))</f>
        <v/>
      </c>
      <c r="C445" s="19" t="str">
        <f>IF(OR(A444="",C444=""),"",100-C444)</f>
        <v/>
      </c>
      <c r="D445" s="3" t="str">
        <f t="shared" si="6"/>
        <v>INVALID PERCENT</v>
      </c>
    </row>
    <row r="446" spans="1:4" ht="14.25" customHeight="1" x14ac:dyDescent="0.3">
      <c r="A446" s="7"/>
      <c r="B446" s="7"/>
      <c r="C446" s="18"/>
      <c r="D446" s="3" t="str">
        <f t="shared" si="6"/>
        <v/>
      </c>
    </row>
    <row r="447" spans="1:4" ht="14.25" customHeight="1" x14ac:dyDescent="0.3">
      <c r="A447" s="9" t="str">
        <f>IF(OR(A446="",B446=""),"",A446)</f>
        <v/>
      </c>
      <c r="B447" s="9" t="str">
        <f>IF(B446="","",IF(B446="1-2","3-4",IF(B446="3-4","1-2","")))</f>
        <v/>
      </c>
      <c r="C447" s="19" t="str">
        <f>IF(OR(A446="",C446=""),"",100-C446)</f>
        <v/>
      </c>
      <c r="D447" s="3" t="str">
        <f t="shared" si="6"/>
        <v>INVALID PERCENT</v>
      </c>
    </row>
    <row r="448" spans="1:4" ht="14.25" customHeight="1" x14ac:dyDescent="0.3">
      <c r="A448" s="7"/>
      <c r="B448" s="7"/>
      <c r="C448" s="18"/>
      <c r="D448" s="3" t="str">
        <f t="shared" si="6"/>
        <v/>
      </c>
    </row>
    <row r="449" spans="1:4" ht="14.25" customHeight="1" x14ac:dyDescent="0.3">
      <c r="A449" s="9" t="str">
        <f>IF(OR(A448="",B448=""),"",A448)</f>
        <v/>
      </c>
      <c r="B449" s="9" t="str">
        <f>IF(B448="","",IF(B448="1-2","3-4",IF(B448="3-4","1-2","")))</f>
        <v/>
      </c>
      <c r="C449" s="19" t="str">
        <f>IF(OR(A448="",C448=""),"",100-C448)</f>
        <v/>
      </c>
      <c r="D449" s="3" t="str">
        <f t="shared" si="6"/>
        <v>INVALID PERCENT</v>
      </c>
    </row>
    <row r="450" spans="1:4" ht="14.25" customHeight="1" x14ac:dyDescent="0.3">
      <c r="A450" s="7"/>
      <c r="B450" s="7"/>
      <c r="C450" s="18"/>
      <c r="D450" s="3" t="str">
        <f t="shared" ref="D450:D513" si="7">IF(COUNTA(A450:C450)=0,"",IF(OR(C450&lt;0,C450&gt;100),"INVALID PERCENT",IF(COUNTIFS($A$2:$A$1000,A450,$B$2:$B$1000,B450)&gt;1,"DUPLICATE ROOM/GROUP","OK")))</f>
        <v/>
      </c>
    </row>
    <row r="451" spans="1:4" ht="14.25" customHeight="1" x14ac:dyDescent="0.3">
      <c r="A451" s="9" t="str">
        <f>IF(OR(A450="",B450=""),"",A450)</f>
        <v/>
      </c>
      <c r="B451" s="9" t="str">
        <f>IF(B450="","",IF(B450="1-2","3-4",IF(B450="3-4","1-2","")))</f>
        <v/>
      </c>
      <c r="C451" s="19" t="str">
        <f>IF(OR(A450="",C450=""),"",100-C450)</f>
        <v/>
      </c>
      <c r="D451" s="3" t="str">
        <f t="shared" si="7"/>
        <v>INVALID PERCENT</v>
      </c>
    </row>
    <row r="452" spans="1:4" ht="14.25" customHeight="1" x14ac:dyDescent="0.3">
      <c r="A452" s="7"/>
      <c r="B452" s="7"/>
      <c r="C452" s="18"/>
      <c r="D452" s="3" t="str">
        <f t="shared" si="7"/>
        <v/>
      </c>
    </row>
    <row r="453" spans="1:4" ht="14.25" customHeight="1" x14ac:dyDescent="0.3">
      <c r="A453" s="9" t="str">
        <f>IF(OR(A452="",B452=""),"",A452)</f>
        <v/>
      </c>
      <c r="B453" s="9" t="str">
        <f>IF(B452="","",IF(B452="1-2","3-4",IF(B452="3-4","1-2","")))</f>
        <v/>
      </c>
      <c r="C453" s="19" t="str">
        <f>IF(OR(A452="",C452=""),"",100-C452)</f>
        <v/>
      </c>
      <c r="D453" s="3" t="str">
        <f t="shared" si="7"/>
        <v>INVALID PERCENT</v>
      </c>
    </row>
    <row r="454" spans="1:4" ht="14.25" customHeight="1" x14ac:dyDescent="0.3">
      <c r="A454" s="7"/>
      <c r="B454" s="7"/>
      <c r="C454" s="18"/>
      <c r="D454" s="3" t="str">
        <f t="shared" si="7"/>
        <v/>
      </c>
    </row>
    <row r="455" spans="1:4" ht="14.25" customHeight="1" x14ac:dyDescent="0.3">
      <c r="A455" s="9" t="str">
        <f>IF(OR(A454="",B454=""),"",A454)</f>
        <v/>
      </c>
      <c r="B455" s="9" t="str">
        <f>IF(B454="","",IF(B454="1-2","3-4",IF(B454="3-4","1-2","")))</f>
        <v/>
      </c>
      <c r="C455" s="19" t="str">
        <f>IF(OR(A454="",C454=""),"",100-C454)</f>
        <v/>
      </c>
      <c r="D455" s="3" t="str">
        <f t="shared" si="7"/>
        <v>INVALID PERCENT</v>
      </c>
    </row>
    <row r="456" spans="1:4" ht="14.25" customHeight="1" x14ac:dyDescent="0.3">
      <c r="A456" s="7"/>
      <c r="B456" s="7"/>
      <c r="C456" s="18"/>
      <c r="D456" s="3" t="str">
        <f t="shared" si="7"/>
        <v/>
      </c>
    </row>
    <row r="457" spans="1:4" ht="14.25" customHeight="1" x14ac:dyDescent="0.3">
      <c r="A457" s="9" t="str">
        <f>IF(OR(A456="",B456=""),"",A456)</f>
        <v/>
      </c>
      <c r="B457" s="9" t="str">
        <f>IF(B456="","",IF(B456="1-2","3-4",IF(B456="3-4","1-2","")))</f>
        <v/>
      </c>
      <c r="C457" s="19" t="str">
        <f>IF(OR(A456="",C456=""),"",100-C456)</f>
        <v/>
      </c>
      <c r="D457" s="3" t="str">
        <f t="shared" si="7"/>
        <v>INVALID PERCENT</v>
      </c>
    </row>
    <row r="458" spans="1:4" ht="14.25" customHeight="1" x14ac:dyDescent="0.3">
      <c r="A458" s="7"/>
      <c r="B458" s="7"/>
      <c r="C458" s="18"/>
      <c r="D458" s="3" t="str">
        <f t="shared" si="7"/>
        <v/>
      </c>
    </row>
    <row r="459" spans="1:4" ht="14.25" customHeight="1" x14ac:dyDescent="0.3">
      <c r="A459" s="9" t="str">
        <f>IF(OR(A458="",B458=""),"",A458)</f>
        <v/>
      </c>
      <c r="B459" s="9" t="str">
        <f>IF(B458="","",IF(B458="1-2","3-4",IF(B458="3-4","1-2","")))</f>
        <v/>
      </c>
      <c r="C459" s="19" t="str">
        <f>IF(OR(A458="",C458=""),"",100-C458)</f>
        <v/>
      </c>
      <c r="D459" s="3" t="str">
        <f t="shared" si="7"/>
        <v>INVALID PERCENT</v>
      </c>
    </row>
    <row r="460" spans="1:4" ht="14.25" customHeight="1" x14ac:dyDescent="0.3">
      <c r="A460" s="7"/>
      <c r="B460" s="7"/>
      <c r="C460" s="18"/>
      <c r="D460" s="3" t="str">
        <f t="shared" si="7"/>
        <v/>
      </c>
    </row>
    <row r="461" spans="1:4" ht="14.25" customHeight="1" x14ac:dyDescent="0.3">
      <c r="A461" s="9" t="str">
        <f>IF(OR(A460="",B460=""),"",A460)</f>
        <v/>
      </c>
      <c r="B461" s="9" t="str">
        <f>IF(B460="","",IF(B460="1-2","3-4",IF(B460="3-4","1-2","")))</f>
        <v/>
      </c>
      <c r="C461" s="19" t="str">
        <f>IF(OR(A460="",C460=""),"",100-C460)</f>
        <v/>
      </c>
      <c r="D461" s="3" t="str">
        <f t="shared" si="7"/>
        <v>INVALID PERCENT</v>
      </c>
    </row>
    <row r="462" spans="1:4" ht="14.25" customHeight="1" x14ac:dyDescent="0.3">
      <c r="A462" s="7"/>
      <c r="B462" s="7"/>
      <c r="C462" s="18"/>
      <c r="D462" s="3" t="str">
        <f t="shared" si="7"/>
        <v/>
      </c>
    </row>
    <row r="463" spans="1:4" ht="14.25" customHeight="1" x14ac:dyDescent="0.3">
      <c r="A463" s="9" t="str">
        <f>IF(OR(A462="",B462=""),"",A462)</f>
        <v/>
      </c>
      <c r="B463" s="9" t="str">
        <f>IF(B462="","",IF(B462="1-2","3-4",IF(B462="3-4","1-2","")))</f>
        <v/>
      </c>
      <c r="C463" s="19" t="str">
        <f>IF(OR(A462="",C462=""),"",100-C462)</f>
        <v/>
      </c>
      <c r="D463" s="3" t="str">
        <f t="shared" si="7"/>
        <v>INVALID PERCENT</v>
      </c>
    </row>
    <row r="464" spans="1:4" ht="14.25" customHeight="1" x14ac:dyDescent="0.3">
      <c r="A464" s="7"/>
      <c r="B464" s="7"/>
      <c r="C464" s="18"/>
      <c r="D464" s="3" t="str">
        <f t="shared" si="7"/>
        <v/>
      </c>
    </row>
    <row r="465" spans="1:4" ht="14.25" customHeight="1" x14ac:dyDescent="0.3">
      <c r="A465" s="9" t="str">
        <f>IF(OR(A464="",B464=""),"",A464)</f>
        <v/>
      </c>
      <c r="B465" s="9" t="str">
        <f>IF(B464="","",IF(B464="1-2","3-4",IF(B464="3-4","1-2","")))</f>
        <v/>
      </c>
      <c r="C465" s="19" t="str">
        <f>IF(OR(A464="",C464=""),"",100-C464)</f>
        <v/>
      </c>
      <c r="D465" s="3" t="str">
        <f t="shared" si="7"/>
        <v>INVALID PERCENT</v>
      </c>
    </row>
    <row r="466" spans="1:4" ht="14.25" customHeight="1" x14ac:dyDescent="0.3">
      <c r="A466" s="7"/>
      <c r="B466" s="7"/>
      <c r="C466" s="18"/>
      <c r="D466" s="3" t="str">
        <f t="shared" si="7"/>
        <v/>
      </c>
    </row>
    <row r="467" spans="1:4" ht="14.25" customHeight="1" x14ac:dyDescent="0.3">
      <c r="A467" s="9" t="str">
        <f>IF(OR(A466="",B466=""),"",A466)</f>
        <v/>
      </c>
      <c r="B467" s="9" t="str">
        <f>IF(B466="","",IF(B466="1-2","3-4",IF(B466="3-4","1-2","")))</f>
        <v/>
      </c>
      <c r="C467" s="19" t="str">
        <f>IF(OR(A466="",C466=""),"",100-C466)</f>
        <v/>
      </c>
      <c r="D467" s="3" t="str">
        <f t="shared" si="7"/>
        <v>INVALID PERCENT</v>
      </c>
    </row>
    <row r="468" spans="1:4" ht="14.25" customHeight="1" x14ac:dyDescent="0.3">
      <c r="A468" s="7"/>
      <c r="B468" s="7"/>
      <c r="C468" s="18"/>
      <c r="D468" s="3" t="str">
        <f t="shared" si="7"/>
        <v/>
      </c>
    </row>
    <row r="469" spans="1:4" ht="14.25" customHeight="1" x14ac:dyDescent="0.3">
      <c r="A469" s="9" t="str">
        <f>IF(OR(A468="",B468=""),"",A468)</f>
        <v/>
      </c>
      <c r="B469" s="9" t="str">
        <f>IF(B468="","",IF(B468="1-2","3-4",IF(B468="3-4","1-2","")))</f>
        <v/>
      </c>
      <c r="C469" s="19" t="str">
        <f>IF(OR(A468="",C468=""),"",100-C468)</f>
        <v/>
      </c>
      <c r="D469" s="3" t="str">
        <f t="shared" si="7"/>
        <v>INVALID PERCENT</v>
      </c>
    </row>
    <row r="470" spans="1:4" ht="14.25" customHeight="1" x14ac:dyDescent="0.3">
      <c r="A470" s="7"/>
      <c r="B470" s="7"/>
      <c r="C470" s="18"/>
      <c r="D470" s="3" t="str">
        <f t="shared" si="7"/>
        <v/>
      </c>
    </row>
    <row r="471" spans="1:4" ht="14.25" customHeight="1" x14ac:dyDescent="0.3">
      <c r="A471" s="9" t="str">
        <f>IF(OR(A470="",B470=""),"",A470)</f>
        <v/>
      </c>
      <c r="B471" s="9" t="str">
        <f>IF(B470="","",IF(B470="1-2","3-4",IF(B470="3-4","1-2","")))</f>
        <v/>
      </c>
      <c r="C471" s="19" t="str">
        <f>IF(OR(A470="",C470=""),"",100-C470)</f>
        <v/>
      </c>
      <c r="D471" s="3" t="str">
        <f t="shared" si="7"/>
        <v>INVALID PERCENT</v>
      </c>
    </row>
    <row r="472" spans="1:4" ht="14.25" customHeight="1" x14ac:dyDescent="0.3">
      <c r="A472" s="7"/>
      <c r="B472" s="7"/>
      <c r="C472" s="18"/>
      <c r="D472" s="3" t="str">
        <f t="shared" si="7"/>
        <v/>
      </c>
    </row>
    <row r="473" spans="1:4" ht="14.25" customHeight="1" x14ac:dyDescent="0.3">
      <c r="A473" s="9" t="str">
        <f>IF(OR(A472="",B472=""),"",A472)</f>
        <v/>
      </c>
      <c r="B473" s="9" t="str">
        <f>IF(B472="","",IF(B472="1-2","3-4",IF(B472="3-4","1-2","")))</f>
        <v/>
      </c>
      <c r="C473" s="19" t="str">
        <f>IF(OR(A472="",C472=""),"",100-C472)</f>
        <v/>
      </c>
      <c r="D473" s="3" t="str">
        <f t="shared" si="7"/>
        <v>INVALID PERCENT</v>
      </c>
    </row>
    <row r="474" spans="1:4" ht="14.25" customHeight="1" x14ac:dyDescent="0.3">
      <c r="A474" s="7"/>
      <c r="B474" s="7"/>
      <c r="C474" s="18"/>
      <c r="D474" s="3" t="str">
        <f t="shared" si="7"/>
        <v/>
      </c>
    </row>
    <row r="475" spans="1:4" ht="14.25" customHeight="1" x14ac:dyDescent="0.3">
      <c r="A475" s="9" t="str">
        <f>IF(OR(A474="",B474=""),"",A474)</f>
        <v/>
      </c>
      <c r="B475" s="9" t="str">
        <f>IF(B474="","",IF(B474="1-2","3-4",IF(B474="3-4","1-2","")))</f>
        <v/>
      </c>
      <c r="C475" s="19" t="str">
        <f>IF(OR(A474="",C474=""),"",100-C474)</f>
        <v/>
      </c>
      <c r="D475" s="3" t="str">
        <f t="shared" si="7"/>
        <v>INVALID PERCENT</v>
      </c>
    </row>
    <row r="476" spans="1:4" ht="14.25" customHeight="1" x14ac:dyDescent="0.3">
      <c r="A476" s="7"/>
      <c r="B476" s="7"/>
      <c r="C476" s="18"/>
      <c r="D476" s="3" t="str">
        <f t="shared" si="7"/>
        <v/>
      </c>
    </row>
    <row r="477" spans="1:4" ht="14.25" customHeight="1" x14ac:dyDescent="0.3">
      <c r="A477" s="9" t="str">
        <f>IF(OR(A476="",B476=""),"",A476)</f>
        <v/>
      </c>
      <c r="B477" s="9" t="str">
        <f>IF(B476="","",IF(B476="1-2","3-4",IF(B476="3-4","1-2","")))</f>
        <v/>
      </c>
      <c r="C477" s="19" t="str">
        <f>IF(OR(A476="",C476=""),"",100-C476)</f>
        <v/>
      </c>
      <c r="D477" s="3" t="str">
        <f t="shared" si="7"/>
        <v>INVALID PERCENT</v>
      </c>
    </row>
    <row r="478" spans="1:4" ht="14.25" customHeight="1" x14ac:dyDescent="0.3">
      <c r="A478" s="7"/>
      <c r="B478" s="7"/>
      <c r="C478" s="18"/>
      <c r="D478" s="3" t="str">
        <f t="shared" si="7"/>
        <v/>
      </c>
    </row>
    <row r="479" spans="1:4" ht="14.25" customHeight="1" x14ac:dyDescent="0.3">
      <c r="A479" s="9" t="str">
        <f>IF(OR(A478="",B478=""),"",A478)</f>
        <v/>
      </c>
      <c r="B479" s="9" t="str">
        <f>IF(B478="","",IF(B478="1-2","3-4",IF(B478="3-4","1-2","")))</f>
        <v/>
      </c>
      <c r="C479" s="19" t="str">
        <f>IF(OR(A478="",C478=""),"",100-C478)</f>
        <v/>
      </c>
      <c r="D479" s="3" t="str">
        <f t="shared" si="7"/>
        <v>INVALID PERCENT</v>
      </c>
    </row>
    <row r="480" spans="1:4" ht="14.25" customHeight="1" x14ac:dyDescent="0.3">
      <c r="A480" s="7"/>
      <c r="B480" s="7"/>
      <c r="C480" s="18"/>
      <c r="D480" s="3" t="str">
        <f t="shared" si="7"/>
        <v/>
      </c>
    </row>
    <row r="481" spans="1:4" ht="14.25" customHeight="1" x14ac:dyDescent="0.3">
      <c r="A481" s="9" t="str">
        <f>IF(OR(A480="",B480=""),"",A480)</f>
        <v/>
      </c>
      <c r="B481" s="9" t="str">
        <f>IF(B480="","",IF(B480="1-2","3-4",IF(B480="3-4","1-2","")))</f>
        <v/>
      </c>
      <c r="C481" s="19" t="str">
        <f>IF(OR(A480="",C480=""),"",100-C480)</f>
        <v/>
      </c>
      <c r="D481" s="3" t="str">
        <f t="shared" si="7"/>
        <v>INVALID PERCENT</v>
      </c>
    </row>
    <row r="482" spans="1:4" ht="14.25" customHeight="1" x14ac:dyDescent="0.3">
      <c r="A482" s="7"/>
      <c r="B482" s="7"/>
      <c r="C482" s="18"/>
      <c r="D482" s="3" t="str">
        <f t="shared" si="7"/>
        <v/>
      </c>
    </row>
    <row r="483" spans="1:4" ht="14.25" customHeight="1" x14ac:dyDescent="0.3">
      <c r="A483" s="9" t="str">
        <f>IF(OR(A482="",B482=""),"",A482)</f>
        <v/>
      </c>
      <c r="B483" s="9" t="str">
        <f>IF(B482="","",IF(B482="1-2","3-4",IF(B482="3-4","1-2","")))</f>
        <v/>
      </c>
      <c r="C483" s="19" t="str">
        <f>IF(OR(A482="",C482=""),"",100-C482)</f>
        <v/>
      </c>
      <c r="D483" s="3" t="str">
        <f t="shared" si="7"/>
        <v>INVALID PERCENT</v>
      </c>
    </row>
    <row r="484" spans="1:4" ht="14.25" customHeight="1" x14ac:dyDescent="0.3">
      <c r="A484" s="7"/>
      <c r="B484" s="7"/>
      <c r="C484" s="18"/>
      <c r="D484" s="3" t="str">
        <f t="shared" si="7"/>
        <v/>
      </c>
    </row>
    <row r="485" spans="1:4" ht="14.25" customHeight="1" x14ac:dyDescent="0.3">
      <c r="A485" s="9" t="str">
        <f>IF(OR(A484="",B484=""),"",A484)</f>
        <v/>
      </c>
      <c r="B485" s="9" t="str">
        <f>IF(B484="","",IF(B484="1-2","3-4",IF(B484="3-4","1-2","")))</f>
        <v/>
      </c>
      <c r="C485" s="19" t="str">
        <f>IF(OR(A484="",C484=""),"",100-C484)</f>
        <v/>
      </c>
      <c r="D485" s="3" t="str">
        <f t="shared" si="7"/>
        <v>INVALID PERCENT</v>
      </c>
    </row>
    <row r="486" spans="1:4" ht="14.25" customHeight="1" x14ac:dyDescent="0.3">
      <c r="A486" s="7"/>
      <c r="B486" s="7"/>
      <c r="C486" s="18"/>
      <c r="D486" s="3" t="str">
        <f t="shared" si="7"/>
        <v/>
      </c>
    </row>
    <row r="487" spans="1:4" ht="14.25" customHeight="1" x14ac:dyDescent="0.3">
      <c r="A487" s="9" t="str">
        <f>IF(OR(A486="",B486=""),"",A486)</f>
        <v/>
      </c>
      <c r="B487" s="9" t="str">
        <f>IF(B486="","",IF(B486="1-2","3-4",IF(B486="3-4","1-2","")))</f>
        <v/>
      </c>
      <c r="C487" s="19" t="str">
        <f>IF(OR(A486="",C486=""),"",100-C486)</f>
        <v/>
      </c>
      <c r="D487" s="3" t="str">
        <f t="shared" si="7"/>
        <v>INVALID PERCENT</v>
      </c>
    </row>
    <row r="488" spans="1:4" ht="14.25" customHeight="1" x14ac:dyDescent="0.3">
      <c r="A488" s="7"/>
      <c r="B488" s="7"/>
      <c r="C488" s="18"/>
      <c r="D488" s="3" t="str">
        <f t="shared" si="7"/>
        <v/>
      </c>
    </row>
    <row r="489" spans="1:4" ht="14.25" customHeight="1" x14ac:dyDescent="0.3">
      <c r="A489" s="9" t="str">
        <f>IF(OR(A488="",B488=""),"",A488)</f>
        <v/>
      </c>
      <c r="B489" s="9" t="str">
        <f>IF(B488="","",IF(B488="1-2","3-4",IF(B488="3-4","1-2","")))</f>
        <v/>
      </c>
      <c r="C489" s="19" t="str">
        <f>IF(OR(A488="",C488=""),"",100-C488)</f>
        <v/>
      </c>
      <c r="D489" s="3" t="str">
        <f t="shared" si="7"/>
        <v>INVALID PERCENT</v>
      </c>
    </row>
    <row r="490" spans="1:4" ht="14.25" customHeight="1" x14ac:dyDescent="0.3">
      <c r="A490" s="7"/>
      <c r="B490" s="7"/>
      <c r="C490" s="18"/>
      <c r="D490" s="3" t="str">
        <f t="shared" si="7"/>
        <v/>
      </c>
    </row>
    <row r="491" spans="1:4" ht="14.25" customHeight="1" x14ac:dyDescent="0.3">
      <c r="A491" s="9" t="str">
        <f>IF(OR(A490="",B490=""),"",A490)</f>
        <v/>
      </c>
      <c r="B491" s="9" t="str">
        <f>IF(B490="","",IF(B490="1-2","3-4",IF(B490="3-4","1-2","")))</f>
        <v/>
      </c>
      <c r="C491" s="19" t="str">
        <f>IF(OR(A490="",C490=""),"",100-C490)</f>
        <v/>
      </c>
      <c r="D491" s="3" t="str">
        <f t="shared" si="7"/>
        <v>INVALID PERCENT</v>
      </c>
    </row>
    <row r="492" spans="1:4" ht="14.25" customHeight="1" x14ac:dyDescent="0.3">
      <c r="A492" s="7"/>
      <c r="B492" s="7"/>
      <c r="C492" s="18"/>
      <c r="D492" s="3" t="str">
        <f t="shared" si="7"/>
        <v/>
      </c>
    </row>
    <row r="493" spans="1:4" ht="14.25" customHeight="1" x14ac:dyDescent="0.3">
      <c r="A493" s="9" t="str">
        <f>IF(OR(A492="",B492=""),"",A492)</f>
        <v/>
      </c>
      <c r="B493" s="9" t="str">
        <f>IF(B492="","",IF(B492="1-2","3-4",IF(B492="3-4","1-2","")))</f>
        <v/>
      </c>
      <c r="C493" s="19" t="str">
        <f>IF(OR(A492="",C492=""),"",100-C492)</f>
        <v/>
      </c>
      <c r="D493" s="3" t="str">
        <f t="shared" si="7"/>
        <v>INVALID PERCENT</v>
      </c>
    </row>
    <row r="494" spans="1:4" ht="14.25" customHeight="1" x14ac:dyDescent="0.3">
      <c r="A494" s="7"/>
      <c r="B494" s="7"/>
      <c r="C494" s="18"/>
      <c r="D494" s="3" t="str">
        <f t="shared" si="7"/>
        <v/>
      </c>
    </row>
    <row r="495" spans="1:4" ht="14.25" customHeight="1" x14ac:dyDescent="0.3">
      <c r="A495" s="9" t="str">
        <f>IF(OR(A494="",B494=""),"",A494)</f>
        <v/>
      </c>
      <c r="B495" s="9" t="str">
        <f>IF(B494="","",IF(B494="1-2","3-4",IF(B494="3-4","1-2","")))</f>
        <v/>
      </c>
      <c r="C495" s="19" t="str">
        <f>IF(OR(A494="",C494=""),"",100-C494)</f>
        <v/>
      </c>
      <c r="D495" s="3" t="str">
        <f t="shared" si="7"/>
        <v>INVALID PERCENT</v>
      </c>
    </row>
    <row r="496" spans="1:4" ht="14.25" customHeight="1" x14ac:dyDescent="0.3">
      <c r="A496" s="7"/>
      <c r="B496" s="7"/>
      <c r="C496" s="18"/>
      <c r="D496" s="3" t="str">
        <f t="shared" si="7"/>
        <v/>
      </c>
    </row>
    <row r="497" spans="1:4" ht="14.25" customHeight="1" x14ac:dyDescent="0.3">
      <c r="A497" s="9" t="str">
        <f>IF(OR(A496="",B496=""),"",A496)</f>
        <v/>
      </c>
      <c r="B497" s="9" t="str">
        <f>IF(B496="","",IF(B496="1-2","3-4",IF(B496="3-4","1-2","")))</f>
        <v/>
      </c>
      <c r="C497" s="19" t="str">
        <f>IF(OR(A496="",C496=""),"",100-C496)</f>
        <v/>
      </c>
      <c r="D497" s="3" t="str">
        <f t="shared" si="7"/>
        <v>INVALID PERCENT</v>
      </c>
    </row>
    <row r="498" spans="1:4" ht="14.25" customHeight="1" x14ac:dyDescent="0.3">
      <c r="A498" s="7"/>
      <c r="B498" s="7"/>
      <c r="C498" s="18"/>
      <c r="D498" s="3" t="str">
        <f t="shared" si="7"/>
        <v/>
      </c>
    </row>
    <row r="499" spans="1:4" ht="14.25" customHeight="1" x14ac:dyDescent="0.3">
      <c r="A499" s="9" t="str">
        <f>IF(OR(A498="",B498=""),"",A498)</f>
        <v/>
      </c>
      <c r="B499" s="9" t="str">
        <f>IF(B498="","",IF(B498="1-2","3-4",IF(B498="3-4","1-2","")))</f>
        <v/>
      </c>
      <c r="C499" s="19" t="str">
        <f>IF(OR(A498="",C498=""),"",100-C498)</f>
        <v/>
      </c>
      <c r="D499" s="3" t="str">
        <f t="shared" si="7"/>
        <v>INVALID PERCENT</v>
      </c>
    </row>
    <row r="500" spans="1:4" ht="14.25" customHeight="1" x14ac:dyDescent="0.3">
      <c r="A500" s="7"/>
      <c r="B500" s="7"/>
      <c r="C500" s="18"/>
      <c r="D500" s="3" t="str">
        <f t="shared" si="7"/>
        <v/>
      </c>
    </row>
    <row r="501" spans="1:4" ht="14.25" customHeight="1" x14ac:dyDescent="0.3">
      <c r="A501" s="9" t="str">
        <f>IF(OR(A500="",B500=""),"",A500)</f>
        <v/>
      </c>
      <c r="B501" s="9" t="str">
        <f>IF(B500="","",IF(B500="1-2","3-4",IF(B500="3-4","1-2","")))</f>
        <v/>
      </c>
      <c r="C501" s="19" t="str">
        <f>IF(OR(A500="",C500=""),"",100-C500)</f>
        <v/>
      </c>
      <c r="D501" s="3" t="str">
        <f t="shared" si="7"/>
        <v>INVALID PERCENT</v>
      </c>
    </row>
    <row r="502" spans="1:4" ht="14.25" customHeight="1" x14ac:dyDescent="0.3">
      <c r="A502" s="7"/>
      <c r="B502" s="7"/>
      <c r="C502" s="18"/>
      <c r="D502" s="3" t="str">
        <f t="shared" si="7"/>
        <v/>
      </c>
    </row>
    <row r="503" spans="1:4" ht="14.25" customHeight="1" x14ac:dyDescent="0.3">
      <c r="A503" s="9" t="str">
        <f>IF(OR(A502="",B502=""),"",A502)</f>
        <v/>
      </c>
      <c r="B503" s="9" t="str">
        <f>IF(B502="","",IF(B502="1-2","3-4",IF(B502="3-4","1-2","")))</f>
        <v/>
      </c>
      <c r="C503" s="19" t="str">
        <f>IF(OR(A502="",C502=""),"",100-C502)</f>
        <v/>
      </c>
      <c r="D503" s="3" t="str">
        <f t="shared" si="7"/>
        <v>INVALID PERCENT</v>
      </c>
    </row>
    <row r="504" spans="1:4" ht="14.25" customHeight="1" x14ac:dyDescent="0.3">
      <c r="A504" s="7"/>
      <c r="B504" s="7"/>
      <c r="C504" s="18"/>
      <c r="D504" s="3" t="str">
        <f t="shared" si="7"/>
        <v/>
      </c>
    </row>
    <row r="505" spans="1:4" ht="14.25" customHeight="1" x14ac:dyDescent="0.3">
      <c r="A505" s="9" t="str">
        <f>IF(OR(A504="",B504=""),"",A504)</f>
        <v/>
      </c>
      <c r="B505" s="9" t="str">
        <f>IF(B504="","",IF(B504="1-2","3-4",IF(B504="3-4","1-2","")))</f>
        <v/>
      </c>
      <c r="C505" s="19" t="str">
        <f>IF(OR(A504="",C504=""),"",100-C504)</f>
        <v/>
      </c>
      <c r="D505" s="3" t="str">
        <f t="shared" si="7"/>
        <v>INVALID PERCENT</v>
      </c>
    </row>
    <row r="506" spans="1:4" ht="14.25" customHeight="1" x14ac:dyDescent="0.3">
      <c r="A506" s="7"/>
      <c r="B506" s="7"/>
      <c r="C506" s="18"/>
      <c r="D506" s="3" t="str">
        <f t="shared" si="7"/>
        <v/>
      </c>
    </row>
    <row r="507" spans="1:4" ht="14.25" customHeight="1" x14ac:dyDescent="0.3">
      <c r="A507" s="9" t="str">
        <f>IF(OR(A506="",B506=""),"",A506)</f>
        <v/>
      </c>
      <c r="B507" s="9" t="str">
        <f>IF(B506="","",IF(B506="1-2","3-4",IF(B506="3-4","1-2","")))</f>
        <v/>
      </c>
      <c r="C507" s="19" t="str">
        <f>IF(OR(A506="",C506=""),"",100-C506)</f>
        <v/>
      </c>
      <c r="D507" s="3" t="str">
        <f t="shared" si="7"/>
        <v>INVALID PERCENT</v>
      </c>
    </row>
    <row r="508" spans="1:4" ht="14.25" customHeight="1" x14ac:dyDescent="0.3">
      <c r="A508" s="7"/>
      <c r="B508" s="7"/>
      <c r="C508" s="18"/>
      <c r="D508" s="3" t="str">
        <f t="shared" si="7"/>
        <v/>
      </c>
    </row>
    <row r="509" spans="1:4" ht="14.25" customHeight="1" x14ac:dyDescent="0.3">
      <c r="A509" s="9" t="str">
        <f>IF(OR(A508="",B508=""),"",A508)</f>
        <v/>
      </c>
      <c r="B509" s="9" t="str">
        <f>IF(B508="","",IF(B508="1-2","3-4",IF(B508="3-4","1-2","")))</f>
        <v/>
      </c>
      <c r="C509" s="19" t="str">
        <f>IF(OR(A508="",C508=""),"",100-C508)</f>
        <v/>
      </c>
      <c r="D509" s="3" t="str">
        <f t="shared" si="7"/>
        <v>INVALID PERCENT</v>
      </c>
    </row>
    <row r="510" spans="1:4" ht="14.25" customHeight="1" x14ac:dyDescent="0.3">
      <c r="A510" s="7"/>
      <c r="B510" s="7"/>
      <c r="C510" s="18"/>
      <c r="D510" s="3" t="str">
        <f t="shared" si="7"/>
        <v/>
      </c>
    </row>
    <row r="511" spans="1:4" ht="14.25" customHeight="1" x14ac:dyDescent="0.3">
      <c r="A511" s="9" t="str">
        <f>IF(OR(A510="",B510=""),"",A510)</f>
        <v/>
      </c>
      <c r="B511" s="9" t="str">
        <f>IF(B510="","",IF(B510="1-2","3-4",IF(B510="3-4","1-2","")))</f>
        <v/>
      </c>
      <c r="C511" s="19" t="str">
        <f>IF(OR(A510="",C510=""),"",100-C510)</f>
        <v/>
      </c>
      <c r="D511" s="3" t="str">
        <f t="shared" si="7"/>
        <v>INVALID PERCENT</v>
      </c>
    </row>
    <row r="512" spans="1:4" ht="14.25" customHeight="1" x14ac:dyDescent="0.3">
      <c r="A512" s="7"/>
      <c r="B512" s="7"/>
      <c r="C512" s="18"/>
      <c r="D512" s="3" t="str">
        <f t="shared" si="7"/>
        <v/>
      </c>
    </row>
    <row r="513" spans="1:4" ht="14.25" customHeight="1" x14ac:dyDescent="0.3">
      <c r="A513" s="9" t="str">
        <f>IF(OR(A512="",B512=""),"",A512)</f>
        <v/>
      </c>
      <c r="B513" s="9" t="str">
        <f>IF(B512="","",IF(B512="1-2","3-4",IF(B512="3-4","1-2","")))</f>
        <v/>
      </c>
      <c r="C513" s="19" t="str">
        <f>IF(OR(A512="",C512=""),"",100-C512)</f>
        <v/>
      </c>
      <c r="D513" s="3" t="str">
        <f t="shared" si="7"/>
        <v>INVALID PERCENT</v>
      </c>
    </row>
    <row r="514" spans="1:4" ht="14.25" customHeight="1" x14ac:dyDescent="0.3">
      <c r="A514" s="7"/>
      <c r="B514" s="7"/>
      <c r="C514" s="18"/>
      <c r="D514" s="3" t="str">
        <f t="shared" ref="D514:D577" si="8">IF(COUNTA(A514:C514)=0,"",IF(OR(C514&lt;0,C514&gt;100),"INVALID PERCENT",IF(COUNTIFS($A$2:$A$1000,A514,$B$2:$B$1000,B514)&gt;1,"DUPLICATE ROOM/GROUP","OK")))</f>
        <v/>
      </c>
    </row>
    <row r="515" spans="1:4" ht="14.25" customHeight="1" x14ac:dyDescent="0.3">
      <c r="A515" s="9" t="str">
        <f>IF(OR(A514="",B514=""),"",A514)</f>
        <v/>
      </c>
      <c r="B515" s="9" t="str">
        <f>IF(B514="","",IF(B514="1-2","3-4",IF(B514="3-4","1-2","")))</f>
        <v/>
      </c>
      <c r="C515" s="19" t="str">
        <f>IF(OR(A514="",C514=""),"",100-C514)</f>
        <v/>
      </c>
      <c r="D515" s="3" t="str">
        <f t="shared" si="8"/>
        <v>INVALID PERCENT</v>
      </c>
    </row>
    <row r="516" spans="1:4" ht="14.25" customHeight="1" x14ac:dyDescent="0.3">
      <c r="A516" s="7"/>
      <c r="B516" s="7"/>
      <c r="C516" s="18"/>
      <c r="D516" s="3" t="str">
        <f t="shared" si="8"/>
        <v/>
      </c>
    </row>
    <row r="517" spans="1:4" ht="14.25" customHeight="1" x14ac:dyDescent="0.3">
      <c r="A517" s="9" t="str">
        <f>IF(OR(A516="",B516=""),"",A516)</f>
        <v/>
      </c>
      <c r="B517" s="9" t="str">
        <f>IF(B516="","",IF(B516="1-2","3-4",IF(B516="3-4","1-2","")))</f>
        <v/>
      </c>
      <c r="C517" s="19" t="str">
        <f>IF(OR(A516="",C516=""),"",100-C516)</f>
        <v/>
      </c>
      <c r="D517" s="3" t="str">
        <f t="shared" si="8"/>
        <v>INVALID PERCENT</v>
      </c>
    </row>
    <row r="518" spans="1:4" ht="14.25" customHeight="1" x14ac:dyDescent="0.3">
      <c r="A518" s="7"/>
      <c r="B518" s="7"/>
      <c r="C518" s="18"/>
      <c r="D518" s="3" t="str">
        <f t="shared" si="8"/>
        <v/>
      </c>
    </row>
    <row r="519" spans="1:4" ht="14.25" customHeight="1" x14ac:dyDescent="0.3">
      <c r="A519" s="9" t="str">
        <f>IF(OR(A518="",B518=""),"",A518)</f>
        <v/>
      </c>
      <c r="B519" s="9" t="str">
        <f>IF(B518="","",IF(B518="1-2","3-4",IF(B518="3-4","1-2","")))</f>
        <v/>
      </c>
      <c r="C519" s="19" t="str">
        <f>IF(OR(A518="",C518=""),"",100-C518)</f>
        <v/>
      </c>
      <c r="D519" s="3" t="str">
        <f t="shared" si="8"/>
        <v>INVALID PERCENT</v>
      </c>
    </row>
    <row r="520" spans="1:4" ht="14.25" customHeight="1" x14ac:dyDescent="0.3">
      <c r="A520" s="7"/>
      <c r="B520" s="7"/>
      <c r="C520" s="18"/>
      <c r="D520" s="3" t="str">
        <f t="shared" si="8"/>
        <v/>
      </c>
    </row>
    <row r="521" spans="1:4" ht="14.25" customHeight="1" x14ac:dyDescent="0.3">
      <c r="A521" s="9" t="str">
        <f>IF(OR(A520="",B520=""),"",A520)</f>
        <v/>
      </c>
      <c r="B521" s="9" t="str">
        <f>IF(B520="","",IF(B520="1-2","3-4",IF(B520="3-4","1-2","")))</f>
        <v/>
      </c>
      <c r="C521" s="19" t="str">
        <f>IF(OR(A520="",C520=""),"",100-C520)</f>
        <v/>
      </c>
      <c r="D521" s="3" t="str">
        <f t="shared" si="8"/>
        <v>INVALID PERCENT</v>
      </c>
    </row>
    <row r="522" spans="1:4" ht="14.25" customHeight="1" x14ac:dyDescent="0.3">
      <c r="A522" s="7"/>
      <c r="B522" s="7"/>
      <c r="C522" s="18"/>
      <c r="D522" s="3" t="str">
        <f t="shared" si="8"/>
        <v/>
      </c>
    </row>
    <row r="523" spans="1:4" ht="14.25" customHeight="1" x14ac:dyDescent="0.3">
      <c r="A523" s="9" t="str">
        <f>IF(OR(A522="",B522=""),"",A522)</f>
        <v/>
      </c>
      <c r="B523" s="9" t="str">
        <f>IF(B522="","",IF(B522="1-2","3-4",IF(B522="3-4","1-2","")))</f>
        <v/>
      </c>
      <c r="C523" s="19" t="str">
        <f>IF(OR(A522="",C522=""),"",100-C522)</f>
        <v/>
      </c>
      <c r="D523" s="3" t="str">
        <f t="shared" si="8"/>
        <v>INVALID PERCENT</v>
      </c>
    </row>
    <row r="524" spans="1:4" ht="14.25" customHeight="1" x14ac:dyDescent="0.3">
      <c r="A524" s="7"/>
      <c r="B524" s="7"/>
      <c r="C524" s="18"/>
      <c r="D524" s="3" t="str">
        <f t="shared" si="8"/>
        <v/>
      </c>
    </row>
    <row r="525" spans="1:4" ht="14.25" customHeight="1" x14ac:dyDescent="0.3">
      <c r="A525" s="9" t="str">
        <f>IF(OR(A524="",B524=""),"",A524)</f>
        <v/>
      </c>
      <c r="B525" s="9" t="str">
        <f>IF(B524="","",IF(B524="1-2","3-4",IF(B524="3-4","1-2","")))</f>
        <v/>
      </c>
      <c r="C525" s="19" t="str">
        <f>IF(OR(A524="",C524=""),"",100-C524)</f>
        <v/>
      </c>
      <c r="D525" s="3" t="str">
        <f t="shared" si="8"/>
        <v>INVALID PERCENT</v>
      </c>
    </row>
    <row r="526" spans="1:4" ht="14.25" customHeight="1" x14ac:dyDescent="0.3">
      <c r="A526" s="7"/>
      <c r="B526" s="7"/>
      <c r="C526" s="18"/>
      <c r="D526" s="3" t="str">
        <f t="shared" si="8"/>
        <v/>
      </c>
    </row>
    <row r="527" spans="1:4" ht="14.25" customHeight="1" x14ac:dyDescent="0.3">
      <c r="A527" s="9" t="str">
        <f>IF(OR(A526="",B526=""),"",A526)</f>
        <v/>
      </c>
      <c r="B527" s="9" t="str">
        <f>IF(B526="","",IF(B526="1-2","3-4",IF(B526="3-4","1-2","")))</f>
        <v/>
      </c>
      <c r="C527" s="19" t="str">
        <f>IF(OR(A526="",C526=""),"",100-C526)</f>
        <v/>
      </c>
      <c r="D527" s="3" t="str">
        <f t="shared" si="8"/>
        <v>INVALID PERCENT</v>
      </c>
    </row>
    <row r="528" spans="1:4" ht="14.25" customHeight="1" x14ac:dyDescent="0.3">
      <c r="A528" s="7"/>
      <c r="B528" s="7"/>
      <c r="C528" s="18"/>
      <c r="D528" s="3" t="str">
        <f t="shared" si="8"/>
        <v/>
      </c>
    </row>
    <row r="529" spans="1:4" ht="14.25" customHeight="1" x14ac:dyDescent="0.3">
      <c r="A529" s="9" t="str">
        <f>IF(OR(A528="",B528=""),"",A528)</f>
        <v/>
      </c>
      <c r="B529" s="9" t="str">
        <f>IF(B528="","",IF(B528="1-2","3-4",IF(B528="3-4","1-2","")))</f>
        <v/>
      </c>
      <c r="C529" s="19" t="str">
        <f>IF(OR(A528="",C528=""),"",100-C528)</f>
        <v/>
      </c>
      <c r="D529" s="3" t="str">
        <f t="shared" si="8"/>
        <v>INVALID PERCENT</v>
      </c>
    </row>
    <row r="530" spans="1:4" ht="14.25" customHeight="1" x14ac:dyDescent="0.3">
      <c r="A530" s="7"/>
      <c r="B530" s="7"/>
      <c r="C530" s="18"/>
      <c r="D530" s="3" t="str">
        <f t="shared" si="8"/>
        <v/>
      </c>
    </row>
    <row r="531" spans="1:4" ht="14.25" customHeight="1" x14ac:dyDescent="0.3">
      <c r="A531" s="9" t="str">
        <f>IF(OR(A530="",B530=""),"",A530)</f>
        <v/>
      </c>
      <c r="B531" s="9" t="str">
        <f>IF(B530="","",IF(B530="1-2","3-4",IF(B530="3-4","1-2","")))</f>
        <v/>
      </c>
      <c r="C531" s="19" t="str">
        <f>IF(OR(A530="",C530=""),"",100-C530)</f>
        <v/>
      </c>
      <c r="D531" s="3" t="str">
        <f t="shared" si="8"/>
        <v>INVALID PERCENT</v>
      </c>
    </row>
    <row r="532" spans="1:4" ht="14.25" customHeight="1" x14ac:dyDescent="0.3">
      <c r="A532" s="7"/>
      <c r="B532" s="7"/>
      <c r="C532" s="18"/>
      <c r="D532" s="3" t="str">
        <f t="shared" si="8"/>
        <v/>
      </c>
    </row>
    <row r="533" spans="1:4" ht="14.25" customHeight="1" x14ac:dyDescent="0.3">
      <c r="A533" s="9" t="str">
        <f>IF(OR(A532="",B532=""),"",A532)</f>
        <v/>
      </c>
      <c r="B533" s="9" t="str">
        <f>IF(B532="","",IF(B532="1-2","3-4",IF(B532="3-4","1-2","")))</f>
        <v/>
      </c>
      <c r="C533" s="19" t="str">
        <f>IF(OR(A532="",C532=""),"",100-C532)</f>
        <v/>
      </c>
      <c r="D533" s="3" t="str">
        <f t="shared" si="8"/>
        <v>INVALID PERCENT</v>
      </c>
    </row>
    <row r="534" spans="1:4" ht="14.25" customHeight="1" x14ac:dyDescent="0.3">
      <c r="A534" s="7"/>
      <c r="B534" s="7"/>
      <c r="C534" s="18"/>
      <c r="D534" s="3" t="str">
        <f t="shared" si="8"/>
        <v/>
      </c>
    </row>
    <row r="535" spans="1:4" ht="14.25" customHeight="1" x14ac:dyDescent="0.3">
      <c r="A535" s="9" t="str">
        <f>IF(OR(A534="",B534=""),"",A534)</f>
        <v/>
      </c>
      <c r="B535" s="9" t="str">
        <f>IF(B534="","",IF(B534="1-2","3-4",IF(B534="3-4","1-2","")))</f>
        <v/>
      </c>
      <c r="C535" s="19" t="str">
        <f>IF(OR(A534="",C534=""),"",100-C534)</f>
        <v/>
      </c>
      <c r="D535" s="3" t="str">
        <f t="shared" si="8"/>
        <v>INVALID PERCENT</v>
      </c>
    </row>
    <row r="536" spans="1:4" ht="14.25" customHeight="1" x14ac:dyDescent="0.3">
      <c r="A536" s="7"/>
      <c r="B536" s="7"/>
      <c r="C536" s="18"/>
      <c r="D536" s="3" t="str">
        <f t="shared" si="8"/>
        <v/>
      </c>
    </row>
    <row r="537" spans="1:4" ht="14.25" customHeight="1" x14ac:dyDescent="0.3">
      <c r="A537" s="9" t="str">
        <f>IF(OR(A536="",B536=""),"",A536)</f>
        <v/>
      </c>
      <c r="B537" s="9" t="str">
        <f>IF(B536="","",IF(B536="1-2","3-4",IF(B536="3-4","1-2","")))</f>
        <v/>
      </c>
      <c r="C537" s="19" t="str">
        <f>IF(OR(A536="",C536=""),"",100-C536)</f>
        <v/>
      </c>
      <c r="D537" s="3" t="str">
        <f t="shared" si="8"/>
        <v>INVALID PERCENT</v>
      </c>
    </row>
    <row r="538" spans="1:4" ht="14.25" customHeight="1" x14ac:dyDescent="0.3">
      <c r="A538" s="7"/>
      <c r="B538" s="7"/>
      <c r="C538" s="18"/>
      <c r="D538" s="3" t="str">
        <f t="shared" si="8"/>
        <v/>
      </c>
    </row>
    <row r="539" spans="1:4" ht="14.25" customHeight="1" x14ac:dyDescent="0.3">
      <c r="A539" s="9" t="str">
        <f>IF(OR(A538="",B538=""),"",A538)</f>
        <v/>
      </c>
      <c r="B539" s="9" t="str">
        <f>IF(B538="","",IF(B538="1-2","3-4",IF(B538="3-4","1-2","")))</f>
        <v/>
      </c>
      <c r="C539" s="19" t="str">
        <f>IF(OR(A538="",C538=""),"",100-C538)</f>
        <v/>
      </c>
      <c r="D539" s="3" t="str">
        <f t="shared" si="8"/>
        <v>INVALID PERCENT</v>
      </c>
    </row>
    <row r="540" spans="1:4" ht="14.25" customHeight="1" x14ac:dyDescent="0.3">
      <c r="A540" s="7"/>
      <c r="B540" s="7"/>
      <c r="C540" s="18"/>
      <c r="D540" s="3" t="str">
        <f t="shared" si="8"/>
        <v/>
      </c>
    </row>
    <row r="541" spans="1:4" ht="14.25" customHeight="1" x14ac:dyDescent="0.3">
      <c r="A541" s="9" t="str">
        <f>IF(OR(A540="",B540=""),"",A540)</f>
        <v/>
      </c>
      <c r="B541" s="9" t="str">
        <f>IF(B540="","",IF(B540="1-2","3-4",IF(B540="3-4","1-2","")))</f>
        <v/>
      </c>
      <c r="C541" s="19" t="str">
        <f>IF(OR(A540="",C540=""),"",100-C540)</f>
        <v/>
      </c>
      <c r="D541" s="3" t="str">
        <f t="shared" si="8"/>
        <v>INVALID PERCENT</v>
      </c>
    </row>
    <row r="542" spans="1:4" ht="14.25" customHeight="1" x14ac:dyDescent="0.3">
      <c r="A542" s="7"/>
      <c r="B542" s="7"/>
      <c r="C542" s="18"/>
      <c r="D542" s="3" t="str">
        <f t="shared" si="8"/>
        <v/>
      </c>
    </row>
    <row r="543" spans="1:4" ht="14.25" customHeight="1" x14ac:dyDescent="0.3">
      <c r="A543" s="9" t="str">
        <f>IF(OR(A542="",B542=""),"",A542)</f>
        <v/>
      </c>
      <c r="B543" s="9" t="str">
        <f>IF(B542="","",IF(B542="1-2","3-4",IF(B542="3-4","1-2","")))</f>
        <v/>
      </c>
      <c r="C543" s="19" t="str">
        <f>IF(OR(A542="",C542=""),"",100-C542)</f>
        <v/>
      </c>
      <c r="D543" s="3" t="str">
        <f t="shared" si="8"/>
        <v>INVALID PERCENT</v>
      </c>
    </row>
    <row r="544" spans="1:4" ht="14.25" customHeight="1" x14ac:dyDescent="0.3">
      <c r="A544" s="7"/>
      <c r="B544" s="7"/>
      <c r="C544" s="18"/>
      <c r="D544" s="3" t="str">
        <f t="shared" si="8"/>
        <v/>
      </c>
    </row>
    <row r="545" spans="1:4" ht="14.25" customHeight="1" x14ac:dyDescent="0.3">
      <c r="A545" s="9" t="str">
        <f>IF(OR(A544="",B544=""),"",A544)</f>
        <v/>
      </c>
      <c r="B545" s="9" t="str">
        <f>IF(B544="","",IF(B544="1-2","3-4",IF(B544="3-4","1-2","")))</f>
        <v/>
      </c>
      <c r="C545" s="19" t="str">
        <f>IF(OR(A544="",C544=""),"",100-C544)</f>
        <v/>
      </c>
      <c r="D545" s="3" t="str">
        <f t="shared" si="8"/>
        <v>INVALID PERCENT</v>
      </c>
    </row>
    <row r="546" spans="1:4" ht="14.25" customHeight="1" x14ac:dyDescent="0.3">
      <c r="A546" s="7"/>
      <c r="B546" s="7"/>
      <c r="C546" s="18"/>
      <c r="D546" s="3" t="str">
        <f t="shared" si="8"/>
        <v/>
      </c>
    </row>
    <row r="547" spans="1:4" ht="14.25" customHeight="1" x14ac:dyDescent="0.3">
      <c r="A547" s="9" t="str">
        <f>IF(OR(A546="",B546=""),"",A546)</f>
        <v/>
      </c>
      <c r="B547" s="9" t="str">
        <f>IF(B546="","",IF(B546="1-2","3-4",IF(B546="3-4","1-2","")))</f>
        <v/>
      </c>
      <c r="C547" s="19" t="str">
        <f>IF(OR(A546="",C546=""),"",100-C546)</f>
        <v/>
      </c>
      <c r="D547" s="3" t="str">
        <f t="shared" si="8"/>
        <v>INVALID PERCENT</v>
      </c>
    </row>
    <row r="548" spans="1:4" ht="14.25" customHeight="1" x14ac:dyDescent="0.3">
      <c r="A548" s="7"/>
      <c r="B548" s="7"/>
      <c r="C548" s="18"/>
      <c r="D548" s="3" t="str">
        <f t="shared" si="8"/>
        <v/>
      </c>
    </row>
    <row r="549" spans="1:4" ht="14.25" customHeight="1" x14ac:dyDescent="0.3">
      <c r="A549" s="9" t="str">
        <f>IF(OR(A548="",B548=""),"",A548)</f>
        <v/>
      </c>
      <c r="B549" s="9" t="str">
        <f>IF(B548="","",IF(B548="1-2","3-4",IF(B548="3-4","1-2","")))</f>
        <v/>
      </c>
      <c r="C549" s="19" t="str">
        <f>IF(OR(A548="",C548=""),"",100-C548)</f>
        <v/>
      </c>
      <c r="D549" s="3" t="str">
        <f t="shared" si="8"/>
        <v>INVALID PERCENT</v>
      </c>
    </row>
    <row r="550" spans="1:4" ht="14.25" customHeight="1" x14ac:dyDescent="0.3">
      <c r="A550" s="7"/>
      <c r="B550" s="7"/>
      <c r="C550" s="18"/>
      <c r="D550" s="3" t="str">
        <f t="shared" si="8"/>
        <v/>
      </c>
    </row>
    <row r="551" spans="1:4" ht="14.25" customHeight="1" x14ac:dyDescent="0.3">
      <c r="A551" s="9" t="str">
        <f>IF(OR(A550="",B550=""),"",A550)</f>
        <v/>
      </c>
      <c r="B551" s="9" t="str">
        <f>IF(B550="","",IF(B550="1-2","3-4",IF(B550="3-4","1-2","")))</f>
        <v/>
      </c>
      <c r="C551" s="19" t="str">
        <f>IF(OR(A550="",C550=""),"",100-C550)</f>
        <v/>
      </c>
      <c r="D551" s="3" t="str">
        <f t="shared" si="8"/>
        <v>INVALID PERCENT</v>
      </c>
    </row>
    <row r="552" spans="1:4" ht="14.25" customHeight="1" x14ac:dyDescent="0.3">
      <c r="A552" s="7"/>
      <c r="B552" s="7"/>
      <c r="C552" s="18"/>
      <c r="D552" s="3" t="str">
        <f t="shared" si="8"/>
        <v/>
      </c>
    </row>
    <row r="553" spans="1:4" ht="14.25" customHeight="1" x14ac:dyDescent="0.3">
      <c r="A553" s="9" t="str">
        <f>IF(OR(A552="",B552=""),"",A552)</f>
        <v/>
      </c>
      <c r="B553" s="9" t="str">
        <f>IF(B552="","",IF(B552="1-2","3-4",IF(B552="3-4","1-2","")))</f>
        <v/>
      </c>
      <c r="C553" s="19" t="str">
        <f>IF(OR(A552="",C552=""),"",100-C552)</f>
        <v/>
      </c>
      <c r="D553" s="3" t="str">
        <f t="shared" si="8"/>
        <v>INVALID PERCENT</v>
      </c>
    </row>
    <row r="554" spans="1:4" ht="14.25" customHeight="1" x14ac:dyDescent="0.3">
      <c r="A554" s="7"/>
      <c r="B554" s="7"/>
      <c r="C554" s="18"/>
      <c r="D554" s="3" t="str">
        <f t="shared" si="8"/>
        <v/>
      </c>
    </row>
    <row r="555" spans="1:4" ht="14.25" customHeight="1" x14ac:dyDescent="0.3">
      <c r="A555" s="9" t="str">
        <f>IF(OR(A554="",B554=""),"",A554)</f>
        <v/>
      </c>
      <c r="B555" s="9" t="str">
        <f>IF(B554="","",IF(B554="1-2","3-4",IF(B554="3-4","1-2","")))</f>
        <v/>
      </c>
      <c r="C555" s="19" t="str">
        <f>IF(OR(A554="",C554=""),"",100-C554)</f>
        <v/>
      </c>
      <c r="D555" s="3" t="str">
        <f t="shared" si="8"/>
        <v>INVALID PERCENT</v>
      </c>
    </row>
    <row r="556" spans="1:4" ht="14.25" customHeight="1" x14ac:dyDescent="0.3">
      <c r="A556" s="7"/>
      <c r="B556" s="7"/>
      <c r="C556" s="18"/>
      <c r="D556" s="3" t="str">
        <f t="shared" si="8"/>
        <v/>
      </c>
    </row>
    <row r="557" spans="1:4" ht="14.25" customHeight="1" x14ac:dyDescent="0.3">
      <c r="A557" s="9" t="str">
        <f>IF(OR(A556="",B556=""),"",A556)</f>
        <v/>
      </c>
      <c r="B557" s="9" t="str">
        <f>IF(B556="","",IF(B556="1-2","3-4",IF(B556="3-4","1-2","")))</f>
        <v/>
      </c>
      <c r="C557" s="19" t="str">
        <f>IF(OR(A556="",C556=""),"",100-C556)</f>
        <v/>
      </c>
      <c r="D557" s="3" t="str">
        <f t="shared" si="8"/>
        <v>INVALID PERCENT</v>
      </c>
    </row>
    <row r="558" spans="1:4" ht="14.25" customHeight="1" x14ac:dyDescent="0.3">
      <c r="A558" s="7"/>
      <c r="B558" s="7"/>
      <c r="C558" s="18"/>
      <c r="D558" s="3" t="str">
        <f t="shared" si="8"/>
        <v/>
      </c>
    </row>
    <row r="559" spans="1:4" ht="14.25" customHeight="1" x14ac:dyDescent="0.3">
      <c r="A559" s="9" t="str">
        <f>IF(OR(A558="",B558=""),"",A558)</f>
        <v/>
      </c>
      <c r="B559" s="9" t="str">
        <f>IF(B558="","",IF(B558="1-2","3-4",IF(B558="3-4","1-2","")))</f>
        <v/>
      </c>
      <c r="C559" s="19" t="str">
        <f>IF(OR(A558="",C558=""),"",100-C558)</f>
        <v/>
      </c>
      <c r="D559" s="3" t="str">
        <f t="shared" si="8"/>
        <v>INVALID PERCENT</v>
      </c>
    </row>
    <row r="560" spans="1:4" ht="14.25" customHeight="1" x14ac:dyDescent="0.3">
      <c r="A560" s="7"/>
      <c r="B560" s="7"/>
      <c r="C560" s="18"/>
      <c r="D560" s="3" t="str">
        <f t="shared" si="8"/>
        <v/>
      </c>
    </row>
    <row r="561" spans="1:4" ht="14.25" customHeight="1" x14ac:dyDescent="0.3">
      <c r="A561" s="9" t="str">
        <f>IF(OR(A560="",B560=""),"",A560)</f>
        <v/>
      </c>
      <c r="B561" s="9" t="str">
        <f>IF(B560="","",IF(B560="1-2","3-4",IF(B560="3-4","1-2","")))</f>
        <v/>
      </c>
      <c r="C561" s="19" t="str">
        <f>IF(OR(A560="",C560=""),"",100-C560)</f>
        <v/>
      </c>
      <c r="D561" s="3" t="str">
        <f t="shared" si="8"/>
        <v>INVALID PERCENT</v>
      </c>
    </row>
    <row r="562" spans="1:4" ht="14.25" customHeight="1" x14ac:dyDescent="0.3">
      <c r="A562" s="7"/>
      <c r="B562" s="7"/>
      <c r="C562" s="18"/>
      <c r="D562" s="3" t="str">
        <f t="shared" si="8"/>
        <v/>
      </c>
    </row>
    <row r="563" spans="1:4" ht="14.25" customHeight="1" x14ac:dyDescent="0.3">
      <c r="A563" s="9" t="str">
        <f>IF(OR(A562="",B562=""),"",A562)</f>
        <v/>
      </c>
      <c r="B563" s="9" t="str">
        <f>IF(B562="","",IF(B562="1-2","3-4",IF(B562="3-4","1-2","")))</f>
        <v/>
      </c>
      <c r="C563" s="19" t="str">
        <f>IF(OR(A562="",C562=""),"",100-C562)</f>
        <v/>
      </c>
      <c r="D563" s="3" t="str">
        <f t="shared" si="8"/>
        <v>INVALID PERCENT</v>
      </c>
    </row>
    <row r="564" spans="1:4" ht="14.25" customHeight="1" x14ac:dyDescent="0.3">
      <c r="A564" s="7"/>
      <c r="B564" s="7"/>
      <c r="C564" s="18"/>
      <c r="D564" s="3" t="str">
        <f t="shared" si="8"/>
        <v/>
      </c>
    </row>
    <row r="565" spans="1:4" ht="14.25" customHeight="1" x14ac:dyDescent="0.3">
      <c r="A565" s="9" t="str">
        <f>IF(OR(A564="",B564=""),"",A564)</f>
        <v/>
      </c>
      <c r="B565" s="9" t="str">
        <f>IF(B564="","",IF(B564="1-2","3-4",IF(B564="3-4","1-2","")))</f>
        <v/>
      </c>
      <c r="C565" s="19" t="str">
        <f>IF(OR(A564="",C564=""),"",100-C564)</f>
        <v/>
      </c>
      <c r="D565" s="3" t="str">
        <f t="shared" si="8"/>
        <v>INVALID PERCENT</v>
      </c>
    </row>
    <row r="566" spans="1:4" ht="14.25" customHeight="1" x14ac:dyDescent="0.3">
      <c r="A566" s="7"/>
      <c r="B566" s="7"/>
      <c r="C566" s="18"/>
      <c r="D566" s="3" t="str">
        <f t="shared" si="8"/>
        <v/>
      </c>
    </row>
    <row r="567" spans="1:4" ht="14.25" customHeight="1" x14ac:dyDescent="0.3">
      <c r="A567" s="9" t="str">
        <f>IF(OR(A566="",B566=""),"",A566)</f>
        <v/>
      </c>
      <c r="B567" s="9" t="str">
        <f>IF(B566="","",IF(B566="1-2","3-4",IF(B566="3-4","1-2","")))</f>
        <v/>
      </c>
      <c r="C567" s="19" t="str">
        <f>IF(OR(A566="",C566=""),"",100-C566)</f>
        <v/>
      </c>
      <c r="D567" s="3" t="str">
        <f t="shared" si="8"/>
        <v>INVALID PERCENT</v>
      </c>
    </row>
    <row r="568" spans="1:4" ht="14.25" customHeight="1" x14ac:dyDescent="0.3">
      <c r="A568" s="7"/>
      <c r="B568" s="7"/>
      <c r="C568" s="18"/>
      <c r="D568" s="3" t="str">
        <f t="shared" si="8"/>
        <v/>
      </c>
    </row>
    <row r="569" spans="1:4" ht="14.25" customHeight="1" x14ac:dyDescent="0.3">
      <c r="A569" s="9" t="str">
        <f>IF(OR(A568="",B568=""),"",A568)</f>
        <v/>
      </c>
      <c r="B569" s="9" t="str">
        <f>IF(B568="","",IF(B568="1-2","3-4",IF(B568="3-4","1-2","")))</f>
        <v/>
      </c>
      <c r="C569" s="19" t="str">
        <f>IF(OR(A568="",C568=""),"",100-C568)</f>
        <v/>
      </c>
      <c r="D569" s="3" t="str">
        <f t="shared" si="8"/>
        <v>INVALID PERCENT</v>
      </c>
    </row>
    <row r="570" spans="1:4" ht="14.25" customHeight="1" x14ac:dyDescent="0.3">
      <c r="A570" s="7"/>
      <c r="B570" s="7"/>
      <c r="C570" s="18"/>
      <c r="D570" s="3" t="str">
        <f t="shared" si="8"/>
        <v/>
      </c>
    </row>
    <row r="571" spans="1:4" ht="14.25" customHeight="1" x14ac:dyDescent="0.3">
      <c r="A571" s="9" t="str">
        <f>IF(OR(A570="",B570=""),"",A570)</f>
        <v/>
      </c>
      <c r="B571" s="9" t="str">
        <f>IF(B570="","",IF(B570="1-2","3-4",IF(B570="3-4","1-2","")))</f>
        <v/>
      </c>
      <c r="C571" s="19" t="str">
        <f>IF(OR(A570="",C570=""),"",100-C570)</f>
        <v/>
      </c>
      <c r="D571" s="3" t="str">
        <f t="shared" si="8"/>
        <v>INVALID PERCENT</v>
      </c>
    </row>
    <row r="572" spans="1:4" ht="14.25" customHeight="1" x14ac:dyDescent="0.3">
      <c r="A572" s="7"/>
      <c r="B572" s="7"/>
      <c r="C572" s="18"/>
      <c r="D572" s="3" t="str">
        <f t="shared" si="8"/>
        <v/>
      </c>
    </row>
    <row r="573" spans="1:4" ht="14.25" customHeight="1" x14ac:dyDescent="0.3">
      <c r="A573" s="9" t="str">
        <f>IF(OR(A572="",B572=""),"",A572)</f>
        <v/>
      </c>
      <c r="B573" s="9" t="str">
        <f>IF(B572="","",IF(B572="1-2","3-4",IF(B572="3-4","1-2","")))</f>
        <v/>
      </c>
      <c r="C573" s="19" t="str">
        <f>IF(OR(A572="",C572=""),"",100-C572)</f>
        <v/>
      </c>
      <c r="D573" s="3" t="str">
        <f t="shared" si="8"/>
        <v>INVALID PERCENT</v>
      </c>
    </row>
    <row r="574" spans="1:4" ht="14.25" customHeight="1" x14ac:dyDescent="0.3">
      <c r="A574" s="7"/>
      <c r="B574" s="7"/>
      <c r="C574" s="18"/>
      <c r="D574" s="3" t="str">
        <f t="shared" si="8"/>
        <v/>
      </c>
    </row>
    <row r="575" spans="1:4" ht="14.25" customHeight="1" x14ac:dyDescent="0.3">
      <c r="A575" s="9" t="str">
        <f>IF(OR(A574="",B574=""),"",A574)</f>
        <v/>
      </c>
      <c r="B575" s="9" t="str">
        <f>IF(B574="","",IF(B574="1-2","3-4",IF(B574="3-4","1-2","")))</f>
        <v/>
      </c>
      <c r="C575" s="19" t="str">
        <f>IF(OR(A574="",C574=""),"",100-C574)</f>
        <v/>
      </c>
      <c r="D575" s="3" t="str">
        <f t="shared" si="8"/>
        <v>INVALID PERCENT</v>
      </c>
    </row>
    <row r="576" spans="1:4" ht="14.25" customHeight="1" x14ac:dyDescent="0.3">
      <c r="A576" s="7"/>
      <c r="B576" s="7"/>
      <c r="C576" s="18"/>
      <c r="D576" s="3" t="str">
        <f t="shared" si="8"/>
        <v/>
      </c>
    </row>
    <row r="577" spans="1:4" ht="14.25" customHeight="1" x14ac:dyDescent="0.3">
      <c r="A577" s="9" t="str">
        <f>IF(OR(A576="",B576=""),"",A576)</f>
        <v/>
      </c>
      <c r="B577" s="9" t="str">
        <f>IF(B576="","",IF(B576="1-2","3-4",IF(B576="3-4","1-2","")))</f>
        <v/>
      </c>
      <c r="C577" s="19" t="str">
        <f>IF(OR(A576="",C576=""),"",100-C576)</f>
        <v/>
      </c>
      <c r="D577" s="3" t="str">
        <f t="shared" si="8"/>
        <v>INVALID PERCENT</v>
      </c>
    </row>
    <row r="578" spans="1:4" ht="14.25" customHeight="1" x14ac:dyDescent="0.3">
      <c r="A578" s="7"/>
      <c r="B578" s="7"/>
      <c r="C578" s="18"/>
      <c r="D578" s="3" t="str">
        <f t="shared" ref="D578:D641" si="9">IF(COUNTA(A578:C578)=0,"",IF(OR(C578&lt;0,C578&gt;100),"INVALID PERCENT",IF(COUNTIFS($A$2:$A$1000,A578,$B$2:$B$1000,B578)&gt;1,"DUPLICATE ROOM/GROUP","OK")))</f>
        <v/>
      </c>
    </row>
    <row r="579" spans="1:4" ht="14.25" customHeight="1" x14ac:dyDescent="0.3">
      <c r="A579" s="9" t="str">
        <f>IF(OR(A578="",B578=""),"",A578)</f>
        <v/>
      </c>
      <c r="B579" s="9" t="str">
        <f>IF(B578="","",IF(B578="1-2","3-4",IF(B578="3-4","1-2","")))</f>
        <v/>
      </c>
      <c r="C579" s="19" t="str">
        <f>IF(OR(A578="",C578=""),"",100-C578)</f>
        <v/>
      </c>
      <c r="D579" s="3" t="str">
        <f t="shared" si="9"/>
        <v>INVALID PERCENT</v>
      </c>
    </row>
    <row r="580" spans="1:4" ht="14.25" customHeight="1" x14ac:dyDescent="0.3">
      <c r="A580" s="7"/>
      <c r="B580" s="7"/>
      <c r="C580" s="18"/>
      <c r="D580" s="3" t="str">
        <f t="shared" si="9"/>
        <v/>
      </c>
    </row>
    <row r="581" spans="1:4" ht="14.25" customHeight="1" x14ac:dyDescent="0.3">
      <c r="A581" s="9" t="str">
        <f>IF(OR(A580="",B580=""),"",A580)</f>
        <v/>
      </c>
      <c r="B581" s="9" t="str">
        <f>IF(B580="","",IF(B580="1-2","3-4",IF(B580="3-4","1-2","")))</f>
        <v/>
      </c>
      <c r="C581" s="19" t="str">
        <f>IF(OR(A580="",C580=""),"",100-C580)</f>
        <v/>
      </c>
      <c r="D581" s="3" t="str">
        <f t="shared" si="9"/>
        <v>INVALID PERCENT</v>
      </c>
    </row>
    <row r="582" spans="1:4" ht="14.25" customHeight="1" x14ac:dyDescent="0.3">
      <c r="A582" s="7"/>
      <c r="B582" s="7"/>
      <c r="C582" s="18"/>
      <c r="D582" s="3" t="str">
        <f t="shared" si="9"/>
        <v/>
      </c>
    </row>
    <row r="583" spans="1:4" ht="14.25" customHeight="1" x14ac:dyDescent="0.3">
      <c r="A583" s="9" t="str">
        <f>IF(OR(A582="",B582=""),"",A582)</f>
        <v/>
      </c>
      <c r="B583" s="9" t="str">
        <f>IF(B582="","",IF(B582="1-2","3-4",IF(B582="3-4","1-2","")))</f>
        <v/>
      </c>
      <c r="C583" s="19" t="str">
        <f>IF(OR(A582="",C582=""),"",100-C582)</f>
        <v/>
      </c>
      <c r="D583" s="3" t="str">
        <f t="shared" si="9"/>
        <v>INVALID PERCENT</v>
      </c>
    </row>
    <row r="584" spans="1:4" ht="14.25" customHeight="1" x14ac:dyDescent="0.3">
      <c r="A584" s="7"/>
      <c r="B584" s="7"/>
      <c r="C584" s="18"/>
      <c r="D584" s="3" t="str">
        <f t="shared" si="9"/>
        <v/>
      </c>
    </row>
    <row r="585" spans="1:4" ht="14.25" customHeight="1" x14ac:dyDescent="0.3">
      <c r="A585" s="9" t="str">
        <f>IF(OR(A584="",B584=""),"",A584)</f>
        <v/>
      </c>
      <c r="B585" s="9" t="str">
        <f>IF(B584="","",IF(B584="1-2","3-4",IF(B584="3-4","1-2","")))</f>
        <v/>
      </c>
      <c r="C585" s="19" t="str">
        <f>IF(OR(A584="",C584=""),"",100-C584)</f>
        <v/>
      </c>
      <c r="D585" s="3" t="str">
        <f t="shared" si="9"/>
        <v>INVALID PERCENT</v>
      </c>
    </row>
    <row r="586" spans="1:4" ht="14.25" customHeight="1" x14ac:dyDescent="0.3">
      <c r="A586" s="7"/>
      <c r="B586" s="7"/>
      <c r="C586" s="18"/>
      <c r="D586" s="3" t="str">
        <f t="shared" si="9"/>
        <v/>
      </c>
    </row>
    <row r="587" spans="1:4" ht="14.25" customHeight="1" x14ac:dyDescent="0.3">
      <c r="A587" s="9" t="str">
        <f>IF(OR(A586="",B586=""),"",A586)</f>
        <v/>
      </c>
      <c r="B587" s="9" t="str">
        <f>IF(B586="","",IF(B586="1-2","3-4",IF(B586="3-4","1-2","")))</f>
        <v/>
      </c>
      <c r="C587" s="19" t="str">
        <f>IF(OR(A586="",C586=""),"",100-C586)</f>
        <v/>
      </c>
      <c r="D587" s="3" t="str">
        <f t="shared" si="9"/>
        <v>INVALID PERCENT</v>
      </c>
    </row>
    <row r="588" spans="1:4" ht="14.25" customHeight="1" x14ac:dyDescent="0.3">
      <c r="A588" s="7"/>
      <c r="B588" s="7"/>
      <c r="C588" s="18"/>
      <c r="D588" s="3" t="str">
        <f t="shared" si="9"/>
        <v/>
      </c>
    </row>
    <row r="589" spans="1:4" ht="14.25" customHeight="1" x14ac:dyDescent="0.3">
      <c r="A589" s="9" t="str">
        <f>IF(OR(A588="",B588=""),"",A588)</f>
        <v/>
      </c>
      <c r="B589" s="9" t="str">
        <f>IF(B588="","",IF(B588="1-2","3-4",IF(B588="3-4","1-2","")))</f>
        <v/>
      </c>
      <c r="C589" s="19" t="str">
        <f>IF(OR(A588="",C588=""),"",100-C588)</f>
        <v/>
      </c>
      <c r="D589" s="3" t="str">
        <f t="shared" si="9"/>
        <v>INVALID PERCENT</v>
      </c>
    </row>
    <row r="590" spans="1:4" ht="14.25" customHeight="1" x14ac:dyDescent="0.3">
      <c r="A590" s="7"/>
      <c r="B590" s="7"/>
      <c r="C590" s="18"/>
      <c r="D590" s="3" t="str">
        <f t="shared" si="9"/>
        <v/>
      </c>
    </row>
    <row r="591" spans="1:4" ht="14.25" customHeight="1" x14ac:dyDescent="0.3">
      <c r="A591" s="9" t="str">
        <f>IF(OR(A590="",B590=""),"",A590)</f>
        <v/>
      </c>
      <c r="B591" s="9" t="str">
        <f>IF(B590="","",IF(B590="1-2","3-4",IF(B590="3-4","1-2","")))</f>
        <v/>
      </c>
      <c r="C591" s="19" t="str">
        <f>IF(OR(A590="",C590=""),"",100-C590)</f>
        <v/>
      </c>
      <c r="D591" s="3" t="str">
        <f t="shared" si="9"/>
        <v>INVALID PERCENT</v>
      </c>
    </row>
    <row r="592" spans="1:4" ht="14.25" customHeight="1" x14ac:dyDescent="0.3">
      <c r="A592" s="7"/>
      <c r="B592" s="7"/>
      <c r="C592" s="18"/>
      <c r="D592" s="3" t="str">
        <f t="shared" si="9"/>
        <v/>
      </c>
    </row>
    <row r="593" spans="1:4" ht="14.25" customHeight="1" x14ac:dyDescent="0.3">
      <c r="A593" s="9" t="str">
        <f>IF(OR(A592="",B592=""),"",A592)</f>
        <v/>
      </c>
      <c r="B593" s="9" t="str">
        <f>IF(B592="","",IF(B592="1-2","3-4",IF(B592="3-4","1-2","")))</f>
        <v/>
      </c>
      <c r="C593" s="19" t="str">
        <f>IF(OR(A592="",C592=""),"",100-C592)</f>
        <v/>
      </c>
      <c r="D593" s="3" t="str">
        <f t="shared" si="9"/>
        <v>INVALID PERCENT</v>
      </c>
    </row>
    <row r="594" spans="1:4" ht="14.25" customHeight="1" x14ac:dyDescent="0.3">
      <c r="A594" s="7"/>
      <c r="B594" s="7"/>
      <c r="C594" s="18"/>
      <c r="D594" s="3" t="str">
        <f t="shared" si="9"/>
        <v/>
      </c>
    </row>
    <row r="595" spans="1:4" ht="14.25" customHeight="1" x14ac:dyDescent="0.3">
      <c r="A595" s="9" t="str">
        <f>IF(OR(A594="",B594=""),"",A594)</f>
        <v/>
      </c>
      <c r="B595" s="9" t="str">
        <f>IF(B594="","",IF(B594="1-2","3-4",IF(B594="3-4","1-2","")))</f>
        <v/>
      </c>
      <c r="C595" s="19" t="str">
        <f>IF(OR(A594="",C594=""),"",100-C594)</f>
        <v/>
      </c>
      <c r="D595" s="3" t="str">
        <f t="shared" si="9"/>
        <v>INVALID PERCENT</v>
      </c>
    </row>
    <row r="596" spans="1:4" ht="14.25" customHeight="1" x14ac:dyDescent="0.3">
      <c r="A596" s="7"/>
      <c r="B596" s="7"/>
      <c r="C596" s="18"/>
      <c r="D596" s="3" t="str">
        <f t="shared" si="9"/>
        <v/>
      </c>
    </row>
    <row r="597" spans="1:4" ht="14.25" customHeight="1" x14ac:dyDescent="0.3">
      <c r="A597" s="9" t="str">
        <f>IF(OR(A596="",B596=""),"",A596)</f>
        <v/>
      </c>
      <c r="B597" s="9" t="str">
        <f>IF(B596="","",IF(B596="1-2","3-4",IF(B596="3-4","1-2","")))</f>
        <v/>
      </c>
      <c r="C597" s="19" t="str">
        <f>IF(OR(A596="",C596=""),"",100-C596)</f>
        <v/>
      </c>
      <c r="D597" s="3" t="str">
        <f t="shared" si="9"/>
        <v>INVALID PERCENT</v>
      </c>
    </row>
    <row r="598" spans="1:4" ht="14.25" customHeight="1" x14ac:dyDescent="0.3">
      <c r="A598" s="7"/>
      <c r="B598" s="7"/>
      <c r="C598" s="18"/>
      <c r="D598" s="3" t="str">
        <f t="shared" si="9"/>
        <v/>
      </c>
    </row>
    <row r="599" spans="1:4" ht="14.25" customHeight="1" x14ac:dyDescent="0.3">
      <c r="A599" s="9" t="str">
        <f>IF(OR(A598="",B598=""),"",A598)</f>
        <v/>
      </c>
      <c r="B599" s="9" t="str">
        <f>IF(B598="","",IF(B598="1-2","3-4",IF(B598="3-4","1-2","")))</f>
        <v/>
      </c>
      <c r="C599" s="19" t="str">
        <f>IF(OR(A598="",C598=""),"",100-C598)</f>
        <v/>
      </c>
      <c r="D599" s="3" t="str">
        <f t="shared" si="9"/>
        <v>INVALID PERCENT</v>
      </c>
    </row>
    <row r="600" spans="1:4" ht="14.25" customHeight="1" x14ac:dyDescent="0.3">
      <c r="A600" s="7"/>
      <c r="B600" s="7"/>
      <c r="C600" s="18"/>
      <c r="D600" s="3" t="str">
        <f t="shared" si="9"/>
        <v/>
      </c>
    </row>
    <row r="601" spans="1:4" ht="14.25" customHeight="1" x14ac:dyDescent="0.3">
      <c r="A601" s="9" t="str">
        <f>IF(OR(A600="",B600=""),"",A600)</f>
        <v/>
      </c>
      <c r="B601" s="9" t="str">
        <f>IF(B600="","",IF(B600="1-2","3-4",IF(B600="3-4","1-2","")))</f>
        <v/>
      </c>
      <c r="C601" s="19" t="str">
        <f>IF(OR(A600="",C600=""),"",100-C600)</f>
        <v/>
      </c>
      <c r="D601" s="3" t="str">
        <f t="shared" si="9"/>
        <v>INVALID PERCENT</v>
      </c>
    </row>
    <row r="602" spans="1:4" ht="14.25" customHeight="1" x14ac:dyDescent="0.3">
      <c r="A602" s="7"/>
      <c r="B602" s="7"/>
      <c r="C602" s="18"/>
      <c r="D602" s="3" t="str">
        <f t="shared" si="9"/>
        <v/>
      </c>
    </row>
    <row r="603" spans="1:4" ht="14.25" customHeight="1" x14ac:dyDescent="0.3">
      <c r="A603" s="9" t="str">
        <f>IF(OR(A602="",B602=""),"",A602)</f>
        <v/>
      </c>
      <c r="B603" s="9" t="str">
        <f>IF(B602="","",IF(B602="1-2","3-4",IF(B602="3-4","1-2","")))</f>
        <v/>
      </c>
      <c r="C603" s="19" t="str">
        <f>IF(OR(A602="",C602=""),"",100-C602)</f>
        <v/>
      </c>
      <c r="D603" s="3" t="str">
        <f t="shared" si="9"/>
        <v>INVALID PERCENT</v>
      </c>
    </row>
    <row r="604" spans="1:4" ht="14.25" customHeight="1" x14ac:dyDescent="0.3">
      <c r="A604" s="7"/>
      <c r="B604" s="7"/>
      <c r="C604" s="18"/>
      <c r="D604" s="3" t="str">
        <f t="shared" si="9"/>
        <v/>
      </c>
    </row>
    <row r="605" spans="1:4" ht="14.25" customHeight="1" x14ac:dyDescent="0.3">
      <c r="A605" s="9" t="str">
        <f>IF(OR(A604="",B604=""),"",A604)</f>
        <v/>
      </c>
      <c r="B605" s="9" t="str">
        <f>IF(B604="","",IF(B604="1-2","3-4",IF(B604="3-4","1-2","")))</f>
        <v/>
      </c>
      <c r="C605" s="19" t="str">
        <f>IF(OR(A604="",C604=""),"",100-C604)</f>
        <v/>
      </c>
      <c r="D605" s="3" t="str">
        <f t="shared" si="9"/>
        <v>INVALID PERCENT</v>
      </c>
    </row>
    <row r="606" spans="1:4" ht="14.25" customHeight="1" x14ac:dyDescent="0.3">
      <c r="A606" s="7"/>
      <c r="B606" s="7"/>
      <c r="C606" s="18"/>
      <c r="D606" s="3" t="str">
        <f t="shared" si="9"/>
        <v/>
      </c>
    </row>
    <row r="607" spans="1:4" ht="14.25" customHeight="1" x14ac:dyDescent="0.3">
      <c r="A607" s="9" t="str">
        <f>IF(OR(A606="",B606=""),"",A606)</f>
        <v/>
      </c>
      <c r="B607" s="9" t="str">
        <f>IF(B606="","",IF(B606="1-2","3-4",IF(B606="3-4","1-2","")))</f>
        <v/>
      </c>
      <c r="C607" s="19" t="str">
        <f>IF(OR(A606="",C606=""),"",100-C606)</f>
        <v/>
      </c>
      <c r="D607" s="3" t="str">
        <f t="shared" si="9"/>
        <v>INVALID PERCENT</v>
      </c>
    </row>
    <row r="608" spans="1:4" ht="14.25" customHeight="1" x14ac:dyDescent="0.3">
      <c r="A608" s="7"/>
      <c r="B608" s="7"/>
      <c r="C608" s="18"/>
      <c r="D608" s="3" t="str">
        <f t="shared" si="9"/>
        <v/>
      </c>
    </row>
    <row r="609" spans="1:4" ht="14.25" customHeight="1" x14ac:dyDescent="0.3">
      <c r="A609" s="9" t="str">
        <f>IF(OR(A608="",B608=""),"",A608)</f>
        <v/>
      </c>
      <c r="B609" s="9" t="str">
        <f>IF(B608="","",IF(B608="1-2","3-4",IF(B608="3-4","1-2","")))</f>
        <v/>
      </c>
      <c r="C609" s="19" t="str">
        <f>IF(OR(A608="",C608=""),"",100-C608)</f>
        <v/>
      </c>
      <c r="D609" s="3" t="str">
        <f t="shared" si="9"/>
        <v>INVALID PERCENT</v>
      </c>
    </row>
    <row r="610" spans="1:4" ht="14.25" customHeight="1" x14ac:dyDescent="0.3">
      <c r="A610" s="7"/>
      <c r="B610" s="7"/>
      <c r="C610" s="18"/>
      <c r="D610" s="3" t="str">
        <f t="shared" si="9"/>
        <v/>
      </c>
    </row>
    <row r="611" spans="1:4" ht="14.25" customHeight="1" x14ac:dyDescent="0.3">
      <c r="A611" s="9" t="str">
        <f>IF(OR(A610="",B610=""),"",A610)</f>
        <v/>
      </c>
      <c r="B611" s="9" t="str">
        <f>IF(B610="","",IF(B610="1-2","3-4",IF(B610="3-4","1-2","")))</f>
        <v/>
      </c>
      <c r="C611" s="19" t="str">
        <f>IF(OR(A610="",C610=""),"",100-C610)</f>
        <v/>
      </c>
      <c r="D611" s="3" t="str">
        <f t="shared" si="9"/>
        <v>INVALID PERCENT</v>
      </c>
    </row>
    <row r="612" spans="1:4" ht="14.25" customHeight="1" x14ac:dyDescent="0.3">
      <c r="A612" s="7"/>
      <c r="B612" s="7"/>
      <c r="C612" s="18"/>
      <c r="D612" s="3" t="str">
        <f t="shared" si="9"/>
        <v/>
      </c>
    </row>
    <row r="613" spans="1:4" ht="14.25" customHeight="1" x14ac:dyDescent="0.3">
      <c r="A613" s="9" t="str">
        <f>IF(OR(A612="",B612=""),"",A612)</f>
        <v/>
      </c>
      <c r="B613" s="9" t="str">
        <f>IF(B612="","",IF(B612="1-2","3-4",IF(B612="3-4","1-2","")))</f>
        <v/>
      </c>
      <c r="C613" s="19" t="str">
        <f>IF(OR(A612="",C612=""),"",100-C612)</f>
        <v/>
      </c>
      <c r="D613" s="3" t="str">
        <f t="shared" si="9"/>
        <v>INVALID PERCENT</v>
      </c>
    </row>
    <row r="614" spans="1:4" ht="14.25" customHeight="1" x14ac:dyDescent="0.3">
      <c r="A614" s="7"/>
      <c r="B614" s="7"/>
      <c r="C614" s="18"/>
      <c r="D614" s="3" t="str">
        <f t="shared" si="9"/>
        <v/>
      </c>
    </row>
    <row r="615" spans="1:4" ht="14.25" customHeight="1" x14ac:dyDescent="0.3">
      <c r="A615" s="9" t="str">
        <f>IF(OR(A614="",B614=""),"",A614)</f>
        <v/>
      </c>
      <c r="B615" s="9" t="str">
        <f>IF(B614="","",IF(B614="1-2","3-4",IF(B614="3-4","1-2","")))</f>
        <v/>
      </c>
      <c r="C615" s="19" t="str">
        <f>IF(OR(A614="",C614=""),"",100-C614)</f>
        <v/>
      </c>
      <c r="D615" s="3" t="str">
        <f t="shared" si="9"/>
        <v>INVALID PERCENT</v>
      </c>
    </row>
    <row r="616" spans="1:4" ht="14.25" customHeight="1" x14ac:dyDescent="0.3">
      <c r="A616" s="7"/>
      <c r="B616" s="7"/>
      <c r="C616" s="18"/>
      <c r="D616" s="3" t="str">
        <f t="shared" si="9"/>
        <v/>
      </c>
    </row>
    <row r="617" spans="1:4" ht="14.25" customHeight="1" x14ac:dyDescent="0.3">
      <c r="A617" s="9" t="str">
        <f>IF(OR(A616="",B616=""),"",A616)</f>
        <v/>
      </c>
      <c r="B617" s="9" t="str">
        <f>IF(B616="","",IF(B616="1-2","3-4",IF(B616="3-4","1-2","")))</f>
        <v/>
      </c>
      <c r="C617" s="19" t="str">
        <f>IF(OR(A616="",C616=""),"",100-C616)</f>
        <v/>
      </c>
      <c r="D617" s="3" t="str">
        <f t="shared" si="9"/>
        <v>INVALID PERCENT</v>
      </c>
    </row>
    <row r="618" spans="1:4" ht="14.25" customHeight="1" x14ac:dyDescent="0.3">
      <c r="A618" s="7"/>
      <c r="B618" s="7"/>
      <c r="C618" s="18"/>
      <c r="D618" s="3" t="str">
        <f t="shared" si="9"/>
        <v/>
      </c>
    </row>
    <row r="619" spans="1:4" ht="14.25" customHeight="1" x14ac:dyDescent="0.3">
      <c r="A619" s="9" t="str">
        <f>IF(OR(A618="",B618=""),"",A618)</f>
        <v/>
      </c>
      <c r="B619" s="9" t="str">
        <f>IF(B618="","",IF(B618="1-2","3-4",IF(B618="3-4","1-2","")))</f>
        <v/>
      </c>
      <c r="C619" s="19" t="str">
        <f>IF(OR(A618="",C618=""),"",100-C618)</f>
        <v/>
      </c>
      <c r="D619" s="3" t="str">
        <f t="shared" si="9"/>
        <v>INVALID PERCENT</v>
      </c>
    </row>
    <row r="620" spans="1:4" ht="14.25" customHeight="1" x14ac:dyDescent="0.3">
      <c r="A620" s="7"/>
      <c r="B620" s="7"/>
      <c r="C620" s="18"/>
      <c r="D620" s="3" t="str">
        <f t="shared" si="9"/>
        <v/>
      </c>
    </row>
    <row r="621" spans="1:4" ht="14.25" customHeight="1" x14ac:dyDescent="0.3">
      <c r="A621" s="9" t="str">
        <f>IF(OR(A620="",B620=""),"",A620)</f>
        <v/>
      </c>
      <c r="B621" s="9" t="str">
        <f>IF(B620="","",IF(B620="1-2","3-4",IF(B620="3-4","1-2","")))</f>
        <v/>
      </c>
      <c r="C621" s="19" t="str">
        <f>IF(OR(A620="",C620=""),"",100-C620)</f>
        <v/>
      </c>
      <c r="D621" s="3" t="str">
        <f t="shared" si="9"/>
        <v>INVALID PERCENT</v>
      </c>
    </row>
    <row r="622" spans="1:4" ht="14.25" customHeight="1" x14ac:dyDescent="0.3">
      <c r="A622" s="7"/>
      <c r="B622" s="7"/>
      <c r="C622" s="18"/>
      <c r="D622" s="3" t="str">
        <f t="shared" si="9"/>
        <v/>
      </c>
    </row>
    <row r="623" spans="1:4" ht="14.25" customHeight="1" x14ac:dyDescent="0.3">
      <c r="A623" s="9" t="str">
        <f>IF(OR(A622="",B622=""),"",A622)</f>
        <v/>
      </c>
      <c r="B623" s="9" t="str">
        <f>IF(B622="","",IF(B622="1-2","3-4",IF(B622="3-4","1-2","")))</f>
        <v/>
      </c>
      <c r="C623" s="19" t="str">
        <f>IF(OR(A622="",C622=""),"",100-C622)</f>
        <v/>
      </c>
      <c r="D623" s="3" t="str">
        <f t="shared" si="9"/>
        <v>INVALID PERCENT</v>
      </c>
    </row>
    <row r="624" spans="1:4" ht="14.25" customHeight="1" x14ac:dyDescent="0.3">
      <c r="A624" s="7"/>
      <c r="B624" s="7"/>
      <c r="C624" s="18"/>
      <c r="D624" s="3" t="str">
        <f t="shared" si="9"/>
        <v/>
      </c>
    </row>
    <row r="625" spans="1:4" ht="14.25" customHeight="1" x14ac:dyDescent="0.3">
      <c r="A625" s="9" t="str">
        <f>IF(OR(A624="",B624=""),"",A624)</f>
        <v/>
      </c>
      <c r="B625" s="9" t="str">
        <f>IF(B624="","",IF(B624="1-2","3-4",IF(B624="3-4","1-2","")))</f>
        <v/>
      </c>
      <c r="C625" s="19" t="str">
        <f>IF(OR(A624="",C624=""),"",100-C624)</f>
        <v/>
      </c>
      <c r="D625" s="3" t="str">
        <f t="shared" si="9"/>
        <v>INVALID PERCENT</v>
      </c>
    </row>
    <row r="626" spans="1:4" ht="14.25" customHeight="1" x14ac:dyDescent="0.3">
      <c r="A626" s="7"/>
      <c r="B626" s="7"/>
      <c r="C626" s="18"/>
      <c r="D626" s="3" t="str">
        <f t="shared" si="9"/>
        <v/>
      </c>
    </row>
    <row r="627" spans="1:4" ht="14.25" customHeight="1" x14ac:dyDescent="0.3">
      <c r="A627" s="9" t="str">
        <f>IF(OR(A626="",B626=""),"",A626)</f>
        <v/>
      </c>
      <c r="B627" s="9" t="str">
        <f>IF(B626="","",IF(B626="1-2","3-4",IF(B626="3-4","1-2","")))</f>
        <v/>
      </c>
      <c r="C627" s="19" t="str">
        <f>IF(OR(A626="",C626=""),"",100-C626)</f>
        <v/>
      </c>
      <c r="D627" s="3" t="str">
        <f t="shared" si="9"/>
        <v>INVALID PERCENT</v>
      </c>
    </row>
    <row r="628" spans="1:4" ht="14.25" customHeight="1" x14ac:dyDescent="0.3">
      <c r="A628" s="7"/>
      <c r="B628" s="7"/>
      <c r="C628" s="18"/>
      <c r="D628" s="3" t="str">
        <f t="shared" si="9"/>
        <v/>
      </c>
    </row>
    <row r="629" spans="1:4" ht="14.25" customHeight="1" x14ac:dyDescent="0.3">
      <c r="A629" s="9" t="str">
        <f>IF(OR(A628="",B628=""),"",A628)</f>
        <v/>
      </c>
      <c r="B629" s="9" t="str">
        <f>IF(B628="","",IF(B628="1-2","3-4",IF(B628="3-4","1-2","")))</f>
        <v/>
      </c>
      <c r="C629" s="19" t="str">
        <f>IF(OR(A628="",C628=""),"",100-C628)</f>
        <v/>
      </c>
      <c r="D629" s="3" t="str">
        <f t="shared" si="9"/>
        <v>INVALID PERCENT</v>
      </c>
    </row>
    <row r="630" spans="1:4" ht="14.25" customHeight="1" x14ac:dyDescent="0.3">
      <c r="A630" s="7"/>
      <c r="B630" s="7"/>
      <c r="C630" s="18"/>
      <c r="D630" s="3" t="str">
        <f t="shared" si="9"/>
        <v/>
      </c>
    </row>
    <row r="631" spans="1:4" ht="14.25" customHeight="1" x14ac:dyDescent="0.3">
      <c r="A631" s="9" t="str">
        <f>IF(OR(A630="",B630=""),"",A630)</f>
        <v/>
      </c>
      <c r="B631" s="9" t="str">
        <f>IF(B630="","",IF(B630="1-2","3-4",IF(B630="3-4","1-2","")))</f>
        <v/>
      </c>
      <c r="C631" s="19" t="str">
        <f>IF(OR(A630="",C630=""),"",100-C630)</f>
        <v/>
      </c>
      <c r="D631" s="3" t="str">
        <f t="shared" si="9"/>
        <v>INVALID PERCENT</v>
      </c>
    </row>
    <row r="632" spans="1:4" ht="14.25" customHeight="1" x14ac:dyDescent="0.3">
      <c r="A632" s="7"/>
      <c r="B632" s="7"/>
      <c r="C632" s="18"/>
      <c r="D632" s="3" t="str">
        <f t="shared" si="9"/>
        <v/>
      </c>
    </row>
    <row r="633" spans="1:4" ht="14.25" customHeight="1" x14ac:dyDescent="0.3">
      <c r="A633" s="9" t="str">
        <f>IF(OR(A632="",B632=""),"",A632)</f>
        <v/>
      </c>
      <c r="B633" s="9" t="str">
        <f>IF(B632="","",IF(B632="1-2","3-4",IF(B632="3-4","1-2","")))</f>
        <v/>
      </c>
      <c r="C633" s="19" t="str">
        <f>IF(OR(A632="",C632=""),"",100-C632)</f>
        <v/>
      </c>
      <c r="D633" s="3" t="str">
        <f t="shared" si="9"/>
        <v>INVALID PERCENT</v>
      </c>
    </row>
    <row r="634" spans="1:4" ht="14.25" customHeight="1" x14ac:dyDescent="0.3">
      <c r="A634" s="7"/>
      <c r="B634" s="7"/>
      <c r="C634" s="18"/>
      <c r="D634" s="3" t="str">
        <f t="shared" si="9"/>
        <v/>
      </c>
    </row>
    <row r="635" spans="1:4" ht="14.25" customHeight="1" x14ac:dyDescent="0.3">
      <c r="A635" s="9" t="str">
        <f>IF(OR(A634="",B634=""),"",A634)</f>
        <v/>
      </c>
      <c r="B635" s="9" t="str">
        <f>IF(B634="","",IF(B634="1-2","3-4",IF(B634="3-4","1-2","")))</f>
        <v/>
      </c>
      <c r="C635" s="19" t="str">
        <f>IF(OR(A634="",C634=""),"",100-C634)</f>
        <v/>
      </c>
      <c r="D635" s="3" t="str">
        <f t="shared" si="9"/>
        <v>INVALID PERCENT</v>
      </c>
    </row>
    <row r="636" spans="1:4" ht="14.25" customHeight="1" x14ac:dyDescent="0.3">
      <c r="A636" s="7"/>
      <c r="B636" s="7"/>
      <c r="C636" s="18"/>
      <c r="D636" s="3" t="str">
        <f t="shared" si="9"/>
        <v/>
      </c>
    </row>
    <row r="637" spans="1:4" ht="14.25" customHeight="1" x14ac:dyDescent="0.3">
      <c r="A637" s="9" t="str">
        <f>IF(OR(A636="",B636=""),"",A636)</f>
        <v/>
      </c>
      <c r="B637" s="9" t="str">
        <f>IF(B636="","",IF(B636="1-2","3-4",IF(B636="3-4","1-2","")))</f>
        <v/>
      </c>
      <c r="C637" s="19" t="str">
        <f>IF(OR(A636="",C636=""),"",100-C636)</f>
        <v/>
      </c>
      <c r="D637" s="3" t="str">
        <f t="shared" si="9"/>
        <v>INVALID PERCENT</v>
      </c>
    </row>
    <row r="638" spans="1:4" ht="14.25" customHeight="1" x14ac:dyDescent="0.3">
      <c r="A638" s="7"/>
      <c r="B638" s="7"/>
      <c r="C638" s="18"/>
      <c r="D638" s="3" t="str">
        <f t="shared" si="9"/>
        <v/>
      </c>
    </row>
    <row r="639" spans="1:4" ht="14.25" customHeight="1" x14ac:dyDescent="0.3">
      <c r="A639" s="9" t="str">
        <f>IF(OR(A638="",B638=""),"",A638)</f>
        <v/>
      </c>
      <c r="B639" s="9" t="str">
        <f>IF(B638="","",IF(B638="1-2","3-4",IF(B638="3-4","1-2","")))</f>
        <v/>
      </c>
      <c r="C639" s="19" t="str">
        <f>IF(OR(A638="",C638=""),"",100-C638)</f>
        <v/>
      </c>
      <c r="D639" s="3" t="str">
        <f t="shared" si="9"/>
        <v>INVALID PERCENT</v>
      </c>
    </row>
    <row r="640" spans="1:4" ht="14.25" customHeight="1" x14ac:dyDescent="0.3">
      <c r="A640" s="7"/>
      <c r="B640" s="7"/>
      <c r="C640" s="18"/>
      <c r="D640" s="3" t="str">
        <f t="shared" si="9"/>
        <v/>
      </c>
    </row>
    <row r="641" spans="1:4" ht="14.25" customHeight="1" x14ac:dyDescent="0.3">
      <c r="A641" s="9" t="str">
        <f>IF(OR(A640="",B640=""),"",A640)</f>
        <v/>
      </c>
      <c r="B641" s="9" t="str">
        <f>IF(B640="","",IF(B640="1-2","3-4",IF(B640="3-4","1-2","")))</f>
        <v/>
      </c>
      <c r="C641" s="19" t="str">
        <f>IF(OR(A640="",C640=""),"",100-C640)</f>
        <v/>
      </c>
      <c r="D641" s="3" t="str">
        <f t="shared" si="9"/>
        <v>INVALID PERCENT</v>
      </c>
    </row>
    <row r="642" spans="1:4" ht="14.25" customHeight="1" x14ac:dyDescent="0.3">
      <c r="A642" s="7"/>
      <c r="B642" s="7"/>
      <c r="C642" s="18"/>
      <c r="D642" s="3" t="str">
        <f t="shared" ref="D642:D705" si="10">IF(COUNTA(A642:C642)=0,"",IF(OR(C642&lt;0,C642&gt;100),"INVALID PERCENT",IF(COUNTIFS($A$2:$A$1000,A642,$B$2:$B$1000,B642)&gt;1,"DUPLICATE ROOM/GROUP","OK")))</f>
        <v/>
      </c>
    </row>
    <row r="643" spans="1:4" ht="14.25" customHeight="1" x14ac:dyDescent="0.3">
      <c r="A643" s="9" t="str">
        <f>IF(OR(A642="",B642=""),"",A642)</f>
        <v/>
      </c>
      <c r="B643" s="9" t="str">
        <f>IF(B642="","",IF(B642="1-2","3-4",IF(B642="3-4","1-2","")))</f>
        <v/>
      </c>
      <c r="C643" s="19" t="str">
        <f>IF(OR(A642="",C642=""),"",100-C642)</f>
        <v/>
      </c>
      <c r="D643" s="3" t="str">
        <f t="shared" si="10"/>
        <v>INVALID PERCENT</v>
      </c>
    </row>
    <row r="644" spans="1:4" ht="14.25" customHeight="1" x14ac:dyDescent="0.3">
      <c r="A644" s="7"/>
      <c r="B644" s="7"/>
      <c r="C644" s="18"/>
      <c r="D644" s="3" t="str">
        <f t="shared" si="10"/>
        <v/>
      </c>
    </row>
    <row r="645" spans="1:4" ht="14.25" customHeight="1" x14ac:dyDescent="0.3">
      <c r="A645" s="9" t="str">
        <f>IF(OR(A644="",B644=""),"",A644)</f>
        <v/>
      </c>
      <c r="B645" s="9" t="str">
        <f>IF(B644="","",IF(B644="1-2","3-4",IF(B644="3-4","1-2","")))</f>
        <v/>
      </c>
      <c r="C645" s="19" t="str">
        <f>IF(OR(A644="",C644=""),"",100-C644)</f>
        <v/>
      </c>
      <c r="D645" s="3" t="str">
        <f t="shared" si="10"/>
        <v>INVALID PERCENT</v>
      </c>
    </row>
    <row r="646" spans="1:4" ht="14.25" customHeight="1" x14ac:dyDescent="0.3">
      <c r="A646" s="7"/>
      <c r="B646" s="7"/>
      <c r="C646" s="18"/>
      <c r="D646" s="3" t="str">
        <f t="shared" si="10"/>
        <v/>
      </c>
    </row>
    <row r="647" spans="1:4" ht="14.25" customHeight="1" x14ac:dyDescent="0.3">
      <c r="A647" s="9" t="str">
        <f>IF(OR(A646="",B646=""),"",A646)</f>
        <v/>
      </c>
      <c r="B647" s="9" t="str">
        <f>IF(B646="","",IF(B646="1-2","3-4",IF(B646="3-4","1-2","")))</f>
        <v/>
      </c>
      <c r="C647" s="19" t="str">
        <f>IF(OR(A646="",C646=""),"",100-C646)</f>
        <v/>
      </c>
      <c r="D647" s="3" t="str">
        <f t="shared" si="10"/>
        <v>INVALID PERCENT</v>
      </c>
    </row>
    <row r="648" spans="1:4" ht="14.25" customHeight="1" x14ac:dyDescent="0.3">
      <c r="A648" s="7"/>
      <c r="B648" s="7"/>
      <c r="C648" s="18"/>
      <c r="D648" s="3" t="str">
        <f t="shared" si="10"/>
        <v/>
      </c>
    </row>
    <row r="649" spans="1:4" ht="14.25" customHeight="1" x14ac:dyDescent="0.3">
      <c r="A649" s="9" t="str">
        <f>IF(OR(A648="",B648=""),"",A648)</f>
        <v/>
      </c>
      <c r="B649" s="9" t="str">
        <f>IF(B648="","",IF(B648="1-2","3-4",IF(B648="3-4","1-2","")))</f>
        <v/>
      </c>
      <c r="C649" s="19" t="str">
        <f>IF(OR(A648="",C648=""),"",100-C648)</f>
        <v/>
      </c>
      <c r="D649" s="3" t="str">
        <f t="shared" si="10"/>
        <v>INVALID PERCENT</v>
      </c>
    </row>
    <row r="650" spans="1:4" ht="14.25" customHeight="1" x14ac:dyDescent="0.3">
      <c r="A650" s="7"/>
      <c r="B650" s="7"/>
      <c r="C650" s="18"/>
      <c r="D650" s="3" t="str">
        <f t="shared" si="10"/>
        <v/>
      </c>
    </row>
    <row r="651" spans="1:4" ht="14.25" customHeight="1" x14ac:dyDescent="0.3">
      <c r="A651" s="9" t="str">
        <f>IF(OR(A650="",B650=""),"",A650)</f>
        <v/>
      </c>
      <c r="B651" s="9" t="str">
        <f>IF(B650="","",IF(B650="1-2","3-4",IF(B650="3-4","1-2","")))</f>
        <v/>
      </c>
      <c r="C651" s="19" t="str">
        <f>IF(OR(A650="",C650=""),"",100-C650)</f>
        <v/>
      </c>
      <c r="D651" s="3" t="str">
        <f t="shared" si="10"/>
        <v>INVALID PERCENT</v>
      </c>
    </row>
    <row r="652" spans="1:4" ht="14.25" customHeight="1" x14ac:dyDescent="0.3">
      <c r="A652" s="7"/>
      <c r="B652" s="7"/>
      <c r="C652" s="18"/>
      <c r="D652" s="3" t="str">
        <f t="shared" si="10"/>
        <v/>
      </c>
    </row>
    <row r="653" spans="1:4" ht="14.25" customHeight="1" x14ac:dyDescent="0.3">
      <c r="A653" s="9" t="str">
        <f>IF(OR(A652="",B652=""),"",A652)</f>
        <v/>
      </c>
      <c r="B653" s="9" t="str">
        <f>IF(B652="","",IF(B652="1-2","3-4",IF(B652="3-4","1-2","")))</f>
        <v/>
      </c>
      <c r="C653" s="19" t="str">
        <f>IF(OR(A652="",C652=""),"",100-C652)</f>
        <v/>
      </c>
      <c r="D653" s="3" t="str">
        <f t="shared" si="10"/>
        <v>INVALID PERCENT</v>
      </c>
    </row>
    <row r="654" spans="1:4" ht="14.25" customHeight="1" x14ac:dyDescent="0.3">
      <c r="A654" s="7"/>
      <c r="B654" s="7"/>
      <c r="C654" s="18"/>
      <c r="D654" s="3" t="str">
        <f t="shared" si="10"/>
        <v/>
      </c>
    </row>
    <row r="655" spans="1:4" ht="14.25" customHeight="1" x14ac:dyDescent="0.3">
      <c r="A655" s="9" t="str">
        <f>IF(OR(A654="",B654=""),"",A654)</f>
        <v/>
      </c>
      <c r="B655" s="9" t="str">
        <f>IF(B654="","",IF(B654="1-2","3-4",IF(B654="3-4","1-2","")))</f>
        <v/>
      </c>
      <c r="C655" s="19" t="str">
        <f>IF(OR(A654="",C654=""),"",100-C654)</f>
        <v/>
      </c>
      <c r="D655" s="3" t="str">
        <f t="shared" si="10"/>
        <v>INVALID PERCENT</v>
      </c>
    </row>
    <row r="656" spans="1:4" ht="14.25" customHeight="1" x14ac:dyDescent="0.3">
      <c r="A656" s="7"/>
      <c r="B656" s="7"/>
      <c r="C656" s="18"/>
      <c r="D656" s="3" t="str">
        <f t="shared" si="10"/>
        <v/>
      </c>
    </row>
    <row r="657" spans="1:4" ht="14.25" customHeight="1" x14ac:dyDescent="0.3">
      <c r="A657" s="9" t="str">
        <f>IF(OR(A656="",B656=""),"",A656)</f>
        <v/>
      </c>
      <c r="B657" s="9" t="str">
        <f>IF(B656="","",IF(B656="1-2","3-4",IF(B656="3-4","1-2","")))</f>
        <v/>
      </c>
      <c r="C657" s="19" t="str">
        <f>IF(OR(A656="",C656=""),"",100-C656)</f>
        <v/>
      </c>
      <c r="D657" s="3" t="str">
        <f t="shared" si="10"/>
        <v>INVALID PERCENT</v>
      </c>
    </row>
    <row r="658" spans="1:4" ht="14.25" customHeight="1" x14ac:dyDescent="0.3">
      <c r="A658" s="7"/>
      <c r="B658" s="7"/>
      <c r="C658" s="18"/>
      <c r="D658" s="3" t="str">
        <f t="shared" si="10"/>
        <v/>
      </c>
    </row>
    <row r="659" spans="1:4" ht="14.25" customHeight="1" x14ac:dyDescent="0.3">
      <c r="A659" s="9" t="str">
        <f>IF(OR(A658="",B658=""),"",A658)</f>
        <v/>
      </c>
      <c r="B659" s="9" t="str">
        <f>IF(B658="","",IF(B658="1-2","3-4",IF(B658="3-4","1-2","")))</f>
        <v/>
      </c>
      <c r="C659" s="19" t="str">
        <f>IF(OR(A658="",C658=""),"",100-C658)</f>
        <v/>
      </c>
      <c r="D659" s="3" t="str">
        <f t="shared" si="10"/>
        <v>INVALID PERCENT</v>
      </c>
    </row>
    <row r="660" spans="1:4" ht="14.25" customHeight="1" x14ac:dyDescent="0.3">
      <c r="A660" s="7"/>
      <c r="B660" s="7"/>
      <c r="C660" s="18"/>
      <c r="D660" s="3" t="str">
        <f t="shared" si="10"/>
        <v/>
      </c>
    </row>
    <row r="661" spans="1:4" ht="14.25" customHeight="1" x14ac:dyDescent="0.3">
      <c r="A661" s="9" t="str">
        <f>IF(OR(A660="",B660=""),"",A660)</f>
        <v/>
      </c>
      <c r="B661" s="9" t="str">
        <f>IF(B660="","",IF(B660="1-2","3-4",IF(B660="3-4","1-2","")))</f>
        <v/>
      </c>
      <c r="C661" s="19" t="str">
        <f>IF(OR(A660="",C660=""),"",100-C660)</f>
        <v/>
      </c>
      <c r="D661" s="3" t="str">
        <f t="shared" si="10"/>
        <v>INVALID PERCENT</v>
      </c>
    </row>
    <row r="662" spans="1:4" ht="14.25" customHeight="1" x14ac:dyDescent="0.3">
      <c r="A662" s="7"/>
      <c r="B662" s="7"/>
      <c r="C662" s="18"/>
      <c r="D662" s="3" t="str">
        <f t="shared" si="10"/>
        <v/>
      </c>
    </row>
    <row r="663" spans="1:4" ht="14.25" customHeight="1" x14ac:dyDescent="0.3">
      <c r="A663" s="9" t="str">
        <f>IF(OR(A662="",B662=""),"",A662)</f>
        <v/>
      </c>
      <c r="B663" s="9" t="str">
        <f>IF(B662="","",IF(B662="1-2","3-4",IF(B662="3-4","1-2","")))</f>
        <v/>
      </c>
      <c r="C663" s="19" t="str">
        <f>IF(OR(A662="",C662=""),"",100-C662)</f>
        <v/>
      </c>
      <c r="D663" s="3" t="str">
        <f t="shared" si="10"/>
        <v>INVALID PERCENT</v>
      </c>
    </row>
    <row r="664" spans="1:4" ht="14.25" customHeight="1" x14ac:dyDescent="0.3">
      <c r="A664" s="7"/>
      <c r="B664" s="7"/>
      <c r="C664" s="18"/>
      <c r="D664" s="3" t="str">
        <f t="shared" si="10"/>
        <v/>
      </c>
    </row>
    <row r="665" spans="1:4" ht="14.25" customHeight="1" x14ac:dyDescent="0.3">
      <c r="A665" s="9" t="str">
        <f>IF(OR(A664="",B664=""),"",A664)</f>
        <v/>
      </c>
      <c r="B665" s="9" t="str">
        <f>IF(B664="","",IF(B664="1-2","3-4",IF(B664="3-4","1-2","")))</f>
        <v/>
      </c>
      <c r="C665" s="19" t="str">
        <f>IF(OR(A664="",C664=""),"",100-C664)</f>
        <v/>
      </c>
      <c r="D665" s="3" t="str">
        <f t="shared" si="10"/>
        <v>INVALID PERCENT</v>
      </c>
    </row>
    <row r="666" spans="1:4" ht="14.25" customHeight="1" x14ac:dyDescent="0.3">
      <c r="A666" s="7"/>
      <c r="B666" s="7"/>
      <c r="C666" s="18"/>
      <c r="D666" s="3" t="str">
        <f t="shared" si="10"/>
        <v/>
      </c>
    </row>
    <row r="667" spans="1:4" ht="14.25" customHeight="1" x14ac:dyDescent="0.3">
      <c r="A667" s="9" t="str">
        <f>IF(OR(A666="",B666=""),"",A666)</f>
        <v/>
      </c>
      <c r="B667" s="9" t="str">
        <f>IF(B666="","",IF(B666="1-2","3-4",IF(B666="3-4","1-2","")))</f>
        <v/>
      </c>
      <c r="C667" s="19" t="str">
        <f>IF(OR(A666="",C666=""),"",100-C666)</f>
        <v/>
      </c>
      <c r="D667" s="3" t="str">
        <f t="shared" si="10"/>
        <v>INVALID PERCENT</v>
      </c>
    </row>
    <row r="668" spans="1:4" ht="14.25" customHeight="1" x14ac:dyDescent="0.3">
      <c r="A668" s="7"/>
      <c r="B668" s="7"/>
      <c r="C668" s="18"/>
      <c r="D668" s="3" t="str">
        <f t="shared" si="10"/>
        <v/>
      </c>
    </row>
    <row r="669" spans="1:4" ht="14.25" customHeight="1" x14ac:dyDescent="0.3">
      <c r="A669" s="9" t="str">
        <f>IF(OR(A668="",B668=""),"",A668)</f>
        <v/>
      </c>
      <c r="B669" s="9" t="str">
        <f>IF(B668="","",IF(B668="1-2","3-4",IF(B668="3-4","1-2","")))</f>
        <v/>
      </c>
      <c r="C669" s="19" t="str">
        <f>IF(OR(A668="",C668=""),"",100-C668)</f>
        <v/>
      </c>
      <c r="D669" s="3" t="str">
        <f t="shared" si="10"/>
        <v>INVALID PERCENT</v>
      </c>
    </row>
    <row r="670" spans="1:4" ht="14.25" customHeight="1" x14ac:dyDescent="0.3">
      <c r="A670" s="7"/>
      <c r="B670" s="7"/>
      <c r="C670" s="18"/>
      <c r="D670" s="3" t="str">
        <f t="shared" si="10"/>
        <v/>
      </c>
    </row>
    <row r="671" spans="1:4" ht="14.25" customHeight="1" x14ac:dyDescent="0.3">
      <c r="A671" s="9" t="str">
        <f>IF(OR(A670="",B670=""),"",A670)</f>
        <v/>
      </c>
      <c r="B671" s="9" t="str">
        <f>IF(B670="","",IF(B670="1-2","3-4",IF(B670="3-4","1-2","")))</f>
        <v/>
      </c>
      <c r="C671" s="19" t="str">
        <f>IF(OR(A670="",C670=""),"",100-C670)</f>
        <v/>
      </c>
      <c r="D671" s="3" t="str">
        <f t="shared" si="10"/>
        <v>INVALID PERCENT</v>
      </c>
    </row>
    <row r="672" spans="1:4" ht="14.25" customHeight="1" x14ac:dyDescent="0.3">
      <c r="A672" s="7"/>
      <c r="B672" s="7"/>
      <c r="C672" s="18"/>
      <c r="D672" s="3" t="str">
        <f t="shared" si="10"/>
        <v/>
      </c>
    </row>
    <row r="673" spans="1:4" ht="14.25" customHeight="1" x14ac:dyDescent="0.3">
      <c r="A673" s="9" t="str">
        <f>IF(OR(A672="",B672=""),"",A672)</f>
        <v/>
      </c>
      <c r="B673" s="9" t="str">
        <f>IF(B672="","",IF(B672="1-2","3-4",IF(B672="3-4","1-2","")))</f>
        <v/>
      </c>
      <c r="C673" s="19" t="str">
        <f>IF(OR(A672="",C672=""),"",100-C672)</f>
        <v/>
      </c>
      <c r="D673" s="3" t="str">
        <f t="shared" si="10"/>
        <v>INVALID PERCENT</v>
      </c>
    </row>
    <row r="674" spans="1:4" ht="14.25" customHeight="1" x14ac:dyDescent="0.3">
      <c r="A674" s="7"/>
      <c r="B674" s="7"/>
      <c r="C674" s="18"/>
      <c r="D674" s="3" t="str">
        <f t="shared" si="10"/>
        <v/>
      </c>
    </row>
    <row r="675" spans="1:4" ht="14.25" customHeight="1" x14ac:dyDescent="0.3">
      <c r="A675" s="9" t="str">
        <f>IF(OR(A674="",B674=""),"",A674)</f>
        <v/>
      </c>
      <c r="B675" s="9" t="str">
        <f>IF(B674="","",IF(B674="1-2","3-4",IF(B674="3-4","1-2","")))</f>
        <v/>
      </c>
      <c r="C675" s="19" t="str">
        <f>IF(OR(A674="",C674=""),"",100-C674)</f>
        <v/>
      </c>
      <c r="D675" s="3" t="str">
        <f t="shared" si="10"/>
        <v>INVALID PERCENT</v>
      </c>
    </row>
    <row r="676" spans="1:4" ht="14.25" customHeight="1" x14ac:dyDescent="0.3">
      <c r="A676" s="7"/>
      <c r="B676" s="7"/>
      <c r="C676" s="18"/>
      <c r="D676" s="3" t="str">
        <f t="shared" si="10"/>
        <v/>
      </c>
    </row>
    <row r="677" spans="1:4" ht="14.25" customHeight="1" x14ac:dyDescent="0.3">
      <c r="A677" s="9" t="str">
        <f>IF(OR(A676="",B676=""),"",A676)</f>
        <v/>
      </c>
      <c r="B677" s="9" t="str">
        <f>IF(B676="","",IF(B676="1-2","3-4",IF(B676="3-4","1-2","")))</f>
        <v/>
      </c>
      <c r="C677" s="19" t="str">
        <f>IF(OR(A676="",C676=""),"",100-C676)</f>
        <v/>
      </c>
      <c r="D677" s="3" t="str">
        <f t="shared" si="10"/>
        <v>INVALID PERCENT</v>
      </c>
    </row>
    <row r="678" spans="1:4" ht="14.25" customHeight="1" x14ac:dyDescent="0.3">
      <c r="A678" s="7"/>
      <c r="B678" s="7"/>
      <c r="C678" s="18"/>
      <c r="D678" s="3" t="str">
        <f t="shared" si="10"/>
        <v/>
      </c>
    </row>
    <row r="679" spans="1:4" ht="14.25" customHeight="1" x14ac:dyDescent="0.3">
      <c r="A679" s="9" t="str">
        <f>IF(OR(A678="",B678=""),"",A678)</f>
        <v/>
      </c>
      <c r="B679" s="9" t="str">
        <f>IF(B678="","",IF(B678="1-2","3-4",IF(B678="3-4","1-2","")))</f>
        <v/>
      </c>
      <c r="C679" s="19" t="str">
        <f>IF(OR(A678="",C678=""),"",100-C678)</f>
        <v/>
      </c>
      <c r="D679" s="3" t="str">
        <f t="shared" si="10"/>
        <v>INVALID PERCENT</v>
      </c>
    </row>
    <row r="680" spans="1:4" ht="14.25" customHeight="1" x14ac:dyDescent="0.3">
      <c r="A680" s="7"/>
      <c r="B680" s="7"/>
      <c r="C680" s="18"/>
      <c r="D680" s="3" t="str">
        <f t="shared" si="10"/>
        <v/>
      </c>
    </row>
    <row r="681" spans="1:4" ht="14.25" customHeight="1" x14ac:dyDescent="0.3">
      <c r="A681" s="9" t="str">
        <f>IF(OR(A680="",B680=""),"",A680)</f>
        <v/>
      </c>
      <c r="B681" s="9" t="str">
        <f>IF(B680="","",IF(B680="1-2","3-4",IF(B680="3-4","1-2","")))</f>
        <v/>
      </c>
      <c r="C681" s="19" t="str">
        <f>IF(OR(A680="",C680=""),"",100-C680)</f>
        <v/>
      </c>
      <c r="D681" s="3" t="str">
        <f t="shared" si="10"/>
        <v>INVALID PERCENT</v>
      </c>
    </row>
    <row r="682" spans="1:4" ht="14.25" customHeight="1" x14ac:dyDescent="0.3">
      <c r="A682" s="7"/>
      <c r="B682" s="7"/>
      <c r="C682" s="18"/>
      <c r="D682" s="3" t="str">
        <f t="shared" si="10"/>
        <v/>
      </c>
    </row>
    <row r="683" spans="1:4" ht="14.25" customHeight="1" x14ac:dyDescent="0.3">
      <c r="A683" s="9" t="str">
        <f>IF(OR(A682="",B682=""),"",A682)</f>
        <v/>
      </c>
      <c r="B683" s="9" t="str">
        <f>IF(B682="","",IF(B682="1-2","3-4",IF(B682="3-4","1-2","")))</f>
        <v/>
      </c>
      <c r="C683" s="19" t="str">
        <f>IF(OR(A682="",C682=""),"",100-C682)</f>
        <v/>
      </c>
      <c r="D683" s="3" t="str">
        <f t="shared" si="10"/>
        <v>INVALID PERCENT</v>
      </c>
    </row>
    <row r="684" spans="1:4" ht="14.25" customHeight="1" x14ac:dyDescent="0.3">
      <c r="A684" s="7"/>
      <c r="B684" s="7"/>
      <c r="C684" s="18"/>
      <c r="D684" s="3" t="str">
        <f t="shared" si="10"/>
        <v/>
      </c>
    </row>
    <row r="685" spans="1:4" ht="14.25" customHeight="1" x14ac:dyDescent="0.3">
      <c r="A685" s="9" t="str">
        <f>IF(OR(A684="",B684=""),"",A684)</f>
        <v/>
      </c>
      <c r="B685" s="9" t="str">
        <f>IF(B684="","",IF(B684="1-2","3-4",IF(B684="3-4","1-2","")))</f>
        <v/>
      </c>
      <c r="C685" s="19" t="str">
        <f>IF(OR(A684="",C684=""),"",100-C684)</f>
        <v/>
      </c>
      <c r="D685" s="3" t="str">
        <f t="shared" si="10"/>
        <v>INVALID PERCENT</v>
      </c>
    </row>
    <row r="686" spans="1:4" ht="14.25" customHeight="1" x14ac:dyDescent="0.3">
      <c r="A686" s="7"/>
      <c r="B686" s="7"/>
      <c r="C686" s="18"/>
      <c r="D686" s="3" t="str">
        <f t="shared" si="10"/>
        <v/>
      </c>
    </row>
    <row r="687" spans="1:4" ht="14.25" customHeight="1" x14ac:dyDescent="0.3">
      <c r="A687" s="9" t="str">
        <f>IF(OR(A686="",B686=""),"",A686)</f>
        <v/>
      </c>
      <c r="B687" s="9" t="str">
        <f>IF(B686="","",IF(B686="1-2","3-4",IF(B686="3-4","1-2","")))</f>
        <v/>
      </c>
      <c r="C687" s="19" t="str">
        <f>IF(OR(A686="",C686=""),"",100-C686)</f>
        <v/>
      </c>
      <c r="D687" s="3" t="str">
        <f t="shared" si="10"/>
        <v>INVALID PERCENT</v>
      </c>
    </row>
    <row r="688" spans="1:4" ht="14.25" customHeight="1" x14ac:dyDescent="0.3">
      <c r="A688" s="7"/>
      <c r="B688" s="7"/>
      <c r="C688" s="18"/>
      <c r="D688" s="3" t="str">
        <f t="shared" si="10"/>
        <v/>
      </c>
    </row>
    <row r="689" spans="1:4" ht="14.25" customHeight="1" x14ac:dyDescent="0.3">
      <c r="A689" s="9" t="str">
        <f>IF(OR(A688="",B688=""),"",A688)</f>
        <v/>
      </c>
      <c r="B689" s="9" t="str">
        <f>IF(B688="","",IF(B688="1-2","3-4",IF(B688="3-4","1-2","")))</f>
        <v/>
      </c>
      <c r="C689" s="19" t="str">
        <f>IF(OR(A688="",C688=""),"",100-C688)</f>
        <v/>
      </c>
      <c r="D689" s="3" t="str">
        <f t="shared" si="10"/>
        <v>INVALID PERCENT</v>
      </c>
    </row>
    <row r="690" spans="1:4" ht="14.25" customHeight="1" x14ac:dyDescent="0.3">
      <c r="A690" s="7"/>
      <c r="B690" s="7"/>
      <c r="C690" s="18"/>
      <c r="D690" s="3" t="str">
        <f t="shared" si="10"/>
        <v/>
      </c>
    </row>
    <row r="691" spans="1:4" ht="14.25" customHeight="1" x14ac:dyDescent="0.3">
      <c r="A691" s="9" t="str">
        <f>IF(OR(A690="",B690=""),"",A690)</f>
        <v/>
      </c>
      <c r="B691" s="9" t="str">
        <f>IF(B690="","",IF(B690="1-2","3-4",IF(B690="3-4","1-2","")))</f>
        <v/>
      </c>
      <c r="C691" s="19" t="str">
        <f>IF(OR(A690="",C690=""),"",100-C690)</f>
        <v/>
      </c>
      <c r="D691" s="3" t="str">
        <f t="shared" si="10"/>
        <v>INVALID PERCENT</v>
      </c>
    </row>
    <row r="692" spans="1:4" ht="14.25" customHeight="1" x14ac:dyDescent="0.3">
      <c r="A692" s="7"/>
      <c r="B692" s="7"/>
      <c r="C692" s="18"/>
      <c r="D692" s="3" t="str">
        <f t="shared" si="10"/>
        <v/>
      </c>
    </row>
    <row r="693" spans="1:4" ht="14.25" customHeight="1" x14ac:dyDescent="0.3">
      <c r="A693" s="9" t="str">
        <f>IF(OR(A692="",B692=""),"",A692)</f>
        <v/>
      </c>
      <c r="B693" s="9" t="str">
        <f>IF(B692="","",IF(B692="1-2","3-4",IF(B692="3-4","1-2","")))</f>
        <v/>
      </c>
      <c r="C693" s="19" t="str">
        <f>IF(OR(A692="",C692=""),"",100-C692)</f>
        <v/>
      </c>
      <c r="D693" s="3" t="str">
        <f t="shared" si="10"/>
        <v>INVALID PERCENT</v>
      </c>
    </row>
    <row r="694" spans="1:4" ht="14.25" customHeight="1" x14ac:dyDescent="0.3">
      <c r="A694" s="7"/>
      <c r="B694" s="7"/>
      <c r="C694" s="18"/>
      <c r="D694" s="3" t="str">
        <f t="shared" si="10"/>
        <v/>
      </c>
    </row>
    <row r="695" spans="1:4" ht="14.25" customHeight="1" x14ac:dyDescent="0.3">
      <c r="A695" s="9" t="str">
        <f>IF(OR(A694="",B694=""),"",A694)</f>
        <v/>
      </c>
      <c r="B695" s="9" t="str">
        <f>IF(B694="","",IF(B694="1-2","3-4",IF(B694="3-4","1-2","")))</f>
        <v/>
      </c>
      <c r="C695" s="19" t="str">
        <f>IF(OR(A694="",C694=""),"",100-C694)</f>
        <v/>
      </c>
      <c r="D695" s="3" t="str">
        <f t="shared" si="10"/>
        <v>INVALID PERCENT</v>
      </c>
    </row>
    <row r="696" spans="1:4" ht="14.25" customHeight="1" x14ac:dyDescent="0.3">
      <c r="A696" s="7"/>
      <c r="B696" s="7"/>
      <c r="C696" s="18"/>
      <c r="D696" s="3" t="str">
        <f t="shared" si="10"/>
        <v/>
      </c>
    </row>
    <row r="697" spans="1:4" ht="14.25" customHeight="1" x14ac:dyDescent="0.3">
      <c r="A697" s="9" t="str">
        <f>IF(OR(A696="",B696=""),"",A696)</f>
        <v/>
      </c>
      <c r="B697" s="9" t="str">
        <f>IF(B696="","",IF(B696="1-2","3-4",IF(B696="3-4","1-2","")))</f>
        <v/>
      </c>
      <c r="C697" s="19" t="str">
        <f>IF(OR(A696="",C696=""),"",100-C696)</f>
        <v/>
      </c>
      <c r="D697" s="3" t="str">
        <f t="shared" si="10"/>
        <v>INVALID PERCENT</v>
      </c>
    </row>
    <row r="698" spans="1:4" ht="14.25" customHeight="1" x14ac:dyDescent="0.3">
      <c r="A698" s="7"/>
      <c r="B698" s="7"/>
      <c r="C698" s="18"/>
      <c r="D698" s="3" t="str">
        <f t="shared" si="10"/>
        <v/>
      </c>
    </row>
    <row r="699" spans="1:4" ht="14.25" customHeight="1" x14ac:dyDescent="0.3">
      <c r="A699" s="9" t="str">
        <f>IF(OR(A698="",B698=""),"",A698)</f>
        <v/>
      </c>
      <c r="B699" s="9" t="str">
        <f>IF(B698="","",IF(B698="1-2","3-4",IF(B698="3-4","1-2","")))</f>
        <v/>
      </c>
      <c r="C699" s="19" t="str">
        <f>IF(OR(A698="",C698=""),"",100-C698)</f>
        <v/>
      </c>
      <c r="D699" s="3" t="str">
        <f t="shared" si="10"/>
        <v>INVALID PERCENT</v>
      </c>
    </row>
    <row r="700" spans="1:4" ht="14.25" customHeight="1" x14ac:dyDescent="0.3">
      <c r="A700" s="7"/>
      <c r="B700" s="7"/>
      <c r="C700" s="18"/>
      <c r="D700" s="3" t="str">
        <f t="shared" si="10"/>
        <v/>
      </c>
    </row>
    <row r="701" spans="1:4" ht="14.25" customHeight="1" x14ac:dyDescent="0.3">
      <c r="A701" s="9" t="str">
        <f>IF(OR(A700="",B700=""),"",A700)</f>
        <v/>
      </c>
      <c r="B701" s="9" t="str">
        <f>IF(B700="","",IF(B700="1-2","3-4",IF(B700="3-4","1-2","")))</f>
        <v/>
      </c>
      <c r="C701" s="19" t="str">
        <f>IF(OR(A700="",C700=""),"",100-C700)</f>
        <v/>
      </c>
      <c r="D701" s="3" t="str">
        <f t="shared" si="10"/>
        <v>INVALID PERCENT</v>
      </c>
    </row>
    <row r="702" spans="1:4" ht="14.25" customHeight="1" x14ac:dyDescent="0.3">
      <c r="A702" s="7"/>
      <c r="B702" s="7"/>
      <c r="C702" s="18"/>
      <c r="D702" s="3" t="str">
        <f t="shared" si="10"/>
        <v/>
      </c>
    </row>
    <row r="703" spans="1:4" ht="14.25" customHeight="1" x14ac:dyDescent="0.3">
      <c r="A703" s="9" t="str">
        <f>IF(OR(A702="",B702=""),"",A702)</f>
        <v/>
      </c>
      <c r="B703" s="9" t="str">
        <f>IF(B702="","",IF(B702="1-2","3-4",IF(B702="3-4","1-2","")))</f>
        <v/>
      </c>
      <c r="C703" s="19" t="str">
        <f>IF(OR(A702="",C702=""),"",100-C702)</f>
        <v/>
      </c>
      <c r="D703" s="3" t="str">
        <f t="shared" si="10"/>
        <v>INVALID PERCENT</v>
      </c>
    </row>
    <row r="704" spans="1:4" ht="14.25" customHeight="1" x14ac:dyDescent="0.3">
      <c r="A704" s="7"/>
      <c r="B704" s="7"/>
      <c r="C704" s="18"/>
      <c r="D704" s="3" t="str">
        <f t="shared" si="10"/>
        <v/>
      </c>
    </row>
    <row r="705" spans="1:4" ht="14.25" customHeight="1" x14ac:dyDescent="0.3">
      <c r="A705" s="9" t="str">
        <f>IF(OR(A704="",B704=""),"",A704)</f>
        <v/>
      </c>
      <c r="B705" s="9" t="str">
        <f>IF(B704="","",IF(B704="1-2","3-4",IF(B704="3-4","1-2","")))</f>
        <v/>
      </c>
      <c r="C705" s="19" t="str">
        <f>IF(OR(A704="",C704=""),"",100-C704)</f>
        <v/>
      </c>
      <c r="D705" s="3" t="str">
        <f t="shared" si="10"/>
        <v>INVALID PERCENT</v>
      </c>
    </row>
    <row r="706" spans="1:4" ht="14.25" customHeight="1" x14ac:dyDescent="0.3">
      <c r="A706" s="7"/>
      <c r="B706" s="7"/>
      <c r="C706" s="18"/>
      <c r="D706" s="3" t="str">
        <f t="shared" ref="D706:D769" si="11">IF(COUNTA(A706:C706)=0,"",IF(OR(C706&lt;0,C706&gt;100),"INVALID PERCENT",IF(COUNTIFS($A$2:$A$1000,A706,$B$2:$B$1000,B706)&gt;1,"DUPLICATE ROOM/GROUP","OK")))</f>
        <v/>
      </c>
    </row>
    <row r="707" spans="1:4" ht="14.25" customHeight="1" x14ac:dyDescent="0.3">
      <c r="A707" s="9" t="str">
        <f>IF(OR(A706="",B706=""),"",A706)</f>
        <v/>
      </c>
      <c r="B707" s="9" t="str">
        <f>IF(B706="","",IF(B706="1-2","3-4",IF(B706="3-4","1-2","")))</f>
        <v/>
      </c>
      <c r="C707" s="19" t="str">
        <f>IF(OR(A706="",C706=""),"",100-C706)</f>
        <v/>
      </c>
      <c r="D707" s="3" t="str">
        <f t="shared" si="11"/>
        <v>INVALID PERCENT</v>
      </c>
    </row>
    <row r="708" spans="1:4" ht="14.25" customHeight="1" x14ac:dyDescent="0.3">
      <c r="A708" s="7"/>
      <c r="B708" s="7"/>
      <c r="C708" s="18"/>
      <c r="D708" s="3" t="str">
        <f t="shared" si="11"/>
        <v/>
      </c>
    </row>
    <row r="709" spans="1:4" ht="14.25" customHeight="1" x14ac:dyDescent="0.3">
      <c r="A709" s="9" t="str">
        <f>IF(OR(A708="",B708=""),"",A708)</f>
        <v/>
      </c>
      <c r="B709" s="9" t="str">
        <f>IF(B708="","",IF(B708="1-2","3-4",IF(B708="3-4","1-2","")))</f>
        <v/>
      </c>
      <c r="C709" s="19" t="str">
        <f>IF(OR(A708="",C708=""),"",100-C708)</f>
        <v/>
      </c>
      <c r="D709" s="3" t="str">
        <f t="shared" si="11"/>
        <v>INVALID PERCENT</v>
      </c>
    </row>
    <row r="710" spans="1:4" ht="14.25" customHeight="1" x14ac:dyDescent="0.3">
      <c r="A710" s="7"/>
      <c r="B710" s="7"/>
      <c r="C710" s="18"/>
      <c r="D710" s="3" t="str">
        <f t="shared" si="11"/>
        <v/>
      </c>
    </row>
    <row r="711" spans="1:4" ht="14.25" customHeight="1" x14ac:dyDescent="0.3">
      <c r="A711" s="9" t="str">
        <f>IF(OR(A710="",B710=""),"",A710)</f>
        <v/>
      </c>
      <c r="B711" s="9" t="str">
        <f>IF(B710="","",IF(B710="1-2","3-4",IF(B710="3-4","1-2","")))</f>
        <v/>
      </c>
      <c r="C711" s="19" t="str">
        <f>IF(OR(A710="",C710=""),"",100-C710)</f>
        <v/>
      </c>
      <c r="D711" s="3" t="str">
        <f t="shared" si="11"/>
        <v>INVALID PERCENT</v>
      </c>
    </row>
    <row r="712" spans="1:4" ht="14.25" customHeight="1" x14ac:dyDescent="0.3">
      <c r="A712" s="7"/>
      <c r="B712" s="7"/>
      <c r="C712" s="18"/>
      <c r="D712" s="3" t="str">
        <f t="shared" si="11"/>
        <v/>
      </c>
    </row>
    <row r="713" spans="1:4" ht="14.25" customHeight="1" x14ac:dyDescent="0.3">
      <c r="A713" s="9" t="str">
        <f>IF(OR(A712="",B712=""),"",A712)</f>
        <v/>
      </c>
      <c r="B713" s="9" t="str">
        <f>IF(B712="","",IF(B712="1-2","3-4",IF(B712="3-4","1-2","")))</f>
        <v/>
      </c>
      <c r="C713" s="19" t="str">
        <f>IF(OR(A712="",C712=""),"",100-C712)</f>
        <v/>
      </c>
      <c r="D713" s="3" t="str">
        <f t="shared" si="11"/>
        <v>INVALID PERCENT</v>
      </c>
    </row>
    <row r="714" spans="1:4" ht="14.25" customHeight="1" x14ac:dyDescent="0.3">
      <c r="A714" s="7"/>
      <c r="B714" s="7"/>
      <c r="C714" s="18"/>
      <c r="D714" s="3" t="str">
        <f t="shared" si="11"/>
        <v/>
      </c>
    </row>
    <row r="715" spans="1:4" ht="14.25" customHeight="1" x14ac:dyDescent="0.3">
      <c r="A715" s="9" t="str">
        <f>IF(OR(A714="",B714=""),"",A714)</f>
        <v/>
      </c>
      <c r="B715" s="9" t="str">
        <f>IF(B714="","",IF(B714="1-2","3-4",IF(B714="3-4","1-2","")))</f>
        <v/>
      </c>
      <c r="C715" s="19" t="str">
        <f>IF(OR(A714="",C714=""),"",100-C714)</f>
        <v/>
      </c>
      <c r="D715" s="3" t="str">
        <f t="shared" si="11"/>
        <v>INVALID PERCENT</v>
      </c>
    </row>
    <row r="716" spans="1:4" ht="14.25" customHeight="1" x14ac:dyDescent="0.3">
      <c r="A716" s="7"/>
      <c r="B716" s="7"/>
      <c r="C716" s="18"/>
      <c r="D716" s="3" t="str">
        <f t="shared" si="11"/>
        <v/>
      </c>
    </row>
    <row r="717" spans="1:4" ht="14.25" customHeight="1" x14ac:dyDescent="0.3">
      <c r="A717" s="9" t="str">
        <f>IF(OR(A716="",B716=""),"",A716)</f>
        <v/>
      </c>
      <c r="B717" s="9" t="str">
        <f>IF(B716="","",IF(B716="1-2","3-4",IF(B716="3-4","1-2","")))</f>
        <v/>
      </c>
      <c r="C717" s="19" t="str">
        <f>IF(OR(A716="",C716=""),"",100-C716)</f>
        <v/>
      </c>
      <c r="D717" s="3" t="str">
        <f t="shared" si="11"/>
        <v>INVALID PERCENT</v>
      </c>
    </row>
    <row r="718" spans="1:4" ht="14.25" customHeight="1" x14ac:dyDescent="0.3">
      <c r="A718" s="7"/>
      <c r="B718" s="7"/>
      <c r="C718" s="18"/>
      <c r="D718" s="3" t="str">
        <f t="shared" si="11"/>
        <v/>
      </c>
    </row>
    <row r="719" spans="1:4" ht="14.25" customHeight="1" x14ac:dyDescent="0.3">
      <c r="A719" s="9" t="str">
        <f>IF(OR(A718="",B718=""),"",A718)</f>
        <v/>
      </c>
      <c r="B719" s="9" t="str">
        <f>IF(B718="","",IF(B718="1-2","3-4",IF(B718="3-4","1-2","")))</f>
        <v/>
      </c>
      <c r="C719" s="19" t="str">
        <f>IF(OR(A718="",C718=""),"",100-C718)</f>
        <v/>
      </c>
      <c r="D719" s="3" t="str">
        <f t="shared" si="11"/>
        <v>INVALID PERCENT</v>
      </c>
    </row>
    <row r="720" spans="1:4" ht="14.25" customHeight="1" x14ac:dyDescent="0.3">
      <c r="A720" s="7"/>
      <c r="B720" s="7"/>
      <c r="C720" s="18"/>
      <c r="D720" s="3" t="str">
        <f t="shared" si="11"/>
        <v/>
      </c>
    </row>
    <row r="721" spans="1:4" ht="14.25" customHeight="1" x14ac:dyDescent="0.3">
      <c r="A721" s="9" t="str">
        <f>IF(OR(A720="",B720=""),"",A720)</f>
        <v/>
      </c>
      <c r="B721" s="9" t="str">
        <f>IF(B720="","",IF(B720="1-2","3-4",IF(B720="3-4","1-2","")))</f>
        <v/>
      </c>
      <c r="C721" s="19" t="str">
        <f>IF(OR(A720="",C720=""),"",100-C720)</f>
        <v/>
      </c>
      <c r="D721" s="3" t="str">
        <f t="shared" si="11"/>
        <v>INVALID PERCENT</v>
      </c>
    </row>
    <row r="722" spans="1:4" ht="14.25" customHeight="1" x14ac:dyDescent="0.3">
      <c r="A722" s="7"/>
      <c r="B722" s="7"/>
      <c r="C722" s="18"/>
      <c r="D722" s="3" t="str">
        <f t="shared" si="11"/>
        <v/>
      </c>
    </row>
    <row r="723" spans="1:4" ht="14.25" customHeight="1" x14ac:dyDescent="0.3">
      <c r="A723" s="9" t="str">
        <f>IF(OR(A722="",B722=""),"",A722)</f>
        <v/>
      </c>
      <c r="B723" s="9" t="str">
        <f>IF(B722="","",IF(B722="1-2","3-4",IF(B722="3-4","1-2","")))</f>
        <v/>
      </c>
      <c r="C723" s="19" t="str">
        <f>IF(OR(A722="",C722=""),"",100-C722)</f>
        <v/>
      </c>
      <c r="D723" s="3" t="str">
        <f t="shared" si="11"/>
        <v>INVALID PERCENT</v>
      </c>
    </row>
    <row r="724" spans="1:4" ht="14.25" customHeight="1" x14ac:dyDescent="0.3">
      <c r="A724" s="7"/>
      <c r="B724" s="7"/>
      <c r="C724" s="18"/>
      <c r="D724" s="3" t="str">
        <f t="shared" si="11"/>
        <v/>
      </c>
    </row>
    <row r="725" spans="1:4" ht="14.25" customHeight="1" x14ac:dyDescent="0.3">
      <c r="A725" s="9" t="str">
        <f>IF(OR(A724="",B724=""),"",A724)</f>
        <v/>
      </c>
      <c r="B725" s="9" t="str">
        <f>IF(B724="","",IF(B724="1-2","3-4",IF(B724="3-4","1-2","")))</f>
        <v/>
      </c>
      <c r="C725" s="19" t="str">
        <f>IF(OR(A724="",C724=""),"",100-C724)</f>
        <v/>
      </c>
      <c r="D725" s="3" t="str">
        <f t="shared" si="11"/>
        <v>INVALID PERCENT</v>
      </c>
    </row>
    <row r="726" spans="1:4" ht="14.25" customHeight="1" x14ac:dyDescent="0.3">
      <c r="A726" s="7"/>
      <c r="B726" s="7"/>
      <c r="C726" s="18"/>
      <c r="D726" s="3" t="str">
        <f t="shared" si="11"/>
        <v/>
      </c>
    </row>
    <row r="727" spans="1:4" ht="14.25" customHeight="1" x14ac:dyDescent="0.3">
      <c r="A727" s="9" t="str">
        <f>IF(OR(A726="",B726=""),"",A726)</f>
        <v/>
      </c>
      <c r="B727" s="9" t="str">
        <f>IF(B726="","",IF(B726="1-2","3-4",IF(B726="3-4","1-2","")))</f>
        <v/>
      </c>
      <c r="C727" s="19" t="str">
        <f>IF(OR(A726="",C726=""),"",100-C726)</f>
        <v/>
      </c>
      <c r="D727" s="3" t="str">
        <f t="shared" si="11"/>
        <v>INVALID PERCENT</v>
      </c>
    </row>
    <row r="728" spans="1:4" ht="14.25" customHeight="1" x14ac:dyDescent="0.3">
      <c r="A728" s="7"/>
      <c r="B728" s="7"/>
      <c r="C728" s="18"/>
      <c r="D728" s="3" t="str">
        <f t="shared" si="11"/>
        <v/>
      </c>
    </row>
    <row r="729" spans="1:4" ht="14.25" customHeight="1" x14ac:dyDescent="0.3">
      <c r="A729" s="9" t="str">
        <f>IF(OR(A728="",B728=""),"",A728)</f>
        <v/>
      </c>
      <c r="B729" s="9" t="str">
        <f>IF(B728="","",IF(B728="1-2","3-4",IF(B728="3-4","1-2","")))</f>
        <v/>
      </c>
      <c r="C729" s="19" t="str">
        <f>IF(OR(A728="",C728=""),"",100-C728)</f>
        <v/>
      </c>
      <c r="D729" s="3" t="str">
        <f t="shared" si="11"/>
        <v>INVALID PERCENT</v>
      </c>
    </row>
    <row r="730" spans="1:4" ht="14.25" customHeight="1" x14ac:dyDescent="0.3">
      <c r="A730" s="7"/>
      <c r="B730" s="7"/>
      <c r="C730" s="18"/>
      <c r="D730" s="3" t="str">
        <f t="shared" si="11"/>
        <v/>
      </c>
    </row>
    <row r="731" spans="1:4" ht="14.25" customHeight="1" x14ac:dyDescent="0.3">
      <c r="A731" s="9" t="str">
        <f>IF(OR(A730="",B730=""),"",A730)</f>
        <v/>
      </c>
      <c r="B731" s="9" t="str">
        <f>IF(B730="","",IF(B730="1-2","3-4",IF(B730="3-4","1-2","")))</f>
        <v/>
      </c>
      <c r="C731" s="19" t="str">
        <f>IF(OR(A730="",C730=""),"",100-C730)</f>
        <v/>
      </c>
      <c r="D731" s="3" t="str">
        <f t="shared" si="11"/>
        <v>INVALID PERCENT</v>
      </c>
    </row>
    <row r="732" spans="1:4" ht="14.25" customHeight="1" x14ac:dyDescent="0.3">
      <c r="A732" s="7"/>
      <c r="B732" s="7"/>
      <c r="C732" s="18"/>
      <c r="D732" s="3" t="str">
        <f t="shared" si="11"/>
        <v/>
      </c>
    </row>
    <row r="733" spans="1:4" ht="14.25" customHeight="1" x14ac:dyDescent="0.3">
      <c r="A733" s="9" t="str">
        <f>IF(OR(A732="",B732=""),"",A732)</f>
        <v/>
      </c>
      <c r="B733" s="9" t="str">
        <f>IF(B732="","",IF(B732="1-2","3-4",IF(B732="3-4","1-2","")))</f>
        <v/>
      </c>
      <c r="C733" s="19" t="str">
        <f>IF(OR(A732="",C732=""),"",100-C732)</f>
        <v/>
      </c>
      <c r="D733" s="3" t="str">
        <f t="shared" si="11"/>
        <v>INVALID PERCENT</v>
      </c>
    </row>
    <row r="734" spans="1:4" ht="14.25" customHeight="1" x14ac:dyDescent="0.3">
      <c r="A734" s="7"/>
      <c r="B734" s="7"/>
      <c r="C734" s="18"/>
      <c r="D734" s="3" t="str">
        <f t="shared" si="11"/>
        <v/>
      </c>
    </row>
    <row r="735" spans="1:4" ht="14.25" customHeight="1" x14ac:dyDescent="0.3">
      <c r="A735" s="9" t="str">
        <f>IF(OR(A734="",B734=""),"",A734)</f>
        <v/>
      </c>
      <c r="B735" s="9" t="str">
        <f>IF(B734="","",IF(B734="1-2","3-4",IF(B734="3-4","1-2","")))</f>
        <v/>
      </c>
      <c r="C735" s="19" t="str">
        <f>IF(OR(A734="",C734=""),"",100-C734)</f>
        <v/>
      </c>
      <c r="D735" s="3" t="str">
        <f t="shared" si="11"/>
        <v>INVALID PERCENT</v>
      </c>
    </row>
    <row r="736" spans="1:4" ht="14.25" customHeight="1" x14ac:dyDescent="0.3">
      <c r="A736" s="7"/>
      <c r="B736" s="7"/>
      <c r="C736" s="18"/>
      <c r="D736" s="3" t="str">
        <f t="shared" si="11"/>
        <v/>
      </c>
    </row>
    <row r="737" spans="1:4" ht="14.25" customHeight="1" x14ac:dyDescent="0.3">
      <c r="A737" s="9" t="str">
        <f>IF(OR(A736="",B736=""),"",A736)</f>
        <v/>
      </c>
      <c r="B737" s="9" t="str">
        <f>IF(B736="","",IF(B736="1-2","3-4",IF(B736="3-4","1-2","")))</f>
        <v/>
      </c>
      <c r="C737" s="19" t="str">
        <f>IF(OR(A736="",C736=""),"",100-C736)</f>
        <v/>
      </c>
      <c r="D737" s="3" t="str">
        <f t="shared" si="11"/>
        <v>INVALID PERCENT</v>
      </c>
    </row>
    <row r="738" spans="1:4" ht="14.25" customHeight="1" x14ac:dyDescent="0.3">
      <c r="A738" s="7"/>
      <c r="B738" s="7"/>
      <c r="C738" s="18"/>
      <c r="D738" s="3" t="str">
        <f t="shared" si="11"/>
        <v/>
      </c>
    </row>
    <row r="739" spans="1:4" ht="14.25" customHeight="1" x14ac:dyDescent="0.3">
      <c r="A739" s="9" t="str">
        <f>IF(OR(A738="",B738=""),"",A738)</f>
        <v/>
      </c>
      <c r="B739" s="9" t="str">
        <f>IF(B738="","",IF(B738="1-2","3-4",IF(B738="3-4","1-2","")))</f>
        <v/>
      </c>
      <c r="C739" s="19" t="str">
        <f>IF(OR(A738="",C738=""),"",100-C738)</f>
        <v/>
      </c>
      <c r="D739" s="3" t="str">
        <f t="shared" si="11"/>
        <v>INVALID PERCENT</v>
      </c>
    </row>
    <row r="740" spans="1:4" ht="14.25" customHeight="1" x14ac:dyDescent="0.3">
      <c r="A740" s="7"/>
      <c r="B740" s="7"/>
      <c r="C740" s="18"/>
      <c r="D740" s="3" t="str">
        <f t="shared" si="11"/>
        <v/>
      </c>
    </row>
    <row r="741" spans="1:4" ht="14.25" customHeight="1" x14ac:dyDescent="0.3">
      <c r="A741" s="9" t="str">
        <f>IF(OR(A740="",B740=""),"",A740)</f>
        <v/>
      </c>
      <c r="B741" s="9" t="str">
        <f>IF(B740="","",IF(B740="1-2","3-4",IF(B740="3-4","1-2","")))</f>
        <v/>
      </c>
      <c r="C741" s="19" t="str">
        <f>IF(OR(A740="",C740=""),"",100-C740)</f>
        <v/>
      </c>
      <c r="D741" s="3" t="str">
        <f t="shared" si="11"/>
        <v>INVALID PERCENT</v>
      </c>
    </row>
    <row r="742" spans="1:4" ht="14.25" customHeight="1" x14ac:dyDescent="0.3">
      <c r="A742" s="7"/>
      <c r="B742" s="7"/>
      <c r="C742" s="18"/>
      <c r="D742" s="3" t="str">
        <f t="shared" si="11"/>
        <v/>
      </c>
    </row>
    <row r="743" spans="1:4" ht="14.25" customHeight="1" x14ac:dyDescent="0.3">
      <c r="A743" s="9" t="str">
        <f>IF(OR(A742="",B742=""),"",A742)</f>
        <v/>
      </c>
      <c r="B743" s="9" t="str">
        <f>IF(B742="","",IF(B742="1-2","3-4",IF(B742="3-4","1-2","")))</f>
        <v/>
      </c>
      <c r="C743" s="19" t="str">
        <f>IF(OR(A742="",C742=""),"",100-C742)</f>
        <v/>
      </c>
      <c r="D743" s="3" t="str">
        <f t="shared" si="11"/>
        <v>INVALID PERCENT</v>
      </c>
    </row>
    <row r="744" spans="1:4" ht="14.25" customHeight="1" x14ac:dyDescent="0.3">
      <c r="A744" s="7"/>
      <c r="B744" s="7"/>
      <c r="C744" s="18"/>
      <c r="D744" s="3" t="str">
        <f t="shared" si="11"/>
        <v/>
      </c>
    </row>
    <row r="745" spans="1:4" ht="14.25" customHeight="1" x14ac:dyDescent="0.3">
      <c r="A745" s="9" t="str">
        <f>IF(OR(A744="",B744=""),"",A744)</f>
        <v/>
      </c>
      <c r="B745" s="9" t="str">
        <f>IF(B744="","",IF(B744="1-2","3-4",IF(B744="3-4","1-2","")))</f>
        <v/>
      </c>
      <c r="C745" s="19" t="str">
        <f>IF(OR(A744="",C744=""),"",100-C744)</f>
        <v/>
      </c>
      <c r="D745" s="3" t="str">
        <f t="shared" si="11"/>
        <v>INVALID PERCENT</v>
      </c>
    </row>
    <row r="746" spans="1:4" ht="14.25" customHeight="1" x14ac:dyDescent="0.3">
      <c r="A746" s="7"/>
      <c r="B746" s="7"/>
      <c r="C746" s="18"/>
      <c r="D746" s="3" t="str">
        <f t="shared" si="11"/>
        <v/>
      </c>
    </row>
    <row r="747" spans="1:4" ht="14.25" customHeight="1" x14ac:dyDescent="0.3">
      <c r="A747" s="9" t="str">
        <f>IF(OR(A746="",B746=""),"",A746)</f>
        <v/>
      </c>
      <c r="B747" s="9" t="str">
        <f>IF(B746="","",IF(B746="1-2","3-4",IF(B746="3-4","1-2","")))</f>
        <v/>
      </c>
      <c r="C747" s="19" t="str">
        <f>IF(OR(A746="",C746=""),"",100-C746)</f>
        <v/>
      </c>
      <c r="D747" s="3" t="str">
        <f t="shared" si="11"/>
        <v>INVALID PERCENT</v>
      </c>
    </row>
    <row r="748" spans="1:4" ht="14.25" customHeight="1" x14ac:dyDescent="0.3">
      <c r="A748" s="7"/>
      <c r="B748" s="7"/>
      <c r="C748" s="18"/>
      <c r="D748" s="3" t="str">
        <f t="shared" si="11"/>
        <v/>
      </c>
    </row>
    <row r="749" spans="1:4" ht="14.25" customHeight="1" x14ac:dyDescent="0.3">
      <c r="A749" s="9" t="str">
        <f>IF(OR(A748="",B748=""),"",A748)</f>
        <v/>
      </c>
      <c r="B749" s="9" t="str">
        <f>IF(B748="","",IF(B748="1-2","3-4",IF(B748="3-4","1-2","")))</f>
        <v/>
      </c>
      <c r="C749" s="19" t="str">
        <f>IF(OR(A748="",C748=""),"",100-C748)</f>
        <v/>
      </c>
      <c r="D749" s="3" t="str">
        <f t="shared" si="11"/>
        <v>INVALID PERCENT</v>
      </c>
    </row>
    <row r="750" spans="1:4" ht="14.25" customHeight="1" x14ac:dyDescent="0.3">
      <c r="A750" s="7"/>
      <c r="B750" s="7"/>
      <c r="C750" s="18"/>
      <c r="D750" s="3" t="str">
        <f t="shared" si="11"/>
        <v/>
      </c>
    </row>
    <row r="751" spans="1:4" ht="14.25" customHeight="1" x14ac:dyDescent="0.3">
      <c r="A751" s="9" t="str">
        <f>IF(OR(A750="",B750=""),"",A750)</f>
        <v/>
      </c>
      <c r="B751" s="9" t="str">
        <f>IF(B750="","",IF(B750="1-2","3-4",IF(B750="3-4","1-2","")))</f>
        <v/>
      </c>
      <c r="C751" s="19" t="str">
        <f>IF(OR(A750="",C750=""),"",100-C750)</f>
        <v/>
      </c>
      <c r="D751" s="3" t="str">
        <f t="shared" si="11"/>
        <v>INVALID PERCENT</v>
      </c>
    </row>
    <row r="752" spans="1:4" ht="14.25" customHeight="1" x14ac:dyDescent="0.3">
      <c r="A752" s="7"/>
      <c r="B752" s="7"/>
      <c r="C752" s="18"/>
      <c r="D752" s="3" t="str">
        <f t="shared" si="11"/>
        <v/>
      </c>
    </row>
    <row r="753" spans="1:4" ht="14.25" customHeight="1" x14ac:dyDescent="0.3">
      <c r="A753" s="9" t="str">
        <f>IF(OR(A752="",B752=""),"",A752)</f>
        <v/>
      </c>
      <c r="B753" s="9" t="str">
        <f>IF(B752="","",IF(B752="1-2","3-4",IF(B752="3-4","1-2","")))</f>
        <v/>
      </c>
      <c r="C753" s="19" t="str">
        <f>IF(OR(A752="",C752=""),"",100-C752)</f>
        <v/>
      </c>
      <c r="D753" s="3" t="str">
        <f t="shared" si="11"/>
        <v>INVALID PERCENT</v>
      </c>
    </row>
    <row r="754" spans="1:4" ht="14.25" customHeight="1" x14ac:dyDescent="0.3">
      <c r="A754" s="7"/>
      <c r="B754" s="7"/>
      <c r="C754" s="18"/>
      <c r="D754" s="3" t="str">
        <f t="shared" si="11"/>
        <v/>
      </c>
    </row>
    <row r="755" spans="1:4" ht="14.25" customHeight="1" x14ac:dyDescent="0.3">
      <c r="A755" s="9" t="str">
        <f>IF(OR(A754="",B754=""),"",A754)</f>
        <v/>
      </c>
      <c r="B755" s="9" t="str">
        <f>IF(B754="","",IF(B754="1-2","3-4",IF(B754="3-4","1-2","")))</f>
        <v/>
      </c>
      <c r="C755" s="19" t="str">
        <f>IF(OR(A754="",C754=""),"",100-C754)</f>
        <v/>
      </c>
      <c r="D755" s="3" t="str">
        <f t="shared" si="11"/>
        <v>INVALID PERCENT</v>
      </c>
    </row>
    <row r="756" spans="1:4" ht="14.25" customHeight="1" x14ac:dyDescent="0.3">
      <c r="A756" s="7"/>
      <c r="B756" s="7"/>
      <c r="C756" s="18"/>
      <c r="D756" s="3" t="str">
        <f t="shared" si="11"/>
        <v/>
      </c>
    </row>
    <row r="757" spans="1:4" ht="14.25" customHeight="1" x14ac:dyDescent="0.3">
      <c r="A757" s="9" t="str">
        <f>IF(OR(A756="",B756=""),"",A756)</f>
        <v/>
      </c>
      <c r="B757" s="9" t="str">
        <f>IF(B756="","",IF(B756="1-2","3-4",IF(B756="3-4","1-2","")))</f>
        <v/>
      </c>
      <c r="C757" s="19" t="str">
        <f>IF(OR(A756="",C756=""),"",100-C756)</f>
        <v/>
      </c>
      <c r="D757" s="3" t="str">
        <f t="shared" si="11"/>
        <v>INVALID PERCENT</v>
      </c>
    </row>
    <row r="758" spans="1:4" ht="14.25" customHeight="1" x14ac:dyDescent="0.3">
      <c r="A758" s="7"/>
      <c r="B758" s="7"/>
      <c r="C758" s="18"/>
      <c r="D758" s="3" t="str">
        <f t="shared" si="11"/>
        <v/>
      </c>
    </row>
    <row r="759" spans="1:4" ht="14.25" customHeight="1" x14ac:dyDescent="0.3">
      <c r="A759" s="9" t="str">
        <f>IF(OR(A758="",B758=""),"",A758)</f>
        <v/>
      </c>
      <c r="B759" s="9" t="str">
        <f>IF(B758="","",IF(B758="1-2","3-4",IF(B758="3-4","1-2","")))</f>
        <v/>
      </c>
      <c r="C759" s="19" t="str">
        <f>IF(OR(A758="",C758=""),"",100-C758)</f>
        <v/>
      </c>
      <c r="D759" s="3" t="str">
        <f t="shared" si="11"/>
        <v>INVALID PERCENT</v>
      </c>
    </row>
    <row r="760" spans="1:4" ht="14.25" customHeight="1" x14ac:dyDescent="0.3">
      <c r="A760" s="7"/>
      <c r="B760" s="7"/>
      <c r="C760" s="18"/>
      <c r="D760" s="3" t="str">
        <f t="shared" si="11"/>
        <v/>
      </c>
    </row>
    <row r="761" spans="1:4" ht="14.25" customHeight="1" x14ac:dyDescent="0.3">
      <c r="A761" s="9" t="str">
        <f>IF(OR(A760="",B760=""),"",A760)</f>
        <v/>
      </c>
      <c r="B761" s="9" t="str">
        <f>IF(B760="","",IF(B760="1-2","3-4",IF(B760="3-4","1-2","")))</f>
        <v/>
      </c>
      <c r="C761" s="19" t="str">
        <f>IF(OR(A760="",C760=""),"",100-C760)</f>
        <v/>
      </c>
      <c r="D761" s="3" t="str">
        <f t="shared" si="11"/>
        <v>INVALID PERCENT</v>
      </c>
    </row>
    <row r="762" spans="1:4" ht="14.25" customHeight="1" x14ac:dyDescent="0.3">
      <c r="A762" s="7"/>
      <c r="B762" s="7"/>
      <c r="C762" s="18"/>
      <c r="D762" s="3" t="str">
        <f t="shared" si="11"/>
        <v/>
      </c>
    </row>
    <row r="763" spans="1:4" ht="14.25" customHeight="1" x14ac:dyDescent="0.3">
      <c r="A763" s="9" t="str">
        <f>IF(OR(A762="",B762=""),"",A762)</f>
        <v/>
      </c>
      <c r="B763" s="9" t="str">
        <f>IF(B762="","",IF(B762="1-2","3-4",IF(B762="3-4","1-2","")))</f>
        <v/>
      </c>
      <c r="C763" s="19" t="str">
        <f>IF(OR(A762="",C762=""),"",100-C762)</f>
        <v/>
      </c>
      <c r="D763" s="3" t="str">
        <f t="shared" si="11"/>
        <v>INVALID PERCENT</v>
      </c>
    </row>
    <row r="764" spans="1:4" ht="14.25" customHeight="1" x14ac:dyDescent="0.3">
      <c r="A764" s="7"/>
      <c r="B764" s="7"/>
      <c r="C764" s="18"/>
      <c r="D764" s="3" t="str">
        <f t="shared" si="11"/>
        <v/>
      </c>
    </row>
    <row r="765" spans="1:4" ht="14.25" customHeight="1" x14ac:dyDescent="0.3">
      <c r="A765" s="9" t="str">
        <f>IF(OR(A764="",B764=""),"",A764)</f>
        <v/>
      </c>
      <c r="B765" s="9" t="str">
        <f>IF(B764="","",IF(B764="1-2","3-4",IF(B764="3-4","1-2","")))</f>
        <v/>
      </c>
      <c r="C765" s="19" t="str">
        <f>IF(OR(A764="",C764=""),"",100-C764)</f>
        <v/>
      </c>
      <c r="D765" s="3" t="str">
        <f t="shared" si="11"/>
        <v>INVALID PERCENT</v>
      </c>
    </row>
    <row r="766" spans="1:4" ht="14.25" customHeight="1" x14ac:dyDescent="0.3">
      <c r="A766" s="7"/>
      <c r="B766" s="7"/>
      <c r="C766" s="18"/>
      <c r="D766" s="3" t="str">
        <f t="shared" si="11"/>
        <v/>
      </c>
    </row>
    <row r="767" spans="1:4" ht="14.25" customHeight="1" x14ac:dyDescent="0.3">
      <c r="A767" s="9" t="str">
        <f>IF(OR(A766="",B766=""),"",A766)</f>
        <v/>
      </c>
      <c r="B767" s="9" t="str">
        <f>IF(B766="","",IF(B766="1-2","3-4",IF(B766="3-4","1-2","")))</f>
        <v/>
      </c>
      <c r="C767" s="19" t="str">
        <f>IF(OR(A766="",C766=""),"",100-C766)</f>
        <v/>
      </c>
      <c r="D767" s="3" t="str">
        <f t="shared" si="11"/>
        <v>INVALID PERCENT</v>
      </c>
    </row>
    <row r="768" spans="1:4" ht="14.25" customHeight="1" x14ac:dyDescent="0.3">
      <c r="A768" s="7"/>
      <c r="B768" s="7"/>
      <c r="C768" s="18"/>
      <c r="D768" s="3" t="str">
        <f t="shared" si="11"/>
        <v/>
      </c>
    </row>
    <row r="769" spans="1:4" ht="14.25" customHeight="1" x14ac:dyDescent="0.3">
      <c r="A769" s="9" t="str">
        <f>IF(OR(A768="",B768=""),"",A768)</f>
        <v/>
      </c>
      <c r="B769" s="9" t="str">
        <f>IF(B768="","",IF(B768="1-2","3-4",IF(B768="3-4","1-2","")))</f>
        <v/>
      </c>
      <c r="C769" s="19" t="str">
        <f>IF(OR(A768="",C768=""),"",100-C768)</f>
        <v/>
      </c>
      <c r="D769" s="3" t="str">
        <f t="shared" si="11"/>
        <v>INVALID PERCENT</v>
      </c>
    </row>
    <row r="770" spans="1:4" ht="14.25" customHeight="1" x14ac:dyDescent="0.3">
      <c r="A770" s="7"/>
      <c r="B770" s="7"/>
      <c r="C770" s="18"/>
      <c r="D770" s="3" t="str">
        <f t="shared" ref="D770:D833" si="12">IF(COUNTA(A770:C770)=0,"",IF(OR(C770&lt;0,C770&gt;100),"INVALID PERCENT",IF(COUNTIFS($A$2:$A$1000,A770,$B$2:$B$1000,B770)&gt;1,"DUPLICATE ROOM/GROUP","OK")))</f>
        <v/>
      </c>
    </row>
    <row r="771" spans="1:4" ht="14.25" customHeight="1" x14ac:dyDescent="0.3">
      <c r="A771" s="9" t="str">
        <f>IF(OR(A770="",B770=""),"",A770)</f>
        <v/>
      </c>
      <c r="B771" s="9" t="str">
        <f>IF(B770="","",IF(B770="1-2","3-4",IF(B770="3-4","1-2","")))</f>
        <v/>
      </c>
      <c r="C771" s="19" t="str">
        <f>IF(OR(A770="",C770=""),"",100-C770)</f>
        <v/>
      </c>
      <c r="D771" s="3" t="str">
        <f t="shared" si="12"/>
        <v>INVALID PERCENT</v>
      </c>
    </row>
    <row r="772" spans="1:4" ht="14.25" customHeight="1" x14ac:dyDescent="0.3">
      <c r="A772" s="7"/>
      <c r="B772" s="7"/>
      <c r="C772" s="18"/>
      <c r="D772" s="3" t="str">
        <f t="shared" si="12"/>
        <v/>
      </c>
    </row>
    <row r="773" spans="1:4" ht="14.25" customHeight="1" x14ac:dyDescent="0.3">
      <c r="A773" s="9" t="str">
        <f>IF(OR(A772="",B772=""),"",A772)</f>
        <v/>
      </c>
      <c r="B773" s="9" t="str">
        <f>IF(B772="","",IF(B772="1-2","3-4",IF(B772="3-4","1-2","")))</f>
        <v/>
      </c>
      <c r="C773" s="19" t="str">
        <f>IF(OR(A772="",C772=""),"",100-C772)</f>
        <v/>
      </c>
      <c r="D773" s="3" t="str">
        <f t="shared" si="12"/>
        <v>INVALID PERCENT</v>
      </c>
    </row>
    <row r="774" spans="1:4" ht="14.25" customHeight="1" x14ac:dyDescent="0.3">
      <c r="A774" s="7"/>
      <c r="B774" s="7"/>
      <c r="C774" s="18"/>
      <c r="D774" s="3" t="str">
        <f t="shared" si="12"/>
        <v/>
      </c>
    </row>
    <row r="775" spans="1:4" ht="14.25" customHeight="1" x14ac:dyDescent="0.3">
      <c r="A775" s="9" t="str">
        <f>IF(OR(A774="",B774=""),"",A774)</f>
        <v/>
      </c>
      <c r="B775" s="9" t="str">
        <f>IF(B774="","",IF(B774="1-2","3-4",IF(B774="3-4","1-2","")))</f>
        <v/>
      </c>
      <c r="C775" s="19" t="str">
        <f>IF(OR(A774="",C774=""),"",100-C774)</f>
        <v/>
      </c>
      <c r="D775" s="3" t="str">
        <f t="shared" si="12"/>
        <v>INVALID PERCENT</v>
      </c>
    </row>
    <row r="776" spans="1:4" ht="14.25" customHeight="1" x14ac:dyDescent="0.3">
      <c r="A776" s="7"/>
      <c r="B776" s="7"/>
      <c r="C776" s="18"/>
      <c r="D776" s="3" t="str">
        <f t="shared" si="12"/>
        <v/>
      </c>
    </row>
    <row r="777" spans="1:4" ht="14.25" customHeight="1" x14ac:dyDescent="0.3">
      <c r="A777" s="9" t="str">
        <f>IF(OR(A776="",B776=""),"",A776)</f>
        <v/>
      </c>
      <c r="B777" s="9" t="str">
        <f>IF(B776="","",IF(B776="1-2","3-4",IF(B776="3-4","1-2","")))</f>
        <v/>
      </c>
      <c r="C777" s="19" t="str">
        <f>IF(OR(A776="",C776=""),"",100-C776)</f>
        <v/>
      </c>
      <c r="D777" s="3" t="str">
        <f t="shared" si="12"/>
        <v>INVALID PERCENT</v>
      </c>
    </row>
    <row r="778" spans="1:4" ht="14.25" customHeight="1" x14ac:dyDescent="0.3">
      <c r="A778" s="7"/>
      <c r="B778" s="7"/>
      <c r="C778" s="18"/>
      <c r="D778" s="3" t="str">
        <f t="shared" si="12"/>
        <v/>
      </c>
    </row>
    <row r="779" spans="1:4" ht="14.25" customHeight="1" x14ac:dyDescent="0.3">
      <c r="A779" s="9" t="str">
        <f>IF(OR(A778="",B778=""),"",A778)</f>
        <v/>
      </c>
      <c r="B779" s="9" t="str">
        <f>IF(B778="","",IF(B778="1-2","3-4",IF(B778="3-4","1-2","")))</f>
        <v/>
      </c>
      <c r="C779" s="19" t="str">
        <f>IF(OR(A778="",C778=""),"",100-C778)</f>
        <v/>
      </c>
      <c r="D779" s="3" t="str">
        <f t="shared" si="12"/>
        <v>INVALID PERCENT</v>
      </c>
    </row>
    <row r="780" spans="1:4" ht="14.25" customHeight="1" x14ac:dyDescent="0.3">
      <c r="A780" s="7"/>
      <c r="B780" s="7"/>
      <c r="C780" s="18"/>
      <c r="D780" s="3" t="str">
        <f t="shared" si="12"/>
        <v/>
      </c>
    </row>
    <row r="781" spans="1:4" ht="14.25" customHeight="1" x14ac:dyDescent="0.3">
      <c r="A781" s="9" t="str">
        <f>IF(OR(A780="",B780=""),"",A780)</f>
        <v/>
      </c>
      <c r="B781" s="9" t="str">
        <f>IF(B780="","",IF(B780="1-2","3-4",IF(B780="3-4","1-2","")))</f>
        <v/>
      </c>
      <c r="C781" s="19" t="str">
        <f>IF(OR(A780="",C780=""),"",100-C780)</f>
        <v/>
      </c>
      <c r="D781" s="3" t="str">
        <f t="shared" si="12"/>
        <v>INVALID PERCENT</v>
      </c>
    </row>
    <row r="782" spans="1:4" ht="14.25" customHeight="1" x14ac:dyDescent="0.3">
      <c r="A782" s="7"/>
      <c r="B782" s="7"/>
      <c r="C782" s="18"/>
      <c r="D782" s="3" t="str">
        <f t="shared" si="12"/>
        <v/>
      </c>
    </row>
    <row r="783" spans="1:4" ht="14.25" customHeight="1" x14ac:dyDescent="0.3">
      <c r="A783" s="9" t="str">
        <f>IF(OR(A782="",B782=""),"",A782)</f>
        <v/>
      </c>
      <c r="B783" s="9" t="str">
        <f>IF(B782="","",IF(B782="1-2","3-4",IF(B782="3-4","1-2","")))</f>
        <v/>
      </c>
      <c r="C783" s="19" t="str">
        <f>IF(OR(A782="",C782=""),"",100-C782)</f>
        <v/>
      </c>
      <c r="D783" s="3" t="str">
        <f t="shared" si="12"/>
        <v>INVALID PERCENT</v>
      </c>
    </row>
    <row r="784" spans="1:4" ht="14.25" customHeight="1" x14ac:dyDescent="0.3">
      <c r="A784" s="7"/>
      <c r="B784" s="7"/>
      <c r="C784" s="18"/>
      <c r="D784" s="3" t="str">
        <f t="shared" si="12"/>
        <v/>
      </c>
    </row>
    <row r="785" spans="1:4" ht="14.25" customHeight="1" x14ac:dyDescent="0.3">
      <c r="A785" s="9" t="str">
        <f>IF(OR(A784="",B784=""),"",A784)</f>
        <v/>
      </c>
      <c r="B785" s="9" t="str">
        <f>IF(B784="","",IF(B784="1-2","3-4",IF(B784="3-4","1-2","")))</f>
        <v/>
      </c>
      <c r="C785" s="19" t="str">
        <f>IF(OR(A784="",C784=""),"",100-C784)</f>
        <v/>
      </c>
      <c r="D785" s="3" t="str">
        <f t="shared" si="12"/>
        <v>INVALID PERCENT</v>
      </c>
    </row>
    <row r="786" spans="1:4" ht="14.25" customHeight="1" x14ac:dyDescent="0.3">
      <c r="A786" s="7"/>
      <c r="B786" s="7"/>
      <c r="C786" s="18"/>
      <c r="D786" s="3" t="str">
        <f t="shared" si="12"/>
        <v/>
      </c>
    </row>
    <row r="787" spans="1:4" ht="14.25" customHeight="1" x14ac:dyDescent="0.3">
      <c r="A787" s="9" t="str">
        <f>IF(OR(A786="",B786=""),"",A786)</f>
        <v/>
      </c>
      <c r="B787" s="9" t="str">
        <f>IF(B786="","",IF(B786="1-2","3-4",IF(B786="3-4","1-2","")))</f>
        <v/>
      </c>
      <c r="C787" s="19" t="str">
        <f>IF(OR(A786="",C786=""),"",100-C786)</f>
        <v/>
      </c>
      <c r="D787" s="3" t="str">
        <f t="shared" si="12"/>
        <v>INVALID PERCENT</v>
      </c>
    </row>
    <row r="788" spans="1:4" ht="14.25" customHeight="1" x14ac:dyDescent="0.3">
      <c r="A788" s="7"/>
      <c r="B788" s="7"/>
      <c r="C788" s="18"/>
      <c r="D788" s="3" t="str">
        <f t="shared" si="12"/>
        <v/>
      </c>
    </row>
    <row r="789" spans="1:4" ht="14.25" customHeight="1" x14ac:dyDescent="0.3">
      <c r="A789" s="9" t="str">
        <f>IF(OR(A788="",B788=""),"",A788)</f>
        <v/>
      </c>
      <c r="B789" s="9" t="str">
        <f>IF(B788="","",IF(B788="1-2","3-4",IF(B788="3-4","1-2","")))</f>
        <v/>
      </c>
      <c r="C789" s="19" t="str">
        <f>IF(OR(A788="",C788=""),"",100-C788)</f>
        <v/>
      </c>
      <c r="D789" s="3" t="str">
        <f t="shared" si="12"/>
        <v>INVALID PERCENT</v>
      </c>
    </row>
    <row r="790" spans="1:4" ht="14.25" customHeight="1" x14ac:dyDescent="0.3">
      <c r="A790" s="7"/>
      <c r="B790" s="7"/>
      <c r="C790" s="18"/>
      <c r="D790" s="3" t="str">
        <f t="shared" si="12"/>
        <v/>
      </c>
    </row>
    <row r="791" spans="1:4" ht="14.25" customHeight="1" x14ac:dyDescent="0.3">
      <c r="A791" s="9" t="str">
        <f>IF(OR(A790="",B790=""),"",A790)</f>
        <v/>
      </c>
      <c r="B791" s="9" t="str">
        <f>IF(B790="","",IF(B790="1-2","3-4",IF(B790="3-4","1-2","")))</f>
        <v/>
      </c>
      <c r="C791" s="19" t="str">
        <f>IF(OR(A790="",C790=""),"",100-C790)</f>
        <v/>
      </c>
      <c r="D791" s="3" t="str">
        <f t="shared" si="12"/>
        <v>INVALID PERCENT</v>
      </c>
    </row>
    <row r="792" spans="1:4" ht="14.25" customHeight="1" x14ac:dyDescent="0.3">
      <c r="A792" s="7"/>
      <c r="B792" s="7"/>
      <c r="C792" s="18"/>
      <c r="D792" s="3" t="str">
        <f t="shared" si="12"/>
        <v/>
      </c>
    </row>
    <row r="793" spans="1:4" ht="14.25" customHeight="1" x14ac:dyDescent="0.3">
      <c r="A793" s="9" t="str">
        <f>IF(OR(A792="",B792=""),"",A792)</f>
        <v/>
      </c>
      <c r="B793" s="9" t="str">
        <f>IF(B792="","",IF(B792="1-2","3-4",IF(B792="3-4","1-2","")))</f>
        <v/>
      </c>
      <c r="C793" s="19" t="str">
        <f>IF(OR(A792="",C792=""),"",100-C792)</f>
        <v/>
      </c>
      <c r="D793" s="3" t="str">
        <f t="shared" si="12"/>
        <v>INVALID PERCENT</v>
      </c>
    </row>
    <row r="794" spans="1:4" ht="14.25" customHeight="1" x14ac:dyDescent="0.3">
      <c r="A794" s="7"/>
      <c r="B794" s="7"/>
      <c r="C794" s="18"/>
      <c r="D794" s="3" t="str">
        <f t="shared" si="12"/>
        <v/>
      </c>
    </row>
    <row r="795" spans="1:4" ht="14.25" customHeight="1" x14ac:dyDescent="0.3">
      <c r="A795" s="9" t="str">
        <f>IF(OR(A794="",B794=""),"",A794)</f>
        <v/>
      </c>
      <c r="B795" s="9" t="str">
        <f>IF(B794="","",IF(B794="1-2","3-4",IF(B794="3-4","1-2","")))</f>
        <v/>
      </c>
      <c r="C795" s="19" t="str">
        <f>IF(OR(A794="",C794=""),"",100-C794)</f>
        <v/>
      </c>
      <c r="D795" s="3" t="str">
        <f t="shared" si="12"/>
        <v>INVALID PERCENT</v>
      </c>
    </row>
    <row r="796" spans="1:4" ht="14.25" customHeight="1" x14ac:dyDescent="0.3">
      <c r="A796" s="7"/>
      <c r="B796" s="7"/>
      <c r="C796" s="18"/>
      <c r="D796" s="3" t="str">
        <f t="shared" si="12"/>
        <v/>
      </c>
    </row>
    <row r="797" spans="1:4" ht="14.25" customHeight="1" x14ac:dyDescent="0.3">
      <c r="A797" s="9" t="str">
        <f>IF(OR(A796="",B796=""),"",A796)</f>
        <v/>
      </c>
      <c r="B797" s="9" t="str">
        <f>IF(B796="","",IF(B796="1-2","3-4",IF(B796="3-4","1-2","")))</f>
        <v/>
      </c>
      <c r="C797" s="19" t="str">
        <f>IF(OR(A796="",C796=""),"",100-C796)</f>
        <v/>
      </c>
      <c r="D797" s="3" t="str">
        <f t="shared" si="12"/>
        <v>INVALID PERCENT</v>
      </c>
    </row>
    <row r="798" spans="1:4" ht="14.25" customHeight="1" x14ac:dyDescent="0.3">
      <c r="A798" s="7"/>
      <c r="B798" s="7"/>
      <c r="C798" s="18"/>
      <c r="D798" s="3" t="str">
        <f t="shared" si="12"/>
        <v/>
      </c>
    </row>
    <row r="799" spans="1:4" ht="14.25" customHeight="1" x14ac:dyDescent="0.3">
      <c r="A799" s="9" t="str">
        <f>IF(OR(A798="",B798=""),"",A798)</f>
        <v/>
      </c>
      <c r="B799" s="9" t="str">
        <f>IF(B798="","",IF(B798="1-2","3-4",IF(B798="3-4","1-2","")))</f>
        <v/>
      </c>
      <c r="C799" s="19" t="str">
        <f>IF(OR(A798="",C798=""),"",100-C798)</f>
        <v/>
      </c>
      <c r="D799" s="3" t="str">
        <f t="shared" si="12"/>
        <v>INVALID PERCENT</v>
      </c>
    </row>
    <row r="800" spans="1:4" ht="14.25" customHeight="1" x14ac:dyDescent="0.3">
      <c r="A800" s="7"/>
      <c r="B800" s="7"/>
      <c r="C800" s="18"/>
      <c r="D800" s="3" t="str">
        <f t="shared" si="12"/>
        <v/>
      </c>
    </row>
    <row r="801" spans="1:4" ht="14.25" customHeight="1" x14ac:dyDescent="0.3">
      <c r="A801" s="9" t="str">
        <f>IF(OR(A800="",B800=""),"",A800)</f>
        <v/>
      </c>
      <c r="B801" s="9" t="str">
        <f>IF(B800="","",IF(B800="1-2","3-4",IF(B800="3-4","1-2","")))</f>
        <v/>
      </c>
      <c r="C801" s="19" t="str">
        <f>IF(OR(A800="",C800=""),"",100-C800)</f>
        <v/>
      </c>
      <c r="D801" s="3" t="str">
        <f t="shared" si="12"/>
        <v>INVALID PERCENT</v>
      </c>
    </row>
    <row r="802" spans="1:4" ht="14.25" customHeight="1" x14ac:dyDescent="0.3">
      <c r="A802" s="7"/>
      <c r="B802" s="7"/>
      <c r="C802" s="18"/>
      <c r="D802" s="3" t="str">
        <f t="shared" si="12"/>
        <v/>
      </c>
    </row>
    <row r="803" spans="1:4" ht="14.25" customHeight="1" x14ac:dyDescent="0.3">
      <c r="A803" s="9" t="str">
        <f>IF(OR(A802="",B802=""),"",A802)</f>
        <v/>
      </c>
      <c r="B803" s="9" t="str">
        <f>IF(B802="","",IF(B802="1-2","3-4",IF(B802="3-4","1-2","")))</f>
        <v/>
      </c>
      <c r="C803" s="19" t="str">
        <f>IF(OR(A802="",C802=""),"",100-C802)</f>
        <v/>
      </c>
      <c r="D803" s="3" t="str">
        <f t="shared" si="12"/>
        <v>INVALID PERCENT</v>
      </c>
    </row>
    <row r="804" spans="1:4" ht="14.25" customHeight="1" x14ac:dyDescent="0.3">
      <c r="A804" s="7"/>
      <c r="B804" s="7"/>
      <c r="C804" s="18"/>
      <c r="D804" s="3" t="str">
        <f t="shared" si="12"/>
        <v/>
      </c>
    </row>
    <row r="805" spans="1:4" ht="14.25" customHeight="1" x14ac:dyDescent="0.3">
      <c r="A805" s="9" t="str">
        <f>IF(OR(A804="",B804=""),"",A804)</f>
        <v/>
      </c>
      <c r="B805" s="9" t="str">
        <f>IF(B804="","",IF(B804="1-2","3-4",IF(B804="3-4","1-2","")))</f>
        <v/>
      </c>
      <c r="C805" s="19" t="str">
        <f>IF(OR(A804="",C804=""),"",100-C804)</f>
        <v/>
      </c>
      <c r="D805" s="3" t="str">
        <f t="shared" si="12"/>
        <v>INVALID PERCENT</v>
      </c>
    </row>
    <row r="806" spans="1:4" ht="14.25" customHeight="1" x14ac:dyDescent="0.3">
      <c r="A806" s="7"/>
      <c r="B806" s="7"/>
      <c r="C806" s="18"/>
      <c r="D806" s="3" t="str">
        <f t="shared" si="12"/>
        <v/>
      </c>
    </row>
    <row r="807" spans="1:4" ht="14.25" customHeight="1" x14ac:dyDescent="0.3">
      <c r="A807" s="9" t="str">
        <f>IF(OR(A806="",B806=""),"",A806)</f>
        <v/>
      </c>
      <c r="B807" s="9" t="str">
        <f>IF(B806="","",IF(B806="1-2","3-4",IF(B806="3-4","1-2","")))</f>
        <v/>
      </c>
      <c r="C807" s="19" t="str">
        <f>IF(OR(A806="",C806=""),"",100-C806)</f>
        <v/>
      </c>
      <c r="D807" s="3" t="str">
        <f t="shared" si="12"/>
        <v>INVALID PERCENT</v>
      </c>
    </row>
    <row r="808" spans="1:4" ht="14.25" customHeight="1" x14ac:dyDescent="0.3">
      <c r="A808" s="7"/>
      <c r="B808" s="7"/>
      <c r="C808" s="18"/>
      <c r="D808" s="3" t="str">
        <f t="shared" si="12"/>
        <v/>
      </c>
    </row>
    <row r="809" spans="1:4" ht="14.25" customHeight="1" x14ac:dyDescent="0.3">
      <c r="A809" s="9" t="str">
        <f>IF(OR(A808="",B808=""),"",A808)</f>
        <v/>
      </c>
      <c r="B809" s="9" t="str">
        <f>IF(B808="","",IF(B808="1-2","3-4",IF(B808="3-4","1-2","")))</f>
        <v/>
      </c>
      <c r="C809" s="19" t="str">
        <f>IF(OR(A808="",C808=""),"",100-C808)</f>
        <v/>
      </c>
      <c r="D809" s="3" t="str">
        <f t="shared" si="12"/>
        <v>INVALID PERCENT</v>
      </c>
    </row>
    <row r="810" spans="1:4" ht="14.25" customHeight="1" x14ac:dyDescent="0.3">
      <c r="A810" s="7"/>
      <c r="B810" s="7"/>
      <c r="C810" s="18"/>
      <c r="D810" s="3" t="str">
        <f t="shared" si="12"/>
        <v/>
      </c>
    </row>
    <row r="811" spans="1:4" ht="14.25" customHeight="1" x14ac:dyDescent="0.3">
      <c r="A811" s="9" t="str">
        <f>IF(OR(A810="",B810=""),"",A810)</f>
        <v/>
      </c>
      <c r="B811" s="9" t="str">
        <f>IF(B810="","",IF(B810="1-2","3-4",IF(B810="3-4","1-2","")))</f>
        <v/>
      </c>
      <c r="C811" s="19" t="str">
        <f>IF(OR(A810="",C810=""),"",100-C810)</f>
        <v/>
      </c>
      <c r="D811" s="3" t="str">
        <f t="shared" si="12"/>
        <v>INVALID PERCENT</v>
      </c>
    </row>
    <row r="812" spans="1:4" ht="14.25" customHeight="1" x14ac:dyDescent="0.3">
      <c r="A812" s="7"/>
      <c r="B812" s="7"/>
      <c r="C812" s="18"/>
      <c r="D812" s="3" t="str">
        <f t="shared" si="12"/>
        <v/>
      </c>
    </row>
    <row r="813" spans="1:4" ht="14.25" customHeight="1" x14ac:dyDescent="0.3">
      <c r="A813" s="9" t="str">
        <f>IF(OR(A812="",B812=""),"",A812)</f>
        <v/>
      </c>
      <c r="B813" s="9" t="str">
        <f>IF(B812="","",IF(B812="1-2","3-4",IF(B812="3-4","1-2","")))</f>
        <v/>
      </c>
      <c r="C813" s="19" t="str">
        <f>IF(OR(A812="",C812=""),"",100-C812)</f>
        <v/>
      </c>
      <c r="D813" s="3" t="str">
        <f t="shared" si="12"/>
        <v>INVALID PERCENT</v>
      </c>
    </row>
    <row r="814" spans="1:4" ht="14.25" customHeight="1" x14ac:dyDescent="0.3">
      <c r="A814" s="7"/>
      <c r="B814" s="7"/>
      <c r="C814" s="18"/>
      <c r="D814" s="3" t="str">
        <f t="shared" si="12"/>
        <v/>
      </c>
    </row>
    <row r="815" spans="1:4" ht="14.25" customHeight="1" x14ac:dyDescent="0.3">
      <c r="A815" s="9" t="str">
        <f>IF(OR(A814="",B814=""),"",A814)</f>
        <v/>
      </c>
      <c r="B815" s="9" t="str">
        <f>IF(B814="","",IF(B814="1-2","3-4",IF(B814="3-4","1-2","")))</f>
        <v/>
      </c>
      <c r="C815" s="19" t="str">
        <f>IF(OR(A814="",C814=""),"",100-C814)</f>
        <v/>
      </c>
      <c r="D815" s="3" t="str">
        <f t="shared" si="12"/>
        <v>INVALID PERCENT</v>
      </c>
    </row>
    <row r="816" spans="1:4" ht="14.25" customHeight="1" x14ac:dyDescent="0.3">
      <c r="A816" s="7"/>
      <c r="B816" s="7"/>
      <c r="C816" s="18"/>
      <c r="D816" s="3" t="str">
        <f t="shared" si="12"/>
        <v/>
      </c>
    </row>
    <row r="817" spans="1:4" ht="14.25" customHeight="1" x14ac:dyDescent="0.3">
      <c r="A817" s="9" t="str">
        <f>IF(OR(A816="",B816=""),"",A816)</f>
        <v/>
      </c>
      <c r="B817" s="9" t="str">
        <f>IF(B816="","",IF(B816="1-2","3-4",IF(B816="3-4","1-2","")))</f>
        <v/>
      </c>
      <c r="C817" s="19" t="str">
        <f>IF(OR(A816="",C816=""),"",100-C816)</f>
        <v/>
      </c>
      <c r="D817" s="3" t="str">
        <f t="shared" si="12"/>
        <v>INVALID PERCENT</v>
      </c>
    </row>
    <row r="818" spans="1:4" ht="14.25" customHeight="1" x14ac:dyDescent="0.3">
      <c r="A818" s="7"/>
      <c r="B818" s="7"/>
      <c r="C818" s="18"/>
      <c r="D818" s="3" t="str">
        <f t="shared" si="12"/>
        <v/>
      </c>
    </row>
    <row r="819" spans="1:4" ht="14.25" customHeight="1" x14ac:dyDescent="0.3">
      <c r="A819" s="9" t="str">
        <f>IF(OR(A818="",B818=""),"",A818)</f>
        <v/>
      </c>
      <c r="B819" s="9" t="str">
        <f>IF(B818="","",IF(B818="1-2","3-4",IF(B818="3-4","1-2","")))</f>
        <v/>
      </c>
      <c r="C819" s="19" t="str">
        <f>IF(OR(A818="",C818=""),"",100-C818)</f>
        <v/>
      </c>
      <c r="D819" s="3" t="str">
        <f t="shared" si="12"/>
        <v>INVALID PERCENT</v>
      </c>
    </row>
    <row r="820" spans="1:4" ht="14.25" customHeight="1" x14ac:dyDescent="0.3">
      <c r="A820" s="7"/>
      <c r="B820" s="7"/>
      <c r="C820" s="18"/>
      <c r="D820" s="3" t="str">
        <f t="shared" si="12"/>
        <v/>
      </c>
    </row>
    <row r="821" spans="1:4" ht="14.25" customHeight="1" x14ac:dyDescent="0.3">
      <c r="A821" s="9" t="str">
        <f>IF(OR(A820="",B820=""),"",A820)</f>
        <v/>
      </c>
      <c r="B821" s="9" t="str">
        <f>IF(B820="","",IF(B820="1-2","3-4",IF(B820="3-4","1-2","")))</f>
        <v/>
      </c>
      <c r="C821" s="19" t="str">
        <f>IF(OR(A820="",C820=""),"",100-C820)</f>
        <v/>
      </c>
      <c r="D821" s="3" t="str">
        <f t="shared" si="12"/>
        <v>INVALID PERCENT</v>
      </c>
    </row>
    <row r="822" spans="1:4" ht="14.25" customHeight="1" x14ac:dyDescent="0.3">
      <c r="A822" s="7"/>
      <c r="B822" s="7"/>
      <c r="C822" s="18"/>
      <c r="D822" s="3" t="str">
        <f t="shared" si="12"/>
        <v/>
      </c>
    </row>
    <row r="823" spans="1:4" ht="14.25" customHeight="1" x14ac:dyDescent="0.3">
      <c r="A823" s="9" t="str">
        <f>IF(OR(A822="",B822=""),"",A822)</f>
        <v/>
      </c>
      <c r="B823" s="9" t="str">
        <f>IF(B822="","",IF(B822="1-2","3-4",IF(B822="3-4","1-2","")))</f>
        <v/>
      </c>
      <c r="C823" s="19" t="str">
        <f>IF(OR(A822="",C822=""),"",100-C822)</f>
        <v/>
      </c>
      <c r="D823" s="3" t="str">
        <f t="shared" si="12"/>
        <v>INVALID PERCENT</v>
      </c>
    </row>
    <row r="824" spans="1:4" ht="14.25" customHeight="1" x14ac:dyDescent="0.3">
      <c r="A824" s="7"/>
      <c r="B824" s="7"/>
      <c r="C824" s="18"/>
      <c r="D824" s="3" t="str">
        <f t="shared" si="12"/>
        <v/>
      </c>
    </row>
    <row r="825" spans="1:4" ht="14.25" customHeight="1" x14ac:dyDescent="0.3">
      <c r="A825" s="9" t="str">
        <f>IF(OR(A824="",B824=""),"",A824)</f>
        <v/>
      </c>
      <c r="B825" s="9" t="str">
        <f>IF(B824="","",IF(B824="1-2","3-4",IF(B824="3-4","1-2","")))</f>
        <v/>
      </c>
      <c r="C825" s="19" t="str">
        <f>IF(OR(A824="",C824=""),"",100-C824)</f>
        <v/>
      </c>
      <c r="D825" s="3" t="str">
        <f t="shared" si="12"/>
        <v>INVALID PERCENT</v>
      </c>
    </row>
    <row r="826" spans="1:4" ht="14.25" customHeight="1" x14ac:dyDescent="0.3">
      <c r="A826" s="7"/>
      <c r="B826" s="7"/>
      <c r="C826" s="18"/>
      <c r="D826" s="3" t="str">
        <f t="shared" si="12"/>
        <v/>
      </c>
    </row>
    <row r="827" spans="1:4" ht="14.25" customHeight="1" x14ac:dyDescent="0.3">
      <c r="A827" s="9" t="str">
        <f>IF(OR(A826="",B826=""),"",A826)</f>
        <v/>
      </c>
      <c r="B827" s="9" t="str">
        <f>IF(B826="","",IF(B826="1-2","3-4",IF(B826="3-4","1-2","")))</f>
        <v/>
      </c>
      <c r="C827" s="19" t="str">
        <f>IF(OR(A826="",C826=""),"",100-C826)</f>
        <v/>
      </c>
      <c r="D827" s="3" t="str">
        <f t="shared" si="12"/>
        <v>INVALID PERCENT</v>
      </c>
    </row>
    <row r="828" spans="1:4" ht="14.25" customHeight="1" x14ac:dyDescent="0.3">
      <c r="A828" s="7"/>
      <c r="B828" s="7"/>
      <c r="C828" s="18"/>
      <c r="D828" s="3" t="str">
        <f t="shared" si="12"/>
        <v/>
      </c>
    </row>
    <row r="829" spans="1:4" ht="14.25" customHeight="1" x14ac:dyDescent="0.3">
      <c r="A829" s="9" t="str">
        <f>IF(OR(A828="",B828=""),"",A828)</f>
        <v/>
      </c>
      <c r="B829" s="9" t="str">
        <f>IF(B828="","",IF(B828="1-2","3-4",IF(B828="3-4","1-2","")))</f>
        <v/>
      </c>
      <c r="C829" s="19" t="str">
        <f>IF(OR(A828="",C828=""),"",100-C828)</f>
        <v/>
      </c>
      <c r="D829" s="3" t="str">
        <f t="shared" si="12"/>
        <v>INVALID PERCENT</v>
      </c>
    </row>
    <row r="830" spans="1:4" ht="14.25" customHeight="1" x14ac:dyDescent="0.3">
      <c r="A830" s="7"/>
      <c r="B830" s="7"/>
      <c r="C830" s="18"/>
      <c r="D830" s="3" t="str">
        <f t="shared" si="12"/>
        <v/>
      </c>
    </row>
    <row r="831" spans="1:4" ht="14.25" customHeight="1" x14ac:dyDescent="0.3">
      <c r="A831" s="9" t="str">
        <f>IF(OR(A830="",B830=""),"",A830)</f>
        <v/>
      </c>
      <c r="B831" s="9" t="str">
        <f>IF(B830="","",IF(B830="1-2","3-4",IF(B830="3-4","1-2","")))</f>
        <v/>
      </c>
      <c r="C831" s="19" t="str">
        <f>IF(OR(A830="",C830=""),"",100-C830)</f>
        <v/>
      </c>
      <c r="D831" s="3" t="str">
        <f t="shared" si="12"/>
        <v>INVALID PERCENT</v>
      </c>
    </row>
    <row r="832" spans="1:4" ht="14.25" customHeight="1" x14ac:dyDescent="0.3">
      <c r="A832" s="7"/>
      <c r="B832" s="7"/>
      <c r="C832" s="18"/>
      <c r="D832" s="3" t="str">
        <f t="shared" si="12"/>
        <v/>
      </c>
    </row>
    <row r="833" spans="1:4" ht="14.25" customHeight="1" x14ac:dyDescent="0.3">
      <c r="A833" s="9" t="str">
        <f>IF(OR(A832="",B832=""),"",A832)</f>
        <v/>
      </c>
      <c r="B833" s="9" t="str">
        <f>IF(B832="","",IF(B832="1-2","3-4",IF(B832="3-4","1-2","")))</f>
        <v/>
      </c>
      <c r="C833" s="19" t="str">
        <f>IF(OR(A832="",C832=""),"",100-C832)</f>
        <v/>
      </c>
      <c r="D833" s="3" t="str">
        <f t="shared" si="12"/>
        <v>INVALID PERCENT</v>
      </c>
    </row>
    <row r="834" spans="1:4" ht="14.25" customHeight="1" x14ac:dyDescent="0.3">
      <c r="A834" s="7"/>
      <c r="B834" s="7"/>
      <c r="C834" s="18"/>
      <c r="D834" s="3" t="str">
        <f t="shared" ref="D834:D897" si="13">IF(COUNTA(A834:C834)=0,"",IF(OR(C834&lt;0,C834&gt;100),"INVALID PERCENT",IF(COUNTIFS($A$2:$A$1000,A834,$B$2:$B$1000,B834)&gt;1,"DUPLICATE ROOM/GROUP","OK")))</f>
        <v/>
      </c>
    </row>
    <row r="835" spans="1:4" ht="14.25" customHeight="1" x14ac:dyDescent="0.3">
      <c r="A835" s="9" t="str">
        <f>IF(OR(A834="",B834=""),"",A834)</f>
        <v/>
      </c>
      <c r="B835" s="9" t="str">
        <f>IF(B834="","",IF(B834="1-2","3-4",IF(B834="3-4","1-2","")))</f>
        <v/>
      </c>
      <c r="C835" s="19" t="str">
        <f>IF(OR(A834="",C834=""),"",100-C834)</f>
        <v/>
      </c>
      <c r="D835" s="3" t="str">
        <f t="shared" si="13"/>
        <v>INVALID PERCENT</v>
      </c>
    </row>
    <row r="836" spans="1:4" ht="14.25" customHeight="1" x14ac:dyDescent="0.3">
      <c r="A836" s="7"/>
      <c r="B836" s="7"/>
      <c r="C836" s="18"/>
      <c r="D836" s="3" t="str">
        <f t="shared" si="13"/>
        <v/>
      </c>
    </row>
    <row r="837" spans="1:4" ht="14.25" customHeight="1" x14ac:dyDescent="0.3">
      <c r="A837" s="9" t="str">
        <f>IF(OR(A836="",B836=""),"",A836)</f>
        <v/>
      </c>
      <c r="B837" s="9" t="str">
        <f>IF(B836="","",IF(B836="1-2","3-4",IF(B836="3-4","1-2","")))</f>
        <v/>
      </c>
      <c r="C837" s="19" t="str">
        <f>IF(OR(A836="",C836=""),"",100-C836)</f>
        <v/>
      </c>
      <c r="D837" s="3" t="str">
        <f t="shared" si="13"/>
        <v>INVALID PERCENT</v>
      </c>
    </row>
    <row r="838" spans="1:4" ht="14.25" customHeight="1" x14ac:dyDescent="0.3">
      <c r="A838" s="7"/>
      <c r="B838" s="7"/>
      <c r="C838" s="18"/>
      <c r="D838" s="3" t="str">
        <f t="shared" si="13"/>
        <v/>
      </c>
    </row>
    <row r="839" spans="1:4" ht="14.25" customHeight="1" x14ac:dyDescent="0.3">
      <c r="A839" s="9" t="str">
        <f>IF(OR(A838="",B838=""),"",A838)</f>
        <v/>
      </c>
      <c r="B839" s="9" t="str">
        <f>IF(B838="","",IF(B838="1-2","3-4",IF(B838="3-4","1-2","")))</f>
        <v/>
      </c>
      <c r="C839" s="19" t="str">
        <f>IF(OR(A838="",C838=""),"",100-C838)</f>
        <v/>
      </c>
      <c r="D839" s="3" t="str">
        <f t="shared" si="13"/>
        <v>INVALID PERCENT</v>
      </c>
    </row>
    <row r="840" spans="1:4" ht="14.25" customHeight="1" x14ac:dyDescent="0.3">
      <c r="A840" s="7"/>
      <c r="B840" s="7"/>
      <c r="C840" s="18"/>
      <c r="D840" s="3" t="str">
        <f t="shared" si="13"/>
        <v/>
      </c>
    </row>
    <row r="841" spans="1:4" ht="14.25" customHeight="1" x14ac:dyDescent="0.3">
      <c r="A841" s="9" t="str">
        <f>IF(OR(A840="",B840=""),"",A840)</f>
        <v/>
      </c>
      <c r="B841" s="9" t="str">
        <f>IF(B840="","",IF(B840="1-2","3-4",IF(B840="3-4","1-2","")))</f>
        <v/>
      </c>
      <c r="C841" s="19" t="str">
        <f>IF(OR(A840="",C840=""),"",100-C840)</f>
        <v/>
      </c>
      <c r="D841" s="3" t="str">
        <f t="shared" si="13"/>
        <v>INVALID PERCENT</v>
      </c>
    </row>
    <row r="842" spans="1:4" ht="14.25" customHeight="1" x14ac:dyDescent="0.3">
      <c r="A842" s="7"/>
      <c r="B842" s="7"/>
      <c r="C842" s="18"/>
      <c r="D842" s="3" t="str">
        <f t="shared" si="13"/>
        <v/>
      </c>
    </row>
    <row r="843" spans="1:4" ht="14.25" customHeight="1" x14ac:dyDescent="0.3">
      <c r="A843" s="9" t="str">
        <f>IF(OR(A842="",B842=""),"",A842)</f>
        <v/>
      </c>
      <c r="B843" s="9" t="str">
        <f>IF(B842="","",IF(B842="1-2","3-4",IF(B842="3-4","1-2","")))</f>
        <v/>
      </c>
      <c r="C843" s="19" t="str">
        <f>IF(OR(A842="",C842=""),"",100-C842)</f>
        <v/>
      </c>
      <c r="D843" s="3" t="str">
        <f t="shared" si="13"/>
        <v>INVALID PERCENT</v>
      </c>
    </row>
    <row r="844" spans="1:4" ht="14.25" customHeight="1" x14ac:dyDescent="0.3">
      <c r="A844" s="7"/>
      <c r="B844" s="7"/>
      <c r="C844" s="18"/>
      <c r="D844" s="3" t="str">
        <f t="shared" si="13"/>
        <v/>
      </c>
    </row>
    <row r="845" spans="1:4" ht="14.25" customHeight="1" x14ac:dyDescent="0.3">
      <c r="A845" s="9" t="str">
        <f>IF(OR(A844="",B844=""),"",A844)</f>
        <v/>
      </c>
      <c r="B845" s="9" t="str">
        <f>IF(B844="","",IF(B844="1-2","3-4",IF(B844="3-4","1-2","")))</f>
        <v/>
      </c>
      <c r="C845" s="19" t="str">
        <f>IF(OR(A844="",C844=""),"",100-C844)</f>
        <v/>
      </c>
      <c r="D845" s="3" t="str">
        <f t="shared" si="13"/>
        <v>INVALID PERCENT</v>
      </c>
    </row>
    <row r="846" spans="1:4" ht="14.25" customHeight="1" x14ac:dyDescent="0.3">
      <c r="A846" s="7"/>
      <c r="B846" s="7"/>
      <c r="C846" s="18"/>
      <c r="D846" s="3" t="str">
        <f t="shared" si="13"/>
        <v/>
      </c>
    </row>
    <row r="847" spans="1:4" ht="14.25" customHeight="1" x14ac:dyDescent="0.3">
      <c r="A847" s="9" t="str">
        <f>IF(OR(A846="",B846=""),"",A846)</f>
        <v/>
      </c>
      <c r="B847" s="9" t="str">
        <f>IF(B846="","",IF(B846="1-2","3-4",IF(B846="3-4","1-2","")))</f>
        <v/>
      </c>
      <c r="C847" s="19" t="str">
        <f>IF(OR(A846="",C846=""),"",100-C846)</f>
        <v/>
      </c>
      <c r="D847" s="3" t="str">
        <f t="shared" si="13"/>
        <v>INVALID PERCENT</v>
      </c>
    </row>
    <row r="848" spans="1:4" ht="14.25" customHeight="1" x14ac:dyDescent="0.3">
      <c r="A848" s="7"/>
      <c r="B848" s="7"/>
      <c r="C848" s="18"/>
      <c r="D848" s="3" t="str">
        <f t="shared" si="13"/>
        <v/>
      </c>
    </row>
    <row r="849" spans="1:4" ht="14.25" customHeight="1" x14ac:dyDescent="0.3">
      <c r="A849" s="9" t="str">
        <f>IF(OR(A848="",B848=""),"",A848)</f>
        <v/>
      </c>
      <c r="B849" s="9" t="str">
        <f>IF(B848="","",IF(B848="1-2","3-4",IF(B848="3-4","1-2","")))</f>
        <v/>
      </c>
      <c r="C849" s="19" t="str">
        <f>IF(OR(A848="",C848=""),"",100-C848)</f>
        <v/>
      </c>
      <c r="D849" s="3" t="str">
        <f t="shared" si="13"/>
        <v>INVALID PERCENT</v>
      </c>
    </row>
    <row r="850" spans="1:4" ht="14.25" customHeight="1" x14ac:dyDescent="0.3">
      <c r="A850" s="7"/>
      <c r="B850" s="7"/>
      <c r="C850" s="18"/>
      <c r="D850" s="3" t="str">
        <f t="shared" si="13"/>
        <v/>
      </c>
    </row>
    <row r="851" spans="1:4" ht="14.25" customHeight="1" x14ac:dyDescent="0.3">
      <c r="A851" s="9" t="str">
        <f>IF(OR(A850="",B850=""),"",A850)</f>
        <v/>
      </c>
      <c r="B851" s="9" t="str">
        <f>IF(B850="","",IF(B850="1-2","3-4",IF(B850="3-4","1-2","")))</f>
        <v/>
      </c>
      <c r="C851" s="19" t="str">
        <f>IF(OR(A850="",C850=""),"",100-C850)</f>
        <v/>
      </c>
      <c r="D851" s="3" t="str">
        <f t="shared" si="13"/>
        <v>INVALID PERCENT</v>
      </c>
    </row>
    <row r="852" spans="1:4" ht="14.25" customHeight="1" x14ac:dyDescent="0.3">
      <c r="A852" s="7"/>
      <c r="B852" s="7"/>
      <c r="C852" s="18"/>
      <c r="D852" s="3" t="str">
        <f t="shared" si="13"/>
        <v/>
      </c>
    </row>
    <row r="853" spans="1:4" ht="14.25" customHeight="1" x14ac:dyDescent="0.3">
      <c r="A853" s="9" t="str">
        <f>IF(OR(A852="",B852=""),"",A852)</f>
        <v/>
      </c>
      <c r="B853" s="9" t="str">
        <f>IF(B852="","",IF(B852="1-2","3-4",IF(B852="3-4","1-2","")))</f>
        <v/>
      </c>
      <c r="C853" s="19" t="str">
        <f>IF(OR(A852="",C852=""),"",100-C852)</f>
        <v/>
      </c>
      <c r="D853" s="3" t="str">
        <f t="shared" si="13"/>
        <v>INVALID PERCENT</v>
      </c>
    </row>
    <row r="854" spans="1:4" ht="14.25" customHeight="1" x14ac:dyDescent="0.3">
      <c r="A854" s="7"/>
      <c r="B854" s="7"/>
      <c r="C854" s="18"/>
      <c r="D854" s="3" t="str">
        <f t="shared" si="13"/>
        <v/>
      </c>
    </row>
    <row r="855" spans="1:4" ht="14.25" customHeight="1" x14ac:dyDescent="0.3">
      <c r="A855" s="9" t="str">
        <f>IF(OR(A854="",B854=""),"",A854)</f>
        <v/>
      </c>
      <c r="B855" s="9" t="str">
        <f>IF(B854="","",IF(B854="1-2","3-4",IF(B854="3-4","1-2","")))</f>
        <v/>
      </c>
      <c r="C855" s="19" t="str">
        <f>IF(OR(A854="",C854=""),"",100-C854)</f>
        <v/>
      </c>
      <c r="D855" s="3" t="str">
        <f t="shared" si="13"/>
        <v>INVALID PERCENT</v>
      </c>
    </row>
    <row r="856" spans="1:4" ht="14.25" customHeight="1" x14ac:dyDescent="0.3">
      <c r="A856" s="7"/>
      <c r="B856" s="7"/>
      <c r="C856" s="18"/>
      <c r="D856" s="3" t="str">
        <f t="shared" si="13"/>
        <v/>
      </c>
    </row>
    <row r="857" spans="1:4" ht="14.25" customHeight="1" x14ac:dyDescent="0.3">
      <c r="A857" s="9" t="str">
        <f>IF(OR(A856="",B856=""),"",A856)</f>
        <v/>
      </c>
      <c r="B857" s="9" t="str">
        <f>IF(B856="","",IF(B856="1-2","3-4",IF(B856="3-4","1-2","")))</f>
        <v/>
      </c>
      <c r="C857" s="19" t="str">
        <f>IF(OR(A856="",C856=""),"",100-C856)</f>
        <v/>
      </c>
      <c r="D857" s="3" t="str">
        <f t="shared" si="13"/>
        <v>INVALID PERCENT</v>
      </c>
    </row>
    <row r="858" spans="1:4" ht="14.25" customHeight="1" x14ac:dyDescent="0.3">
      <c r="A858" s="7"/>
      <c r="B858" s="7"/>
      <c r="C858" s="18"/>
      <c r="D858" s="3" t="str">
        <f t="shared" si="13"/>
        <v/>
      </c>
    </row>
    <row r="859" spans="1:4" ht="14.25" customHeight="1" x14ac:dyDescent="0.3">
      <c r="A859" s="9" t="str">
        <f>IF(OR(A858="",B858=""),"",A858)</f>
        <v/>
      </c>
      <c r="B859" s="9" t="str">
        <f>IF(B858="","",IF(B858="1-2","3-4",IF(B858="3-4","1-2","")))</f>
        <v/>
      </c>
      <c r="C859" s="19" t="str">
        <f>IF(OR(A858="",C858=""),"",100-C858)</f>
        <v/>
      </c>
      <c r="D859" s="3" t="str">
        <f t="shared" si="13"/>
        <v>INVALID PERCENT</v>
      </c>
    </row>
    <row r="860" spans="1:4" ht="14.25" customHeight="1" x14ac:dyDescent="0.3">
      <c r="A860" s="7"/>
      <c r="B860" s="7"/>
      <c r="C860" s="18"/>
      <c r="D860" s="3" t="str">
        <f t="shared" si="13"/>
        <v/>
      </c>
    </row>
    <row r="861" spans="1:4" ht="14.25" customHeight="1" x14ac:dyDescent="0.3">
      <c r="A861" s="9" t="str">
        <f>IF(OR(A860="",B860=""),"",A860)</f>
        <v/>
      </c>
      <c r="B861" s="9" t="str">
        <f>IF(B860="","",IF(B860="1-2","3-4",IF(B860="3-4","1-2","")))</f>
        <v/>
      </c>
      <c r="C861" s="19" t="str">
        <f>IF(OR(A860="",C860=""),"",100-C860)</f>
        <v/>
      </c>
      <c r="D861" s="3" t="str">
        <f t="shared" si="13"/>
        <v>INVALID PERCENT</v>
      </c>
    </row>
    <row r="862" spans="1:4" ht="14.25" customHeight="1" x14ac:dyDescent="0.3">
      <c r="A862" s="7"/>
      <c r="B862" s="7"/>
      <c r="C862" s="18"/>
      <c r="D862" s="3" t="str">
        <f t="shared" si="13"/>
        <v/>
      </c>
    </row>
    <row r="863" spans="1:4" ht="14.25" customHeight="1" x14ac:dyDescent="0.3">
      <c r="A863" s="9" t="str">
        <f>IF(OR(A862="",B862=""),"",A862)</f>
        <v/>
      </c>
      <c r="B863" s="9" t="str">
        <f>IF(B862="","",IF(B862="1-2","3-4",IF(B862="3-4","1-2","")))</f>
        <v/>
      </c>
      <c r="C863" s="19" t="str">
        <f>IF(OR(A862="",C862=""),"",100-C862)</f>
        <v/>
      </c>
      <c r="D863" s="3" t="str">
        <f t="shared" si="13"/>
        <v>INVALID PERCENT</v>
      </c>
    </row>
    <row r="864" spans="1:4" ht="14.25" customHeight="1" x14ac:dyDescent="0.3">
      <c r="A864" s="7"/>
      <c r="B864" s="7"/>
      <c r="C864" s="18"/>
      <c r="D864" s="3" t="str">
        <f t="shared" si="13"/>
        <v/>
      </c>
    </row>
    <row r="865" spans="1:4" ht="14.25" customHeight="1" x14ac:dyDescent="0.3">
      <c r="A865" s="9" t="str">
        <f>IF(OR(A864="",B864=""),"",A864)</f>
        <v/>
      </c>
      <c r="B865" s="9" t="str">
        <f>IF(B864="","",IF(B864="1-2","3-4",IF(B864="3-4","1-2","")))</f>
        <v/>
      </c>
      <c r="C865" s="19" t="str">
        <f>IF(OR(A864="",C864=""),"",100-C864)</f>
        <v/>
      </c>
      <c r="D865" s="3" t="str">
        <f t="shared" si="13"/>
        <v>INVALID PERCENT</v>
      </c>
    </row>
    <row r="866" spans="1:4" ht="14.25" customHeight="1" x14ac:dyDescent="0.3">
      <c r="A866" s="7"/>
      <c r="B866" s="7"/>
      <c r="C866" s="18"/>
      <c r="D866" s="3" t="str">
        <f t="shared" si="13"/>
        <v/>
      </c>
    </row>
    <row r="867" spans="1:4" ht="14.25" customHeight="1" x14ac:dyDescent="0.3">
      <c r="A867" s="9" t="str">
        <f>IF(OR(A866="",B866=""),"",A866)</f>
        <v/>
      </c>
      <c r="B867" s="9" t="str">
        <f>IF(B866="","",IF(B866="1-2","3-4",IF(B866="3-4","1-2","")))</f>
        <v/>
      </c>
      <c r="C867" s="19" t="str">
        <f>IF(OR(A866="",C866=""),"",100-C866)</f>
        <v/>
      </c>
      <c r="D867" s="3" t="str">
        <f t="shared" si="13"/>
        <v>INVALID PERCENT</v>
      </c>
    </row>
    <row r="868" spans="1:4" ht="14.25" customHeight="1" x14ac:dyDescent="0.3">
      <c r="A868" s="7"/>
      <c r="B868" s="7"/>
      <c r="C868" s="18"/>
      <c r="D868" s="3" t="str">
        <f t="shared" si="13"/>
        <v/>
      </c>
    </row>
    <row r="869" spans="1:4" ht="14.25" customHeight="1" x14ac:dyDescent="0.3">
      <c r="A869" s="9" t="str">
        <f>IF(OR(A868="",B868=""),"",A868)</f>
        <v/>
      </c>
      <c r="B869" s="9" t="str">
        <f>IF(B868="","",IF(B868="1-2","3-4",IF(B868="3-4","1-2","")))</f>
        <v/>
      </c>
      <c r="C869" s="19" t="str">
        <f>IF(OR(A868="",C868=""),"",100-C868)</f>
        <v/>
      </c>
      <c r="D869" s="3" t="str">
        <f t="shared" si="13"/>
        <v>INVALID PERCENT</v>
      </c>
    </row>
    <row r="870" spans="1:4" ht="14.25" customHeight="1" x14ac:dyDescent="0.3">
      <c r="A870" s="7"/>
      <c r="B870" s="7"/>
      <c r="C870" s="18"/>
      <c r="D870" s="3" t="str">
        <f t="shared" si="13"/>
        <v/>
      </c>
    </row>
    <row r="871" spans="1:4" ht="14.25" customHeight="1" x14ac:dyDescent="0.3">
      <c r="A871" s="9" t="str">
        <f>IF(OR(A870="",B870=""),"",A870)</f>
        <v/>
      </c>
      <c r="B871" s="9" t="str">
        <f>IF(B870="","",IF(B870="1-2","3-4",IF(B870="3-4","1-2","")))</f>
        <v/>
      </c>
      <c r="C871" s="19" t="str">
        <f>IF(OR(A870="",C870=""),"",100-C870)</f>
        <v/>
      </c>
      <c r="D871" s="3" t="str">
        <f t="shared" si="13"/>
        <v>INVALID PERCENT</v>
      </c>
    </row>
    <row r="872" spans="1:4" ht="14.25" customHeight="1" x14ac:dyDescent="0.3">
      <c r="A872" s="7"/>
      <c r="B872" s="7"/>
      <c r="C872" s="18"/>
      <c r="D872" s="3" t="str">
        <f t="shared" si="13"/>
        <v/>
      </c>
    </row>
    <row r="873" spans="1:4" ht="14.25" customHeight="1" x14ac:dyDescent="0.3">
      <c r="A873" s="9" t="str">
        <f>IF(OR(A872="",B872=""),"",A872)</f>
        <v/>
      </c>
      <c r="B873" s="9" t="str">
        <f>IF(B872="","",IF(B872="1-2","3-4",IF(B872="3-4","1-2","")))</f>
        <v/>
      </c>
      <c r="C873" s="19" t="str">
        <f>IF(OR(A872="",C872=""),"",100-C872)</f>
        <v/>
      </c>
      <c r="D873" s="3" t="str">
        <f t="shared" si="13"/>
        <v>INVALID PERCENT</v>
      </c>
    </row>
    <row r="874" spans="1:4" ht="14.25" customHeight="1" x14ac:dyDescent="0.3">
      <c r="A874" s="7"/>
      <c r="B874" s="7"/>
      <c r="C874" s="18"/>
      <c r="D874" s="3" t="str">
        <f t="shared" si="13"/>
        <v/>
      </c>
    </row>
    <row r="875" spans="1:4" ht="14.25" customHeight="1" x14ac:dyDescent="0.3">
      <c r="A875" s="9" t="str">
        <f>IF(OR(A874="",B874=""),"",A874)</f>
        <v/>
      </c>
      <c r="B875" s="9" t="str">
        <f>IF(B874="","",IF(B874="1-2","3-4",IF(B874="3-4","1-2","")))</f>
        <v/>
      </c>
      <c r="C875" s="19" t="str">
        <f>IF(OR(A874="",C874=""),"",100-C874)</f>
        <v/>
      </c>
      <c r="D875" s="3" t="str">
        <f t="shared" si="13"/>
        <v>INVALID PERCENT</v>
      </c>
    </row>
    <row r="876" spans="1:4" ht="14.25" customHeight="1" x14ac:dyDescent="0.3">
      <c r="A876" s="7"/>
      <c r="B876" s="7"/>
      <c r="C876" s="18"/>
      <c r="D876" s="3" t="str">
        <f t="shared" si="13"/>
        <v/>
      </c>
    </row>
    <row r="877" spans="1:4" ht="14.25" customHeight="1" x14ac:dyDescent="0.3">
      <c r="A877" s="9" t="str">
        <f>IF(OR(A876="",B876=""),"",A876)</f>
        <v/>
      </c>
      <c r="B877" s="9" t="str">
        <f>IF(B876="","",IF(B876="1-2","3-4",IF(B876="3-4","1-2","")))</f>
        <v/>
      </c>
      <c r="C877" s="19" t="str">
        <f>IF(OR(A876="",C876=""),"",100-C876)</f>
        <v/>
      </c>
      <c r="D877" s="3" t="str">
        <f t="shared" si="13"/>
        <v>INVALID PERCENT</v>
      </c>
    </row>
    <row r="878" spans="1:4" ht="14.25" customHeight="1" x14ac:dyDescent="0.3">
      <c r="A878" s="7"/>
      <c r="B878" s="7"/>
      <c r="C878" s="18"/>
      <c r="D878" s="3" t="str">
        <f t="shared" si="13"/>
        <v/>
      </c>
    </row>
    <row r="879" spans="1:4" ht="14.25" customHeight="1" x14ac:dyDescent="0.3">
      <c r="A879" s="9" t="str">
        <f>IF(OR(A878="",B878=""),"",A878)</f>
        <v/>
      </c>
      <c r="B879" s="9" t="str">
        <f>IF(B878="","",IF(B878="1-2","3-4",IF(B878="3-4","1-2","")))</f>
        <v/>
      </c>
      <c r="C879" s="19" t="str">
        <f>IF(OR(A878="",C878=""),"",100-C878)</f>
        <v/>
      </c>
      <c r="D879" s="3" t="str">
        <f t="shared" si="13"/>
        <v>INVALID PERCENT</v>
      </c>
    </row>
    <row r="880" spans="1:4" ht="14.25" customHeight="1" x14ac:dyDescent="0.3">
      <c r="A880" s="7"/>
      <c r="B880" s="7"/>
      <c r="C880" s="18"/>
      <c r="D880" s="3" t="str">
        <f t="shared" si="13"/>
        <v/>
      </c>
    </row>
    <row r="881" spans="1:4" ht="14.25" customHeight="1" x14ac:dyDescent="0.3">
      <c r="A881" s="9" t="str">
        <f>IF(OR(A880="",B880=""),"",A880)</f>
        <v/>
      </c>
      <c r="B881" s="9" t="str">
        <f>IF(B880="","",IF(B880="1-2","3-4",IF(B880="3-4","1-2","")))</f>
        <v/>
      </c>
      <c r="C881" s="19" t="str">
        <f>IF(OR(A880="",C880=""),"",100-C880)</f>
        <v/>
      </c>
      <c r="D881" s="3" t="str">
        <f t="shared" si="13"/>
        <v>INVALID PERCENT</v>
      </c>
    </row>
    <row r="882" spans="1:4" ht="14.25" customHeight="1" x14ac:dyDescent="0.3">
      <c r="A882" s="7"/>
      <c r="B882" s="7"/>
      <c r="C882" s="18"/>
      <c r="D882" s="3" t="str">
        <f t="shared" si="13"/>
        <v/>
      </c>
    </row>
    <row r="883" spans="1:4" ht="14.25" customHeight="1" x14ac:dyDescent="0.3">
      <c r="A883" s="9" t="str">
        <f>IF(OR(A882="",B882=""),"",A882)</f>
        <v/>
      </c>
      <c r="B883" s="9" t="str">
        <f>IF(B882="","",IF(B882="1-2","3-4",IF(B882="3-4","1-2","")))</f>
        <v/>
      </c>
      <c r="C883" s="19" t="str">
        <f>IF(OR(A882="",C882=""),"",100-C882)</f>
        <v/>
      </c>
      <c r="D883" s="3" t="str">
        <f t="shared" si="13"/>
        <v>INVALID PERCENT</v>
      </c>
    </row>
    <row r="884" spans="1:4" ht="14.25" customHeight="1" x14ac:dyDescent="0.3">
      <c r="A884" s="7"/>
      <c r="B884" s="7"/>
      <c r="C884" s="18"/>
      <c r="D884" s="3" t="str">
        <f t="shared" si="13"/>
        <v/>
      </c>
    </row>
    <row r="885" spans="1:4" ht="14.25" customHeight="1" x14ac:dyDescent="0.3">
      <c r="A885" s="9" t="str">
        <f>IF(OR(A884="",B884=""),"",A884)</f>
        <v/>
      </c>
      <c r="B885" s="9" t="str">
        <f>IF(B884="","",IF(B884="1-2","3-4",IF(B884="3-4","1-2","")))</f>
        <v/>
      </c>
      <c r="C885" s="19" t="str">
        <f>IF(OR(A884="",C884=""),"",100-C884)</f>
        <v/>
      </c>
      <c r="D885" s="3" t="str">
        <f t="shared" si="13"/>
        <v>INVALID PERCENT</v>
      </c>
    </row>
    <row r="886" spans="1:4" ht="14.25" customHeight="1" x14ac:dyDescent="0.3">
      <c r="A886" s="7"/>
      <c r="B886" s="7"/>
      <c r="C886" s="18"/>
      <c r="D886" s="3" t="str">
        <f t="shared" si="13"/>
        <v/>
      </c>
    </row>
    <row r="887" spans="1:4" ht="14.25" customHeight="1" x14ac:dyDescent="0.3">
      <c r="A887" s="9" t="str">
        <f>IF(OR(A886="",B886=""),"",A886)</f>
        <v/>
      </c>
      <c r="B887" s="9" t="str">
        <f>IF(B886="","",IF(B886="1-2","3-4",IF(B886="3-4","1-2","")))</f>
        <v/>
      </c>
      <c r="C887" s="19" t="str">
        <f>IF(OR(A886="",C886=""),"",100-C886)</f>
        <v/>
      </c>
      <c r="D887" s="3" t="str">
        <f t="shared" si="13"/>
        <v>INVALID PERCENT</v>
      </c>
    </row>
    <row r="888" spans="1:4" ht="14.25" customHeight="1" x14ac:dyDescent="0.3">
      <c r="A888" s="7"/>
      <c r="B888" s="7"/>
      <c r="C888" s="18"/>
      <c r="D888" s="3" t="str">
        <f t="shared" si="13"/>
        <v/>
      </c>
    </row>
    <row r="889" spans="1:4" ht="14.25" customHeight="1" x14ac:dyDescent="0.3">
      <c r="A889" s="9" t="str">
        <f>IF(OR(A888="",B888=""),"",A888)</f>
        <v/>
      </c>
      <c r="B889" s="9" t="str">
        <f>IF(B888="","",IF(B888="1-2","3-4",IF(B888="3-4","1-2","")))</f>
        <v/>
      </c>
      <c r="C889" s="19" t="str">
        <f>IF(OR(A888="",C888=""),"",100-C888)</f>
        <v/>
      </c>
      <c r="D889" s="3" t="str">
        <f t="shared" si="13"/>
        <v>INVALID PERCENT</v>
      </c>
    </row>
    <row r="890" spans="1:4" ht="14.25" customHeight="1" x14ac:dyDescent="0.3">
      <c r="A890" s="7"/>
      <c r="B890" s="7"/>
      <c r="C890" s="18"/>
      <c r="D890" s="3" t="str">
        <f t="shared" si="13"/>
        <v/>
      </c>
    </row>
    <row r="891" spans="1:4" ht="14.25" customHeight="1" x14ac:dyDescent="0.3">
      <c r="A891" s="9" t="str">
        <f>IF(OR(A890="",B890=""),"",A890)</f>
        <v/>
      </c>
      <c r="B891" s="9" t="str">
        <f>IF(B890="","",IF(B890="1-2","3-4",IF(B890="3-4","1-2","")))</f>
        <v/>
      </c>
      <c r="C891" s="19" t="str">
        <f>IF(OR(A890="",C890=""),"",100-C890)</f>
        <v/>
      </c>
      <c r="D891" s="3" t="str">
        <f t="shared" si="13"/>
        <v>INVALID PERCENT</v>
      </c>
    </row>
    <row r="892" spans="1:4" ht="14.25" customHeight="1" x14ac:dyDescent="0.3">
      <c r="A892" s="7"/>
      <c r="B892" s="7"/>
      <c r="C892" s="18"/>
      <c r="D892" s="3" t="str">
        <f t="shared" si="13"/>
        <v/>
      </c>
    </row>
    <row r="893" spans="1:4" ht="14.25" customHeight="1" x14ac:dyDescent="0.3">
      <c r="A893" s="9" t="str">
        <f>IF(OR(A892="",B892=""),"",A892)</f>
        <v/>
      </c>
      <c r="B893" s="9" t="str">
        <f>IF(B892="","",IF(B892="1-2","3-4",IF(B892="3-4","1-2","")))</f>
        <v/>
      </c>
      <c r="C893" s="19" t="str">
        <f>IF(OR(A892="",C892=""),"",100-C892)</f>
        <v/>
      </c>
      <c r="D893" s="3" t="str">
        <f t="shared" si="13"/>
        <v>INVALID PERCENT</v>
      </c>
    </row>
    <row r="894" spans="1:4" ht="14.25" customHeight="1" x14ac:dyDescent="0.3">
      <c r="A894" s="7"/>
      <c r="B894" s="7"/>
      <c r="C894" s="18"/>
      <c r="D894" s="3" t="str">
        <f t="shared" si="13"/>
        <v/>
      </c>
    </row>
    <row r="895" spans="1:4" ht="14.25" customHeight="1" x14ac:dyDescent="0.3">
      <c r="A895" s="9" t="str">
        <f>IF(OR(A894="",B894=""),"",A894)</f>
        <v/>
      </c>
      <c r="B895" s="9" t="str">
        <f>IF(B894="","",IF(B894="1-2","3-4",IF(B894="3-4","1-2","")))</f>
        <v/>
      </c>
      <c r="C895" s="19" t="str">
        <f>IF(OR(A894="",C894=""),"",100-C894)</f>
        <v/>
      </c>
      <c r="D895" s="3" t="str">
        <f t="shared" si="13"/>
        <v>INVALID PERCENT</v>
      </c>
    </row>
    <row r="896" spans="1:4" ht="14.25" customHeight="1" x14ac:dyDescent="0.3">
      <c r="A896" s="7"/>
      <c r="B896" s="7"/>
      <c r="C896" s="18"/>
      <c r="D896" s="3" t="str">
        <f t="shared" si="13"/>
        <v/>
      </c>
    </row>
    <row r="897" spans="1:4" ht="14.25" customHeight="1" x14ac:dyDescent="0.3">
      <c r="A897" s="9" t="str">
        <f>IF(OR(A896="",B896=""),"",A896)</f>
        <v/>
      </c>
      <c r="B897" s="9" t="str">
        <f>IF(B896="","",IF(B896="1-2","3-4",IF(B896="3-4","1-2","")))</f>
        <v/>
      </c>
      <c r="C897" s="19" t="str">
        <f>IF(OR(A896="",C896=""),"",100-C896)</f>
        <v/>
      </c>
      <c r="D897" s="3" t="str">
        <f t="shared" si="13"/>
        <v>INVALID PERCENT</v>
      </c>
    </row>
    <row r="898" spans="1:4" ht="14.25" customHeight="1" x14ac:dyDescent="0.3">
      <c r="A898" s="7"/>
      <c r="B898" s="7"/>
      <c r="C898" s="18"/>
      <c r="D898" s="3" t="str">
        <f t="shared" ref="D898:D961" si="14">IF(COUNTA(A898:C898)=0,"",IF(OR(C898&lt;0,C898&gt;100),"INVALID PERCENT",IF(COUNTIFS($A$2:$A$1000,A898,$B$2:$B$1000,B898)&gt;1,"DUPLICATE ROOM/GROUP","OK")))</f>
        <v/>
      </c>
    </row>
    <row r="899" spans="1:4" ht="14.25" customHeight="1" x14ac:dyDescent="0.3">
      <c r="A899" s="9" t="str">
        <f>IF(OR(A898="",B898=""),"",A898)</f>
        <v/>
      </c>
      <c r="B899" s="9" t="str">
        <f>IF(B898="","",IF(B898="1-2","3-4",IF(B898="3-4","1-2","")))</f>
        <v/>
      </c>
      <c r="C899" s="19" t="str">
        <f>IF(OR(A898="",C898=""),"",100-C898)</f>
        <v/>
      </c>
      <c r="D899" s="3" t="str">
        <f t="shared" si="14"/>
        <v>INVALID PERCENT</v>
      </c>
    </row>
    <row r="900" spans="1:4" ht="14.25" customHeight="1" x14ac:dyDescent="0.3">
      <c r="A900" s="7"/>
      <c r="B900" s="7"/>
      <c r="C900" s="18"/>
      <c r="D900" s="3" t="str">
        <f t="shared" si="14"/>
        <v/>
      </c>
    </row>
    <row r="901" spans="1:4" ht="14.25" customHeight="1" x14ac:dyDescent="0.3">
      <c r="A901" s="9" t="str">
        <f>IF(OR(A900="",B900=""),"",A900)</f>
        <v/>
      </c>
      <c r="B901" s="9" t="str">
        <f>IF(B900="","",IF(B900="1-2","3-4",IF(B900="3-4","1-2","")))</f>
        <v/>
      </c>
      <c r="C901" s="19" t="str">
        <f>IF(OR(A900="",C900=""),"",100-C900)</f>
        <v/>
      </c>
      <c r="D901" s="3" t="str">
        <f t="shared" si="14"/>
        <v>INVALID PERCENT</v>
      </c>
    </row>
    <row r="902" spans="1:4" ht="14.25" customHeight="1" x14ac:dyDescent="0.3">
      <c r="A902" s="7"/>
      <c r="B902" s="7"/>
      <c r="C902" s="18"/>
      <c r="D902" s="3" t="str">
        <f t="shared" si="14"/>
        <v/>
      </c>
    </row>
    <row r="903" spans="1:4" ht="14.25" customHeight="1" x14ac:dyDescent="0.3">
      <c r="A903" s="9" t="str">
        <f>IF(OR(A902="",B902=""),"",A902)</f>
        <v/>
      </c>
      <c r="B903" s="9" t="str">
        <f>IF(B902="","",IF(B902="1-2","3-4",IF(B902="3-4","1-2","")))</f>
        <v/>
      </c>
      <c r="C903" s="19" t="str">
        <f>IF(OR(A902="",C902=""),"",100-C902)</f>
        <v/>
      </c>
      <c r="D903" s="3" t="str">
        <f t="shared" si="14"/>
        <v>INVALID PERCENT</v>
      </c>
    </row>
    <row r="904" spans="1:4" ht="14.25" customHeight="1" x14ac:dyDescent="0.3">
      <c r="A904" s="7"/>
      <c r="B904" s="7"/>
      <c r="C904" s="18"/>
      <c r="D904" s="3" t="str">
        <f t="shared" si="14"/>
        <v/>
      </c>
    </row>
    <row r="905" spans="1:4" ht="14.25" customHeight="1" x14ac:dyDescent="0.3">
      <c r="A905" s="9" t="str">
        <f>IF(OR(A904="",B904=""),"",A904)</f>
        <v/>
      </c>
      <c r="B905" s="9" t="str">
        <f>IF(B904="","",IF(B904="1-2","3-4",IF(B904="3-4","1-2","")))</f>
        <v/>
      </c>
      <c r="C905" s="19" t="str">
        <f>IF(OR(A904="",C904=""),"",100-C904)</f>
        <v/>
      </c>
      <c r="D905" s="3" t="str">
        <f t="shared" si="14"/>
        <v>INVALID PERCENT</v>
      </c>
    </row>
    <row r="906" spans="1:4" ht="14.25" customHeight="1" x14ac:dyDescent="0.3">
      <c r="A906" s="7"/>
      <c r="B906" s="7"/>
      <c r="C906" s="18"/>
      <c r="D906" s="3" t="str">
        <f t="shared" si="14"/>
        <v/>
      </c>
    </row>
    <row r="907" spans="1:4" ht="14.25" customHeight="1" x14ac:dyDescent="0.3">
      <c r="A907" s="9" t="str">
        <f>IF(OR(A906="",B906=""),"",A906)</f>
        <v/>
      </c>
      <c r="B907" s="9" t="str">
        <f>IF(B906="","",IF(B906="1-2","3-4",IF(B906="3-4","1-2","")))</f>
        <v/>
      </c>
      <c r="C907" s="19" t="str">
        <f>IF(OR(A906="",C906=""),"",100-C906)</f>
        <v/>
      </c>
      <c r="D907" s="3" t="str">
        <f t="shared" si="14"/>
        <v>INVALID PERCENT</v>
      </c>
    </row>
    <row r="908" spans="1:4" ht="14.25" customHeight="1" x14ac:dyDescent="0.3">
      <c r="A908" s="7"/>
      <c r="B908" s="7"/>
      <c r="C908" s="18"/>
      <c r="D908" s="3" t="str">
        <f t="shared" si="14"/>
        <v/>
      </c>
    </row>
    <row r="909" spans="1:4" ht="14.25" customHeight="1" x14ac:dyDescent="0.3">
      <c r="A909" s="9" t="str">
        <f>IF(OR(A908="",B908=""),"",A908)</f>
        <v/>
      </c>
      <c r="B909" s="9" t="str">
        <f>IF(B908="","",IF(B908="1-2","3-4",IF(B908="3-4","1-2","")))</f>
        <v/>
      </c>
      <c r="C909" s="19" t="str">
        <f>IF(OR(A908="",C908=""),"",100-C908)</f>
        <v/>
      </c>
      <c r="D909" s="3" t="str">
        <f t="shared" si="14"/>
        <v>INVALID PERCENT</v>
      </c>
    </row>
    <row r="910" spans="1:4" ht="14.25" customHeight="1" x14ac:dyDescent="0.3">
      <c r="A910" s="7"/>
      <c r="B910" s="7"/>
      <c r="C910" s="18"/>
      <c r="D910" s="3" t="str">
        <f t="shared" si="14"/>
        <v/>
      </c>
    </row>
    <row r="911" spans="1:4" ht="14.25" customHeight="1" x14ac:dyDescent="0.3">
      <c r="A911" s="9" t="str">
        <f>IF(OR(A910="",B910=""),"",A910)</f>
        <v/>
      </c>
      <c r="B911" s="9" t="str">
        <f>IF(B910="","",IF(B910="1-2","3-4",IF(B910="3-4","1-2","")))</f>
        <v/>
      </c>
      <c r="C911" s="19" t="str">
        <f>IF(OR(A910="",C910=""),"",100-C910)</f>
        <v/>
      </c>
      <c r="D911" s="3" t="str">
        <f t="shared" si="14"/>
        <v>INVALID PERCENT</v>
      </c>
    </row>
    <row r="912" spans="1:4" ht="14.25" customHeight="1" x14ac:dyDescent="0.3">
      <c r="A912" s="7"/>
      <c r="B912" s="7"/>
      <c r="C912" s="18"/>
      <c r="D912" s="3" t="str">
        <f t="shared" si="14"/>
        <v/>
      </c>
    </row>
    <row r="913" spans="1:4" ht="14.25" customHeight="1" x14ac:dyDescent="0.3">
      <c r="A913" s="9" t="str">
        <f>IF(OR(A912="",B912=""),"",A912)</f>
        <v/>
      </c>
      <c r="B913" s="9" t="str">
        <f>IF(B912="","",IF(B912="1-2","3-4",IF(B912="3-4","1-2","")))</f>
        <v/>
      </c>
      <c r="C913" s="19" t="str">
        <f>IF(OR(A912="",C912=""),"",100-C912)</f>
        <v/>
      </c>
      <c r="D913" s="3" t="str">
        <f t="shared" si="14"/>
        <v>INVALID PERCENT</v>
      </c>
    </row>
    <row r="914" spans="1:4" ht="14.25" customHeight="1" x14ac:dyDescent="0.3">
      <c r="A914" s="7"/>
      <c r="B914" s="7"/>
      <c r="C914" s="18"/>
      <c r="D914" s="3" t="str">
        <f t="shared" si="14"/>
        <v/>
      </c>
    </row>
    <row r="915" spans="1:4" ht="14.25" customHeight="1" x14ac:dyDescent="0.3">
      <c r="A915" s="9" t="str">
        <f>IF(OR(A914="",B914=""),"",A914)</f>
        <v/>
      </c>
      <c r="B915" s="9" t="str">
        <f>IF(B914="","",IF(B914="1-2","3-4",IF(B914="3-4","1-2","")))</f>
        <v/>
      </c>
      <c r="C915" s="19" t="str">
        <f>IF(OR(A914="",C914=""),"",100-C914)</f>
        <v/>
      </c>
      <c r="D915" s="3" t="str">
        <f t="shared" si="14"/>
        <v>INVALID PERCENT</v>
      </c>
    </row>
    <row r="916" spans="1:4" ht="14.25" customHeight="1" x14ac:dyDescent="0.3">
      <c r="A916" s="7"/>
      <c r="B916" s="7"/>
      <c r="C916" s="18"/>
      <c r="D916" s="3" t="str">
        <f t="shared" si="14"/>
        <v/>
      </c>
    </row>
    <row r="917" spans="1:4" ht="14.25" customHeight="1" x14ac:dyDescent="0.3">
      <c r="A917" s="9" t="str">
        <f>IF(OR(A916="",B916=""),"",A916)</f>
        <v/>
      </c>
      <c r="B917" s="9" t="str">
        <f>IF(B916="","",IF(B916="1-2","3-4",IF(B916="3-4","1-2","")))</f>
        <v/>
      </c>
      <c r="C917" s="19" t="str">
        <f>IF(OR(A916="",C916=""),"",100-C916)</f>
        <v/>
      </c>
      <c r="D917" s="3" t="str">
        <f t="shared" si="14"/>
        <v>INVALID PERCENT</v>
      </c>
    </row>
    <row r="918" spans="1:4" ht="14.25" customHeight="1" x14ac:dyDescent="0.3">
      <c r="A918" s="7"/>
      <c r="B918" s="7"/>
      <c r="C918" s="18"/>
      <c r="D918" s="3" t="str">
        <f t="shared" si="14"/>
        <v/>
      </c>
    </row>
    <row r="919" spans="1:4" ht="14.25" customHeight="1" x14ac:dyDescent="0.3">
      <c r="A919" s="9" t="str">
        <f>IF(OR(A918="",B918=""),"",A918)</f>
        <v/>
      </c>
      <c r="B919" s="9" t="str">
        <f>IF(B918="","",IF(B918="1-2","3-4",IF(B918="3-4","1-2","")))</f>
        <v/>
      </c>
      <c r="C919" s="19" t="str">
        <f>IF(OR(A918="",C918=""),"",100-C918)</f>
        <v/>
      </c>
      <c r="D919" s="3" t="str">
        <f t="shared" si="14"/>
        <v>INVALID PERCENT</v>
      </c>
    </row>
    <row r="920" spans="1:4" ht="14.25" customHeight="1" x14ac:dyDescent="0.3">
      <c r="A920" s="7"/>
      <c r="B920" s="7"/>
      <c r="C920" s="18"/>
      <c r="D920" s="3" t="str">
        <f t="shared" si="14"/>
        <v/>
      </c>
    </row>
    <row r="921" spans="1:4" ht="14.25" customHeight="1" x14ac:dyDescent="0.3">
      <c r="A921" s="9" t="str">
        <f>IF(OR(A920="",B920=""),"",A920)</f>
        <v/>
      </c>
      <c r="B921" s="9" t="str">
        <f>IF(B920="","",IF(B920="1-2","3-4",IF(B920="3-4","1-2","")))</f>
        <v/>
      </c>
      <c r="C921" s="19" t="str">
        <f>IF(OR(A920="",C920=""),"",100-C920)</f>
        <v/>
      </c>
      <c r="D921" s="3" t="str">
        <f t="shared" si="14"/>
        <v>INVALID PERCENT</v>
      </c>
    </row>
    <row r="922" spans="1:4" ht="14.25" customHeight="1" x14ac:dyDescent="0.3">
      <c r="A922" s="7"/>
      <c r="B922" s="7"/>
      <c r="C922" s="18"/>
      <c r="D922" s="3" t="str">
        <f t="shared" si="14"/>
        <v/>
      </c>
    </row>
    <row r="923" spans="1:4" ht="14.25" customHeight="1" x14ac:dyDescent="0.3">
      <c r="A923" s="9" t="str">
        <f>IF(OR(A922="",B922=""),"",A922)</f>
        <v/>
      </c>
      <c r="B923" s="9" t="str">
        <f>IF(B922="","",IF(B922="1-2","3-4",IF(B922="3-4","1-2","")))</f>
        <v/>
      </c>
      <c r="C923" s="19" t="str">
        <f>IF(OR(A922="",C922=""),"",100-C922)</f>
        <v/>
      </c>
      <c r="D923" s="3" t="str">
        <f t="shared" si="14"/>
        <v>INVALID PERCENT</v>
      </c>
    </row>
    <row r="924" spans="1:4" ht="14.25" customHeight="1" x14ac:dyDescent="0.3">
      <c r="A924" s="7"/>
      <c r="B924" s="7"/>
      <c r="C924" s="18"/>
      <c r="D924" s="3" t="str">
        <f t="shared" si="14"/>
        <v/>
      </c>
    </row>
    <row r="925" spans="1:4" ht="14.25" customHeight="1" x14ac:dyDescent="0.3">
      <c r="A925" s="9" t="str">
        <f>IF(OR(A924="",B924=""),"",A924)</f>
        <v/>
      </c>
      <c r="B925" s="9" t="str">
        <f>IF(B924="","",IF(B924="1-2","3-4",IF(B924="3-4","1-2","")))</f>
        <v/>
      </c>
      <c r="C925" s="19" t="str">
        <f>IF(OR(A924="",C924=""),"",100-C924)</f>
        <v/>
      </c>
      <c r="D925" s="3" t="str">
        <f t="shared" si="14"/>
        <v>INVALID PERCENT</v>
      </c>
    </row>
    <row r="926" spans="1:4" ht="14.25" customHeight="1" x14ac:dyDescent="0.3">
      <c r="A926" s="7"/>
      <c r="B926" s="7"/>
      <c r="C926" s="18"/>
      <c r="D926" s="3" t="str">
        <f t="shared" si="14"/>
        <v/>
      </c>
    </row>
    <row r="927" spans="1:4" ht="14.25" customHeight="1" x14ac:dyDescent="0.3">
      <c r="A927" s="9" t="str">
        <f>IF(OR(A926="",B926=""),"",A926)</f>
        <v/>
      </c>
      <c r="B927" s="9" t="str">
        <f>IF(B926="","",IF(B926="1-2","3-4",IF(B926="3-4","1-2","")))</f>
        <v/>
      </c>
      <c r="C927" s="19" t="str">
        <f>IF(OR(A926="",C926=""),"",100-C926)</f>
        <v/>
      </c>
      <c r="D927" s="3" t="str">
        <f t="shared" si="14"/>
        <v>INVALID PERCENT</v>
      </c>
    </row>
    <row r="928" spans="1:4" ht="14.25" customHeight="1" x14ac:dyDescent="0.3">
      <c r="A928" s="7"/>
      <c r="B928" s="7"/>
      <c r="C928" s="18"/>
      <c r="D928" s="3" t="str">
        <f t="shared" si="14"/>
        <v/>
      </c>
    </row>
    <row r="929" spans="1:4" ht="14.25" customHeight="1" x14ac:dyDescent="0.3">
      <c r="A929" s="9" t="str">
        <f>IF(OR(A928="",B928=""),"",A928)</f>
        <v/>
      </c>
      <c r="B929" s="9" t="str">
        <f>IF(B928="","",IF(B928="1-2","3-4",IF(B928="3-4","1-2","")))</f>
        <v/>
      </c>
      <c r="C929" s="19" t="str">
        <f>IF(OR(A928="",C928=""),"",100-C928)</f>
        <v/>
      </c>
      <c r="D929" s="3" t="str">
        <f t="shared" si="14"/>
        <v>INVALID PERCENT</v>
      </c>
    </row>
    <row r="930" spans="1:4" ht="14.25" customHeight="1" x14ac:dyDescent="0.3">
      <c r="A930" s="7"/>
      <c r="B930" s="7"/>
      <c r="C930" s="18"/>
      <c r="D930" s="3" t="str">
        <f t="shared" si="14"/>
        <v/>
      </c>
    </row>
    <row r="931" spans="1:4" ht="14.25" customHeight="1" x14ac:dyDescent="0.3">
      <c r="A931" s="9" t="str">
        <f>IF(OR(A930="",B930=""),"",A930)</f>
        <v/>
      </c>
      <c r="B931" s="9" t="str">
        <f>IF(B930="","",IF(B930="1-2","3-4",IF(B930="3-4","1-2","")))</f>
        <v/>
      </c>
      <c r="C931" s="19" t="str">
        <f>IF(OR(A930="",C930=""),"",100-C930)</f>
        <v/>
      </c>
      <c r="D931" s="3" t="str">
        <f t="shared" si="14"/>
        <v>INVALID PERCENT</v>
      </c>
    </row>
    <row r="932" spans="1:4" ht="14.25" customHeight="1" x14ac:dyDescent="0.3">
      <c r="A932" s="7"/>
      <c r="B932" s="7"/>
      <c r="C932" s="18"/>
      <c r="D932" s="3" t="str">
        <f t="shared" si="14"/>
        <v/>
      </c>
    </row>
    <row r="933" spans="1:4" ht="14.25" customHeight="1" x14ac:dyDescent="0.3">
      <c r="A933" s="9" t="str">
        <f>IF(OR(A932="",B932=""),"",A932)</f>
        <v/>
      </c>
      <c r="B933" s="9" t="str">
        <f>IF(B932="","",IF(B932="1-2","3-4",IF(B932="3-4","1-2","")))</f>
        <v/>
      </c>
      <c r="C933" s="19" t="str">
        <f>IF(OR(A932="",C932=""),"",100-C932)</f>
        <v/>
      </c>
      <c r="D933" s="3" t="str">
        <f t="shared" si="14"/>
        <v>INVALID PERCENT</v>
      </c>
    </row>
    <row r="934" spans="1:4" ht="14.25" customHeight="1" x14ac:dyDescent="0.3">
      <c r="A934" s="7"/>
      <c r="B934" s="7"/>
      <c r="C934" s="18"/>
      <c r="D934" s="3" t="str">
        <f t="shared" si="14"/>
        <v/>
      </c>
    </row>
    <row r="935" spans="1:4" ht="14.25" customHeight="1" x14ac:dyDescent="0.3">
      <c r="A935" s="9" t="str">
        <f>IF(OR(A934="",B934=""),"",A934)</f>
        <v/>
      </c>
      <c r="B935" s="9" t="str">
        <f>IF(B934="","",IF(B934="1-2","3-4",IF(B934="3-4","1-2","")))</f>
        <v/>
      </c>
      <c r="C935" s="19" t="str">
        <f>IF(OR(A934="",C934=""),"",100-C934)</f>
        <v/>
      </c>
      <c r="D935" s="3" t="str">
        <f t="shared" si="14"/>
        <v>INVALID PERCENT</v>
      </c>
    </row>
    <row r="936" spans="1:4" ht="14.25" customHeight="1" x14ac:dyDescent="0.3">
      <c r="A936" s="7"/>
      <c r="B936" s="7"/>
      <c r="C936" s="18"/>
      <c r="D936" s="3" t="str">
        <f t="shared" si="14"/>
        <v/>
      </c>
    </row>
    <row r="937" spans="1:4" ht="14.25" customHeight="1" x14ac:dyDescent="0.3">
      <c r="A937" s="9" t="str">
        <f>IF(OR(A936="",B936=""),"",A936)</f>
        <v/>
      </c>
      <c r="B937" s="9" t="str">
        <f>IF(B936="","",IF(B936="1-2","3-4",IF(B936="3-4","1-2","")))</f>
        <v/>
      </c>
      <c r="C937" s="19" t="str">
        <f>IF(OR(A936="",C936=""),"",100-C936)</f>
        <v/>
      </c>
      <c r="D937" s="3" t="str">
        <f t="shared" si="14"/>
        <v>INVALID PERCENT</v>
      </c>
    </row>
    <row r="938" spans="1:4" ht="14.25" customHeight="1" x14ac:dyDescent="0.3">
      <c r="A938" s="7"/>
      <c r="B938" s="7"/>
      <c r="C938" s="18"/>
      <c r="D938" s="3" t="str">
        <f t="shared" si="14"/>
        <v/>
      </c>
    </row>
    <row r="939" spans="1:4" ht="14.25" customHeight="1" x14ac:dyDescent="0.3">
      <c r="A939" s="9" t="str">
        <f>IF(OR(A938="",B938=""),"",A938)</f>
        <v/>
      </c>
      <c r="B939" s="9" t="str">
        <f>IF(B938="","",IF(B938="1-2","3-4",IF(B938="3-4","1-2","")))</f>
        <v/>
      </c>
      <c r="C939" s="19" t="str">
        <f>IF(OR(A938="",C938=""),"",100-C938)</f>
        <v/>
      </c>
      <c r="D939" s="3" t="str">
        <f t="shared" si="14"/>
        <v>INVALID PERCENT</v>
      </c>
    </row>
    <row r="940" spans="1:4" ht="14.25" customHeight="1" x14ac:dyDescent="0.3">
      <c r="A940" s="7"/>
      <c r="B940" s="7"/>
      <c r="C940" s="18"/>
      <c r="D940" s="3" t="str">
        <f t="shared" si="14"/>
        <v/>
      </c>
    </row>
    <row r="941" spans="1:4" ht="14.25" customHeight="1" x14ac:dyDescent="0.3">
      <c r="A941" s="9" t="str">
        <f>IF(OR(A940="",B940=""),"",A940)</f>
        <v/>
      </c>
      <c r="B941" s="9" t="str">
        <f>IF(B940="","",IF(B940="1-2","3-4",IF(B940="3-4","1-2","")))</f>
        <v/>
      </c>
      <c r="C941" s="19" t="str">
        <f>IF(OR(A940="",C940=""),"",100-C940)</f>
        <v/>
      </c>
      <c r="D941" s="3" t="str">
        <f t="shared" si="14"/>
        <v>INVALID PERCENT</v>
      </c>
    </row>
    <row r="942" spans="1:4" ht="14.25" customHeight="1" x14ac:dyDescent="0.3">
      <c r="A942" s="7"/>
      <c r="B942" s="7"/>
      <c r="C942" s="18"/>
      <c r="D942" s="3" t="str">
        <f t="shared" si="14"/>
        <v/>
      </c>
    </row>
    <row r="943" spans="1:4" ht="14.25" customHeight="1" x14ac:dyDescent="0.3">
      <c r="A943" s="9" t="str">
        <f>IF(OR(A942="",B942=""),"",A942)</f>
        <v/>
      </c>
      <c r="B943" s="9" t="str">
        <f>IF(B942="","",IF(B942="1-2","3-4",IF(B942="3-4","1-2","")))</f>
        <v/>
      </c>
      <c r="C943" s="19" t="str">
        <f>IF(OR(A942="",C942=""),"",100-C942)</f>
        <v/>
      </c>
      <c r="D943" s="3" t="str">
        <f t="shared" si="14"/>
        <v>INVALID PERCENT</v>
      </c>
    </row>
    <row r="944" spans="1:4" ht="14.25" customHeight="1" x14ac:dyDescent="0.3">
      <c r="A944" s="7"/>
      <c r="B944" s="7"/>
      <c r="C944" s="18"/>
      <c r="D944" s="3" t="str">
        <f t="shared" si="14"/>
        <v/>
      </c>
    </row>
    <row r="945" spans="1:4" ht="14.25" customHeight="1" x14ac:dyDescent="0.3">
      <c r="A945" s="9" t="str">
        <f>IF(OR(A944="",B944=""),"",A944)</f>
        <v/>
      </c>
      <c r="B945" s="9" t="str">
        <f>IF(B944="","",IF(B944="1-2","3-4",IF(B944="3-4","1-2","")))</f>
        <v/>
      </c>
      <c r="C945" s="19" t="str">
        <f>IF(OR(A944="",C944=""),"",100-C944)</f>
        <v/>
      </c>
      <c r="D945" s="3" t="str">
        <f t="shared" si="14"/>
        <v>INVALID PERCENT</v>
      </c>
    </row>
    <row r="946" spans="1:4" ht="14.25" customHeight="1" x14ac:dyDescent="0.3">
      <c r="A946" s="7"/>
      <c r="B946" s="7"/>
      <c r="C946" s="18"/>
      <c r="D946" s="3" t="str">
        <f t="shared" si="14"/>
        <v/>
      </c>
    </row>
    <row r="947" spans="1:4" ht="14.25" customHeight="1" x14ac:dyDescent="0.3">
      <c r="A947" s="9" t="str">
        <f>IF(OR(A946="",B946=""),"",A946)</f>
        <v/>
      </c>
      <c r="B947" s="9" t="str">
        <f>IF(B946="","",IF(B946="1-2","3-4",IF(B946="3-4","1-2","")))</f>
        <v/>
      </c>
      <c r="C947" s="19" t="str">
        <f>IF(OR(A946="",C946=""),"",100-C946)</f>
        <v/>
      </c>
      <c r="D947" s="3" t="str">
        <f t="shared" si="14"/>
        <v>INVALID PERCENT</v>
      </c>
    </row>
    <row r="948" spans="1:4" ht="14.25" customHeight="1" x14ac:dyDescent="0.3">
      <c r="A948" s="7"/>
      <c r="B948" s="7"/>
      <c r="C948" s="18"/>
      <c r="D948" s="3" t="str">
        <f t="shared" si="14"/>
        <v/>
      </c>
    </row>
    <row r="949" spans="1:4" ht="14.25" customHeight="1" x14ac:dyDescent="0.3">
      <c r="A949" s="9" t="str">
        <f>IF(OR(A948="",B948=""),"",A948)</f>
        <v/>
      </c>
      <c r="B949" s="9" t="str">
        <f>IF(B948="","",IF(B948="1-2","3-4",IF(B948="3-4","1-2","")))</f>
        <v/>
      </c>
      <c r="C949" s="19" t="str">
        <f>IF(OR(A948="",C948=""),"",100-C948)</f>
        <v/>
      </c>
      <c r="D949" s="3" t="str">
        <f t="shared" si="14"/>
        <v>INVALID PERCENT</v>
      </c>
    </row>
    <row r="950" spans="1:4" ht="14.25" customHeight="1" x14ac:dyDescent="0.3">
      <c r="A950" s="7"/>
      <c r="B950" s="7"/>
      <c r="C950" s="18"/>
      <c r="D950" s="3" t="str">
        <f t="shared" si="14"/>
        <v/>
      </c>
    </row>
    <row r="951" spans="1:4" ht="14.25" customHeight="1" x14ac:dyDescent="0.3">
      <c r="A951" s="9" t="str">
        <f>IF(OR(A950="",B950=""),"",A950)</f>
        <v/>
      </c>
      <c r="B951" s="9" t="str">
        <f>IF(B950="","",IF(B950="1-2","3-4",IF(B950="3-4","1-2","")))</f>
        <v/>
      </c>
      <c r="C951" s="19" t="str">
        <f>IF(OR(A950="",C950=""),"",100-C950)</f>
        <v/>
      </c>
      <c r="D951" s="3" t="str">
        <f t="shared" si="14"/>
        <v>INVALID PERCENT</v>
      </c>
    </row>
    <row r="952" spans="1:4" ht="14.25" customHeight="1" x14ac:dyDescent="0.3">
      <c r="A952" s="7"/>
      <c r="B952" s="7"/>
      <c r="C952" s="18"/>
      <c r="D952" s="3" t="str">
        <f t="shared" si="14"/>
        <v/>
      </c>
    </row>
    <row r="953" spans="1:4" ht="14.25" customHeight="1" x14ac:dyDescent="0.3">
      <c r="A953" s="9" t="str">
        <f>IF(OR(A952="",B952=""),"",A952)</f>
        <v/>
      </c>
      <c r="B953" s="9" t="str">
        <f>IF(B952="","",IF(B952="1-2","3-4",IF(B952="3-4","1-2","")))</f>
        <v/>
      </c>
      <c r="C953" s="19" t="str">
        <f>IF(OR(A952="",C952=""),"",100-C952)</f>
        <v/>
      </c>
      <c r="D953" s="3" t="str">
        <f t="shared" si="14"/>
        <v>INVALID PERCENT</v>
      </c>
    </row>
    <row r="954" spans="1:4" ht="14.25" customHeight="1" x14ac:dyDescent="0.3">
      <c r="A954" s="7"/>
      <c r="B954" s="7"/>
      <c r="C954" s="18"/>
      <c r="D954" s="3" t="str">
        <f t="shared" si="14"/>
        <v/>
      </c>
    </row>
    <row r="955" spans="1:4" ht="14.25" customHeight="1" x14ac:dyDescent="0.3">
      <c r="A955" s="9" t="str">
        <f>IF(OR(A954="",B954=""),"",A954)</f>
        <v/>
      </c>
      <c r="B955" s="9" t="str">
        <f>IF(B954="","",IF(B954="1-2","3-4",IF(B954="3-4","1-2","")))</f>
        <v/>
      </c>
      <c r="C955" s="19" t="str">
        <f>IF(OR(A954="",C954=""),"",100-C954)</f>
        <v/>
      </c>
      <c r="D955" s="3" t="str">
        <f t="shared" si="14"/>
        <v>INVALID PERCENT</v>
      </c>
    </row>
    <row r="956" spans="1:4" ht="14.25" customHeight="1" x14ac:dyDescent="0.3">
      <c r="A956" s="7"/>
      <c r="B956" s="7"/>
      <c r="C956" s="18"/>
      <c r="D956" s="3" t="str">
        <f t="shared" si="14"/>
        <v/>
      </c>
    </row>
    <row r="957" spans="1:4" ht="14.25" customHeight="1" x14ac:dyDescent="0.3">
      <c r="A957" s="9" t="str">
        <f>IF(OR(A956="",B956=""),"",A956)</f>
        <v/>
      </c>
      <c r="B957" s="9" t="str">
        <f>IF(B956="","",IF(B956="1-2","3-4",IF(B956="3-4","1-2","")))</f>
        <v/>
      </c>
      <c r="C957" s="19" t="str">
        <f>IF(OR(A956="",C956=""),"",100-C956)</f>
        <v/>
      </c>
      <c r="D957" s="3" t="str">
        <f t="shared" si="14"/>
        <v>INVALID PERCENT</v>
      </c>
    </row>
    <row r="958" spans="1:4" ht="14.25" customHeight="1" x14ac:dyDescent="0.3">
      <c r="A958" s="7"/>
      <c r="B958" s="7"/>
      <c r="C958" s="18"/>
      <c r="D958" s="3" t="str">
        <f t="shared" si="14"/>
        <v/>
      </c>
    </row>
    <row r="959" spans="1:4" ht="14.25" customHeight="1" x14ac:dyDescent="0.3">
      <c r="A959" s="9" t="str">
        <f>IF(OR(A958="",B958=""),"",A958)</f>
        <v/>
      </c>
      <c r="B959" s="9" t="str">
        <f>IF(B958="","",IF(B958="1-2","3-4",IF(B958="3-4","1-2","")))</f>
        <v/>
      </c>
      <c r="C959" s="19" t="str">
        <f>IF(OR(A958="",C958=""),"",100-C958)</f>
        <v/>
      </c>
      <c r="D959" s="3" t="str">
        <f t="shared" si="14"/>
        <v>INVALID PERCENT</v>
      </c>
    </row>
    <row r="960" spans="1:4" ht="14.25" customHeight="1" x14ac:dyDescent="0.3">
      <c r="A960" s="7"/>
      <c r="B960" s="7"/>
      <c r="C960" s="18"/>
      <c r="D960" s="3" t="str">
        <f t="shared" si="14"/>
        <v/>
      </c>
    </row>
    <row r="961" spans="1:4" ht="14.25" customHeight="1" x14ac:dyDescent="0.3">
      <c r="A961" s="9" t="str">
        <f>IF(OR(A960="",B960=""),"",A960)</f>
        <v/>
      </c>
      <c r="B961" s="9" t="str">
        <f>IF(B960="","",IF(B960="1-2","3-4",IF(B960="3-4","1-2","")))</f>
        <v/>
      </c>
      <c r="C961" s="19" t="str">
        <f>IF(OR(A960="",C960=""),"",100-C960)</f>
        <v/>
      </c>
      <c r="D961" s="3" t="str">
        <f t="shared" si="14"/>
        <v>INVALID PERCENT</v>
      </c>
    </row>
    <row r="962" spans="1:4" ht="14.25" customHeight="1" x14ac:dyDescent="0.3">
      <c r="A962" s="7"/>
      <c r="B962" s="7"/>
      <c r="C962" s="18"/>
      <c r="D962" s="3" t="str">
        <f t="shared" ref="D962:D1000" si="15">IF(COUNTA(A962:C962)=0,"",IF(OR(C962&lt;0,C962&gt;100),"INVALID PERCENT",IF(COUNTIFS($A$2:$A$1000,A962,$B$2:$B$1000,B962)&gt;1,"DUPLICATE ROOM/GROUP","OK")))</f>
        <v/>
      </c>
    </row>
    <row r="963" spans="1:4" ht="14.25" customHeight="1" x14ac:dyDescent="0.3">
      <c r="A963" s="9" t="str">
        <f>IF(OR(A962="",B962=""),"",A962)</f>
        <v/>
      </c>
      <c r="B963" s="9" t="str">
        <f>IF(B962="","",IF(B962="1-2","3-4",IF(B962="3-4","1-2","")))</f>
        <v/>
      </c>
      <c r="C963" s="19" t="str">
        <f>IF(OR(A962="",C962=""),"",100-C962)</f>
        <v/>
      </c>
      <c r="D963" s="3" t="str">
        <f t="shared" si="15"/>
        <v>INVALID PERCENT</v>
      </c>
    </row>
    <row r="964" spans="1:4" ht="14.25" customHeight="1" x14ac:dyDescent="0.3">
      <c r="A964" s="7"/>
      <c r="B964" s="7"/>
      <c r="C964" s="18"/>
      <c r="D964" s="3" t="str">
        <f t="shared" si="15"/>
        <v/>
      </c>
    </row>
    <row r="965" spans="1:4" ht="14.25" customHeight="1" x14ac:dyDescent="0.3">
      <c r="A965" s="9" t="str">
        <f>IF(OR(A964="",B964=""),"",A964)</f>
        <v/>
      </c>
      <c r="B965" s="9" t="str">
        <f>IF(B964="","",IF(B964="1-2","3-4",IF(B964="3-4","1-2","")))</f>
        <v/>
      </c>
      <c r="C965" s="19" t="str">
        <f>IF(OR(A964="",C964=""),"",100-C964)</f>
        <v/>
      </c>
      <c r="D965" s="3" t="str">
        <f t="shared" si="15"/>
        <v>INVALID PERCENT</v>
      </c>
    </row>
    <row r="966" spans="1:4" ht="14.25" customHeight="1" x14ac:dyDescent="0.3">
      <c r="A966" s="7"/>
      <c r="B966" s="7"/>
      <c r="C966" s="18"/>
      <c r="D966" s="3" t="str">
        <f t="shared" si="15"/>
        <v/>
      </c>
    </row>
    <row r="967" spans="1:4" ht="14.25" customHeight="1" x14ac:dyDescent="0.3">
      <c r="A967" s="9" t="str">
        <f>IF(OR(A966="",B966=""),"",A966)</f>
        <v/>
      </c>
      <c r="B967" s="9" t="str">
        <f>IF(B966="","",IF(B966="1-2","3-4",IF(B966="3-4","1-2","")))</f>
        <v/>
      </c>
      <c r="C967" s="19" t="str">
        <f>IF(OR(A966="",C966=""),"",100-C966)</f>
        <v/>
      </c>
      <c r="D967" s="3" t="str">
        <f t="shared" si="15"/>
        <v>INVALID PERCENT</v>
      </c>
    </row>
    <row r="968" spans="1:4" ht="14.25" customHeight="1" x14ac:dyDescent="0.3">
      <c r="A968" s="7"/>
      <c r="B968" s="7"/>
      <c r="C968" s="18"/>
      <c r="D968" s="3" t="str">
        <f t="shared" si="15"/>
        <v/>
      </c>
    </row>
    <row r="969" spans="1:4" ht="14.25" customHeight="1" x14ac:dyDescent="0.3">
      <c r="A969" s="9" t="str">
        <f>IF(OR(A968="",B968=""),"",A968)</f>
        <v/>
      </c>
      <c r="B969" s="9" t="str">
        <f>IF(B968="","",IF(B968="1-2","3-4",IF(B968="3-4","1-2","")))</f>
        <v/>
      </c>
      <c r="C969" s="19" t="str">
        <f>IF(OR(A968="",C968=""),"",100-C968)</f>
        <v/>
      </c>
      <c r="D969" s="3" t="str">
        <f t="shared" si="15"/>
        <v>INVALID PERCENT</v>
      </c>
    </row>
    <row r="970" spans="1:4" ht="14.25" customHeight="1" x14ac:dyDescent="0.3">
      <c r="A970" s="7"/>
      <c r="B970" s="7"/>
      <c r="C970" s="18"/>
      <c r="D970" s="3" t="str">
        <f t="shared" si="15"/>
        <v/>
      </c>
    </row>
    <row r="971" spans="1:4" ht="14.25" customHeight="1" x14ac:dyDescent="0.3">
      <c r="A971" s="9" t="str">
        <f>IF(OR(A970="",B970=""),"",A970)</f>
        <v/>
      </c>
      <c r="B971" s="9" t="str">
        <f>IF(B970="","",IF(B970="1-2","3-4",IF(B970="3-4","1-2","")))</f>
        <v/>
      </c>
      <c r="C971" s="19" t="str">
        <f>IF(OR(A970="",C970=""),"",100-C970)</f>
        <v/>
      </c>
      <c r="D971" s="3" t="str">
        <f t="shared" si="15"/>
        <v>INVALID PERCENT</v>
      </c>
    </row>
    <row r="972" spans="1:4" ht="14.25" customHeight="1" x14ac:dyDescent="0.3">
      <c r="A972" s="7"/>
      <c r="B972" s="7"/>
      <c r="C972" s="18"/>
      <c r="D972" s="3" t="str">
        <f t="shared" si="15"/>
        <v/>
      </c>
    </row>
    <row r="973" spans="1:4" ht="14.25" customHeight="1" x14ac:dyDescent="0.3">
      <c r="A973" s="9" t="str">
        <f>IF(OR(A972="",B972=""),"",A972)</f>
        <v/>
      </c>
      <c r="B973" s="9" t="str">
        <f>IF(B972="","",IF(B972="1-2","3-4",IF(B972="3-4","1-2","")))</f>
        <v/>
      </c>
      <c r="C973" s="19" t="str">
        <f>IF(OR(A972="",C972=""),"",100-C972)</f>
        <v/>
      </c>
      <c r="D973" s="3" t="str">
        <f t="shared" si="15"/>
        <v>INVALID PERCENT</v>
      </c>
    </row>
    <row r="974" spans="1:4" ht="14.25" customHeight="1" x14ac:dyDescent="0.3">
      <c r="A974" s="7"/>
      <c r="B974" s="7"/>
      <c r="C974" s="18"/>
      <c r="D974" s="3" t="str">
        <f t="shared" si="15"/>
        <v/>
      </c>
    </row>
    <row r="975" spans="1:4" ht="14.25" customHeight="1" x14ac:dyDescent="0.3">
      <c r="A975" s="9" t="str">
        <f>IF(OR(A974="",B974=""),"",A974)</f>
        <v/>
      </c>
      <c r="B975" s="9" t="str">
        <f>IF(B974="","",IF(B974="1-2","3-4",IF(B974="3-4","1-2","")))</f>
        <v/>
      </c>
      <c r="C975" s="19" t="str">
        <f>IF(OR(A974="",C974=""),"",100-C974)</f>
        <v/>
      </c>
      <c r="D975" s="3" t="str">
        <f t="shared" si="15"/>
        <v>INVALID PERCENT</v>
      </c>
    </row>
    <row r="976" spans="1:4" ht="14.25" customHeight="1" x14ac:dyDescent="0.3">
      <c r="A976" s="7"/>
      <c r="B976" s="7"/>
      <c r="C976" s="18"/>
      <c r="D976" s="3" t="str">
        <f t="shared" si="15"/>
        <v/>
      </c>
    </row>
    <row r="977" spans="1:4" ht="14.25" customHeight="1" x14ac:dyDescent="0.3">
      <c r="A977" s="9" t="str">
        <f>IF(OR(A976="",B976=""),"",A976)</f>
        <v/>
      </c>
      <c r="B977" s="9" t="str">
        <f>IF(B976="","",IF(B976="1-2","3-4",IF(B976="3-4","1-2","")))</f>
        <v/>
      </c>
      <c r="C977" s="19" t="str">
        <f>IF(OR(A976="",C976=""),"",100-C976)</f>
        <v/>
      </c>
      <c r="D977" s="3" t="str">
        <f t="shared" si="15"/>
        <v>INVALID PERCENT</v>
      </c>
    </row>
    <row r="978" spans="1:4" ht="14.25" customHeight="1" x14ac:dyDescent="0.3">
      <c r="A978" s="7"/>
      <c r="B978" s="7"/>
      <c r="C978" s="18"/>
      <c r="D978" s="3" t="str">
        <f t="shared" si="15"/>
        <v/>
      </c>
    </row>
    <row r="979" spans="1:4" ht="14.25" customHeight="1" x14ac:dyDescent="0.3">
      <c r="A979" s="9" t="str">
        <f>IF(OR(A978="",B978=""),"",A978)</f>
        <v/>
      </c>
      <c r="B979" s="9" t="str">
        <f>IF(B978="","",IF(B978="1-2","3-4",IF(B978="3-4","1-2","")))</f>
        <v/>
      </c>
      <c r="C979" s="19" t="str">
        <f>IF(OR(A978="",C978=""),"",100-C978)</f>
        <v/>
      </c>
      <c r="D979" s="3" t="str">
        <f t="shared" si="15"/>
        <v>INVALID PERCENT</v>
      </c>
    </row>
    <row r="980" spans="1:4" ht="14.25" customHeight="1" x14ac:dyDescent="0.3">
      <c r="A980" s="7"/>
      <c r="B980" s="7"/>
      <c r="C980" s="18"/>
      <c r="D980" s="3" t="str">
        <f t="shared" si="15"/>
        <v/>
      </c>
    </row>
    <row r="981" spans="1:4" ht="14.25" customHeight="1" x14ac:dyDescent="0.3">
      <c r="A981" s="9" t="str">
        <f>IF(OR(A980="",B980=""),"",A980)</f>
        <v/>
      </c>
      <c r="B981" s="9" t="str">
        <f>IF(B980="","",IF(B980="1-2","3-4",IF(B980="3-4","1-2","")))</f>
        <v/>
      </c>
      <c r="C981" s="19" t="str">
        <f>IF(OR(A980="",C980=""),"",100-C980)</f>
        <v/>
      </c>
      <c r="D981" s="3" t="str">
        <f t="shared" si="15"/>
        <v>INVALID PERCENT</v>
      </c>
    </row>
    <row r="982" spans="1:4" ht="14.25" customHeight="1" x14ac:dyDescent="0.3">
      <c r="A982" s="7"/>
      <c r="B982" s="7"/>
      <c r="C982" s="18"/>
      <c r="D982" s="3" t="str">
        <f t="shared" si="15"/>
        <v/>
      </c>
    </row>
    <row r="983" spans="1:4" ht="14.25" customHeight="1" x14ac:dyDescent="0.3">
      <c r="A983" s="9" t="str">
        <f>IF(OR(A982="",B982=""),"",A982)</f>
        <v/>
      </c>
      <c r="B983" s="9" t="str">
        <f>IF(B982="","",IF(B982="1-2","3-4",IF(B982="3-4","1-2","")))</f>
        <v/>
      </c>
      <c r="C983" s="19" t="str">
        <f>IF(OR(A982="",C982=""),"",100-C982)</f>
        <v/>
      </c>
      <c r="D983" s="3" t="str">
        <f t="shared" si="15"/>
        <v>INVALID PERCENT</v>
      </c>
    </row>
    <row r="984" spans="1:4" ht="14.25" customHeight="1" x14ac:dyDescent="0.3">
      <c r="A984" s="7"/>
      <c r="B984" s="7"/>
      <c r="C984" s="18"/>
      <c r="D984" s="3" t="str">
        <f t="shared" si="15"/>
        <v/>
      </c>
    </row>
    <row r="985" spans="1:4" ht="14.25" customHeight="1" x14ac:dyDescent="0.3">
      <c r="A985" s="9" t="str">
        <f>IF(OR(A984="",B984=""),"",A984)</f>
        <v/>
      </c>
      <c r="B985" s="9" t="str">
        <f>IF(B984="","",IF(B984="1-2","3-4",IF(B984="3-4","1-2","")))</f>
        <v/>
      </c>
      <c r="C985" s="19" t="str">
        <f>IF(OR(A984="",C984=""),"",100-C984)</f>
        <v/>
      </c>
      <c r="D985" s="3" t="str">
        <f t="shared" si="15"/>
        <v>INVALID PERCENT</v>
      </c>
    </row>
    <row r="986" spans="1:4" ht="14.25" customHeight="1" x14ac:dyDescent="0.3">
      <c r="A986" s="7"/>
      <c r="B986" s="7"/>
      <c r="C986" s="18"/>
      <c r="D986" s="3" t="str">
        <f t="shared" si="15"/>
        <v/>
      </c>
    </row>
    <row r="987" spans="1:4" ht="14.25" customHeight="1" x14ac:dyDescent="0.3">
      <c r="A987" s="9" t="str">
        <f>IF(OR(A986="",B986=""),"",A986)</f>
        <v/>
      </c>
      <c r="B987" s="9" t="str">
        <f>IF(B986="","",IF(B986="1-2","3-4",IF(B986="3-4","1-2","")))</f>
        <v/>
      </c>
      <c r="C987" s="19" t="str">
        <f>IF(OR(A986="",C986=""),"",100-C986)</f>
        <v/>
      </c>
      <c r="D987" s="3" t="str">
        <f t="shared" si="15"/>
        <v>INVALID PERCENT</v>
      </c>
    </row>
    <row r="988" spans="1:4" ht="14.25" customHeight="1" x14ac:dyDescent="0.3">
      <c r="A988" s="7"/>
      <c r="B988" s="7"/>
      <c r="C988" s="18"/>
      <c r="D988" s="3" t="str">
        <f t="shared" si="15"/>
        <v/>
      </c>
    </row>
    <row r="989" spans="1:4" ht="14.25" customHeight="1" x14ac:dyDescent="0.3">
      <c r="A989" s="9" t="str">
        <f>IF(OR(A988="",B988=""),"",A988)</f>
        <v/>
      </c>
      <c r="B989" s="9" t="str">
        <f>IF(B988="","",IF(B988="1-2","3-4",IF(B988="3-4","1-2","")))</f>
        <v/>
      </c>
      <c r="C989" s="19" t="str">
        <f>IF(OR(A988="",C988=""),"",100-C988)</f>
        <v/>
      </c>
      <c r="D989" s="3" t="str">
        <f t="shared" si="15"/>
        <v>INVALID PERCENT</v>
      </c>
    </row>
    <row r="990" spans="1:4" ht="14.25" customHeight="1" x14ac:dyDescent="0.3">
      <c r="A990" s="7"/>
      <c r="B990" s="7"/>
      <c r="C990" s="18"/>
      <c r="D990" s="3" t="str">
        <f t="shared" si="15"/>
        <v/>
      </c>
    </row>
    <row r="991" spans="1:4" ht="14.25" customHeight="1" x14ac:dyDescent="0.3">
      <c r="A991" s="9" t="str">
        <f>IF(OR(A990="",B990=""),"",A990)</f>
        <v/>
      </c>
      <c r="B991" s="9" t="str">
        <f>IF(B990="","",IF(B990="1-2","3-4",IF(B990="3-4","1-2","")))</f>
        <v/>
      </c>
      <c r="C991" s="19" t="str">
        <f>IF(OR(A990="",C990=""),"",100-C990)</f>
        <v/>
      </c>
      <c r="D991" s="3" t="str">
        <f t="shared" si="15"/>
        <v>INVALID PERCENT</v>
      </c>
    </row>
    <row r="992" spans="1:4" ht="14.25" customHeight="1" x14ac:dyDescent="0.3">
      <c r="A992" s="7"/>
      <c r="B992" s="7"/>
      <c r="C992" s="18"/>
      <c r="D992" s="3" t="str">
        <f t="shared" si="15"/>
        <v/>
      </c>
    </row>
    <row r="993" spans="1:4" ht="14.25" customHeight="1" x14ac:dyDescent="0.3">
      <c r="A993" s="9" t="str">
        <f>IF(OR(A992="",B992=""),"",A992)</f>
        <v/>
      </c>
      <c r="B993" s="9" t="str">
        <f>IF(B992="","",IF(B992="1-2","3-4",IF(B992="3-4","1-2","")))</f>
        <v/>
      </c>
      <c r="C993" s="19" t="str">
        <f>IF(OR(A992="",C992=""),"",100-C992)</f>
        <v/>
      </c>
      <c r="D993" s="3" t="str">
        <f t="shared" si="15"/>
        <v>INVALID PERCENT</v>
      </c>
    </row>
    <row r="994" spans="1:4" ht="14.25" customHeight="1" x14ac:dyDescent="0.3">
      <c r="A994" s="7"/>
      <c r="B994" s="7"/>
      <c r="C994" s="18"/>
      <c r="D994" s="3" t="str">
        <f t="shared" si="15"/>
        <v/>
      </c>
    </row>
    <row r="995" spans="1:4" ht="14.25" customHeight="1" x14ac:dyDescent="0.3">
      <c r="A995" s="9" t="str">
        <f>IF(OR(A994="",B994=""),"",A994)</f>
        <v/>
      </c>
      <c r="B995" s="9" t="str">
        <f>IF(B994="","",IF(B994="1-2","3-4",IF(B994="3-4","1-2","")))</f>
        <v/>
      </c>
      <c r="C995" s="19" t="str">
        <f>IF(OR(A994="",C994=""),"",100-C994)</f>
        <v/>
      </c>
      <c r="D995" s="3" t="str">
        <f t="shared" si="15"/>
        <v>INVALID PERCENT</v>
      </c>
    </row>
    <row r="996" spans="1:4" ht="14.25" customHeight="1" x14ac:dyDescent="0.3">
      <c r="A996" s="7"/>
      <c r="B996" s="7"/>
      <c r="C996" s="18"/>
      <c r="D996" s="3" t="str">
        <f t="shared" si="15"/>
        <v/>
      </c>
    </row>
    <row r="997" spans="1:4" ht="14.25" customHeight="1" x14ac:dyDescent="0.3">
      <c r="A997" s="9" t="str">
        <f>IF(OR(A996="",B996=""),"",A996)</f>
        <v/>
      </c>
      <c r="B997" s="9" t="str">
        <f>IF(B996="","",IF(B996="1-2","3-4",IF(B996="3-4","1-2","")))</f>
        <v/>
      </c>
      <c r="C997" s="19" t="str">
        <f>IF(OR(A996="",C996=""),"",100-C996)</f>
        <v/>
      </c>
      <c r="D997" s="3" t="str">
        <f t="shared" si="15"/>
        <v>INVALID PERCENT</v>
      </c>
    </row>
    <row r="998" spans="1:4" ht="14.25" customHeight="1" x14ac:dyDescent="0.3">
      <c r="A998" s="7"/>
      <c r="B998" s="7"/>
      <c r="C998" s="18"/>
      <c r="D998" s="3" t="str">
        <f t="shared" si="15"/>
        <v/>
      </c>
    </row>
    <row r="999" spans="1:4" ht="14.25" customHeight="1" x14ac:dyDescent="0.3">
      <c r="A999" s="9" t="str">
        <f>IF(OR(A998="",B998=""),"",A998)</f>
        <v/>
      </c>
      <c r="B999" s="9" t="str">
        <f>IF(B998="","",IF(B998="1-2","3-4",IF(B998="3-4","1-2","")))</f>
        <v/>
      </c>
      <c r="C999" s="19" t="str">
        <f>IF(OR(A998="",C998=""),"",100-C998)</f>
        <v/>
      </c>
      <c r="D999" s="3" t="str">
        <f t="shared" si="15"/>
        <v>INVALID PERCENT</v>
      </c>
    </row>
    <row r="1000" spans="1:4" ht="14.25" customHeight="1" x14ac:dyDescent="0.3">
      <c r="A1000" s="7"/>
      <c r="B1000" s="7"/>
      <c r="C1000" s="7"/>
      <c r="D1000" s="3" t="str">
        <f t="shared" si="15"/>
        <v/>
      </c>
    </row>
  </sheetData>
  <conditionalFormatting sqref="A2:C1000">
    <cfRule type="expression" dxfId="9" priority="2">
      <formula>AND(MOD(ROW(),2)=0,COUNTA($A2:$C2)&gt;0,A2="")</formula>
    </cfRule>
    <cfRule type="expression" dxfId="8" priority="3">
      <formula>AND($D2&lt;&gt;"",$D2&lt;&gt;"OK")</formula>
    </cfRule>
  </conditionalFormatting>
  <conditionalFormatting sqref="D2:D1000">
    <cfRule type="expression" dxfId="7" priority="4">
      <formula>AND($D2&lt;&gt;"",$D2&lt;&gt;"OK")</formula>
    </cfRule>
  </conditionalFormatting>
  <dataValidations count="3">
    <dataValidation type="list" errorStyle="information" allowBlank="1" showInputMessage="1" errorTitle="Custom value accepted" error="A custom value is allowed. Choose an existing option or continue with your typed value." promptTitle="Search or add custom value" prompt="Type to search an existing option, or enter a new custom value if no match exists." sqref="A2:A1000" xr:uid="{00000000-0002-0000-0800-000000000000}">
      <formula1>dv_RoomID</formula1>
      <formula2>0</formula2>
    </dataValidation>
    <dataValidation type="list" errorStyle="information" allowBlank="1" showInputMessage="1" errorTitle="Custom value accepted" error="A custom value is allowed. Choose an existing option or continue with your typed value." promptTitle="Search or add custom value" prompt="Type to search an existing option, or enter a new custom value if no match exists." sqref="B2:B1000" xr:uid="{00000000-0002-0000-0800-000001000000}">
      <formula1>dv_YearGroup</formula1>
      <formula2>0</formula2>
    </dataValidation>
    <dataValidation type="decimal" allowBlank="1" showInputMessage="1" showErrorMessage="1" errorTitle="Invalid percentage" error="Enter a number from 0 to 100." promptTitle="Room preference percentage" prompt="Enter the editable percentage from 0 to 100. The paired row is calculated automatically." sqref="C2:C1000" xr:uid="{00000000-0002-0000-0800-000002000000}">
      <formula1>0</formula1>
      <formula2>100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00"/>
  <sheetViews>
    <sheetView showGridLines="0" zoomScaleNormal="100" workbookViewId="0">
      <pane ySplit="1" topLeftCell="A2" activePane="bottomLeft" state="frozen"/>
      <selection pane="bottomLeft" activeCell="D19" sqref="D19"/>
    </sheetView>
  </sheetViews>
  <sheetFormatPr defaultColWidth="14.44140625" defaultRowHeight="14.4" x14ac:dyDescent="0.3"/>
  <cols>
    <col min="1" max="1" width="16" customWidth="1"/>
    <col min="2" max="3" width="18" customWidth="1"/>
    <col min="4" max="26" width="28" customWidth="1"/>
  </cols>
  <sheetData>
    <row r="1" spans="1:4" ht="14.25" customHeight="1" x14ac:dyDescent="0.3">
      <c r="A1" s="2" t="s">
        <v>284</v>
      </c>
      <c r="B1" s="2" t="s">
        <v>285</v>
      </c>
      <c r="C1" s="2" t="s">
        <v>283</v>
      </c>
      <c r="D1" s="2" t="s">
        <v>2</v>
      </c>
    </row>
    <row r="2" spans="1:4" ht="14.25" customHeight="1" x14ac:dyDescent="0.3">
      <c r="A2" s="7" t="s">
        <v>81</v>
      </c>
      <c r="B2" s="7" t="s">
        <v>94</v>
      </c>
      <c r="C2" s="18">
        <v>40</v>
      </c>
      <c r="D2" s="3" t="str">
        <f t="shared" ref="D2:D65" si="0">IF(COUNTA(A2:C2)=0,"",IF(OR(C2&lt;0,C2&gt;100),"INVALID PERCENT",IF(COUNTIFS($A$2:$A$500,A2,$B$2:$B$500,B2)&gt;1,"DUPLICATE DAY/CLASS","OK")))</f>
        <v>OK</v>
      </c>
    </row>
    <row r="3" spans="1:4" ht="14.25" customHeight="1" x14ac:dyDescent="0.3">
      <c r="A3" s="9" t="str">
        <f>IF(OR(A2="",B2=""),"",A2)</f>
        <v>SUN</v>
      </c>
      <c r="B3" s="9" t="str">
        <f>IF(B2="","",IF(B2="Lab","Theory",IF(B2="Theory","Lab","")))</f>
        <v>Theory</v>
      </c>
      <c r="C3" s="19">
        <f>IF(OR(A2="",C2=""),"",100-C2)</f>
        <v>60</v>
      </c>
      <c r="D3" s="3" t="str">
        <f t="shared" si="0"/>
        <v>OK</v>
      </c>
    </row>
    <row r="4" spans="1:4" ht="14.25" customHeight="1" x14ac:dyDescent="0.3">
      <c r="A4" s="7" t="s">
        <v>96</v>
      </c>
      <c r="B4" s="7" t="s">
        <v>94</v>
      </c>
      <c r="C4" s="18">
        <v>40</v>
      </c>
      <c r="D4" s="3" t="str">
        <f t="shared" si="0"/>
        <v>OK</v>
      </c>
    </row>
    <row r="5" spans="1:4" ht="14.25" customHeight="1" x14ac:dyDescent="0.3">
      <c r="A5" s="9" t="str">
        <f>IF(OR(A4="",B4=""),"",A4)</f>
        <v>MON</v>
      </c>
      <c r="B5" s="9" t="str">
        <f>IF(B4="","",IF(B4="Lab","Theory",IF(B4="Theory","Lab","")))</f>
        <v>Theory</v>
      </c>
      <c r="C5" s="19">
        <f>IF(OR(A4="",C4=""),"",100-C4)</f>
        <v>60</v>
      </c>
      <c r="D5" s="3" t="str">
        <f t="shared" si="0"/>
        <v>OK</v>
      </c>
    </row>
    <row r="6" spans="1:4" ht="14.25" customHeight="1" x14ac:dyDescent="0.3">
      <c r="A6" s="7" t="s">
        <v>108</v>
      </c>
      <c r="B6" s="7" t="s">
        <v>94</v>
      </c>
      <c r="C6" s="18">
        <v>50</v>
      </c>
      <c r="D6" s="3" t="str">
        <f t="shared" si="0"/>
        <v>OK</v>
      </c>
    </row>
    <row r="7" spans="1:4" ht="14.25" customHeight="1" x14ac:dyDescent="0.3">
      <c r="A7" s="9" t="str">
        <f>IF(OR(A6="",B6=""),"",A6)</f>
        <v>TUE</v>
      </c>
      <c r="B7" s="9" t="str">
        <f>IF(B6="","",IF(B6="Lab","Theory",IF(B6="Theory","Lab","")))</f>
        <v>Theory</v>
      </c>
      <c r="C7" s="19">
        <f>IF(OR(A6="",C6=""),"",100-C6)</f>
        <v>50</v>
      </c>
      <c r="D7" s="3" t="str">
        <f t="shared" si="0"/>
        <v>OK</v>
      </c>
    </row>
    <row r="8" spans="1:4" ht="14.25" customHeight="1" x14ac:dyDescent="0.3">
      <c r="A8" s="7" t="s">
        <v>118</v>
      </c>
      <c r="B8" s="7" t="s">
        <v>94</v>
      </c>
      <c r="C8" s="18">
        <v>60</v>
      </c>
      <c r="D8" s="3" t="str">
        <f t="shared" si="0"/>
        <v>OK</v>
      </c>
    </row>
    <row r="9" spans="1:4" ht="14.25" customHeight="1" x14ac:dyDescent="0.3">
      <c r="A9" s="9" t="str">
        <f>IF(OR(A8="",B8=""),"",A8)</f>
        <v>WED</v>
      </c>
      <c r="B9" s="9" t="str">
        <f>IF(B8="","",IF(B8="Lab","Theory",IF(B8="Theory","Lab","")))</f>
        <v>Theory</v>
      </c>
      <c r="C9" s="19">
        <f>IF(OR(A8="",C8=""),"",100-C8)</f>
        <v>40</v>
      </c>
      <c r="D9" s="3" t="str">
        <f t="shared" si="0"/>
        <v>OK</v>
      </c>
    </row>
    <row r="10" spans="1:4" ht="14.25" customHeight="1" x14ac:dyDescent="0.3">
      <c r="A10" s="7" t="s">
        <v>125</v>
      </c>
      <c r="B10" s="7" t="s">
        <v>94</v>
      </c>
      <c r="C10" s="18">
        <v>60</v>
      </c>
      <c r="D10" s="3" t="str">
        <f t="shared" si="0"/>
        <v>OK</v>
      </c>
    </row>
    <row r="11" spans="1:4" ht="14.25" customHeight="1" x14ac:dyDescent="0.3">
      <c r="A11" s="9" t="str">
        <f>IF(OR(A10="",B10=""),"",A10)</f>
        <v>THU</v>
      </c>
      <c r="B11" s="9" t="str">
        <f>IF(B10="","",IF(B10="Lab","Theory",IF(B10="Theory","Lab","")))</f>
        <v>Theory</v>
      </c>
      <c r="C11" s="19">
        <f>IF(OR(A10="",C10=""),"",100-C10)</f>
        <v>40</v>
      </c>
      <c r="D11" s="3" t="str">
        <f t="shared" si="0"/>
        <v>OK</v>
      </c>
    </row>
    <row r="12" spans="1:4" ht="14.25" customHeight="1" x14ac:dyDescent="0.3">
      <c r="A12" s="7"/>
      <c r="B12" s="7"/>
      <c r="C12" s="18"/>
      <c r="D12" s="3" t="str">
        <f t="shared" si="0"/>
        <v/>
      </c>
    </row>
    <row r="13" spans="1:4" ht="14.25" customHeight="1" x14ac:dyDescent="0.3">
      <c r="A13" s="9" t="str">
        <f>IF(OR(A12="",B12=""),"",A12)</f>
        <v/>
      </c>
      <c r="B13" s="9" t="str">
        <f>IF(B12="","",IF(B12="Lab","Theory",IF(B12="Theory","Lab","")))</f>
        <v/>
      </c>
      <c r="C13" s="19" t="str">
        <f>IF(OR(A12="",C12=""),"",100-C12)</f>
        <v/>
      </c>
      <c r="D13" s="3" t="str">
        <f t="shared" si="0"/>
        <v>INVALID PERCENT</v>
      </c>
    </row>
    <row r="14" spans="1:4" ht="14.25" customHeight="1" x14ac:dyDescent="0.3">
      <c r="A14" s="7"/>
      <c r="B14" s="7"/>
      <c r="C14" s="18"/>
      <c r="D14" s="3" t="str">
        <f t="shared" si="0"/>
        <v/>
      </c>
    </row>
    <row r="15" spans="1:4" ht="14.25" customHeight="1" x14ac:dyDescent="0.3">
      <c r="A15" s="9" t="str">
        <f>IF(OR(A14="",B14=""),"",A14)</f>
        <v/>
      </c>
      <c r="B15" s="9" t="str">
        <f>IF(B14="","",IF(B14="Lab","Theory",IF(B14="Theory","Lab","")))</f>
        <v/>
      </c>
      <c r="C15" s="19" t="str">
        <f>IF(OR(A14="",C14=""),"",100-C14)</f>
        <v/>
      </c>
      <c r="D15" s="3" t="str">
        <f t="shared" si="0"/>
        <v>INVALID PERCENT</v>
      </c>
    </row>
    <row r="16" spans="1:4" ht="14.25" customHeight="1" x14ac:dyDescent="0.3">
      <c r="A16" s="7"/>
      <c r="B16" s="7"/>
      <c r="C16" s="18"/>
      <c r="D16" s="3" t="str">
        <f t="shared" si="0"/>
        <v/>
      </c>
    </row>
    <row r="17" spans="1:4" ht="14.25" customHeight="1" x14ac:dyDescent="0.3">
      <c r="A17" s="9" t="str">
        <f>IF(OR(A16="",B16=""),"",A16)</f>
        <v/>
      </c>
      <c r="B17" s="9" t="str">
        <f>IF(B16="","",IF(B16="Lab","Theory",IF(B16="Theory","Lab","")))</f>
        <v/>
      </c>
      <c r="C17" s="19" t="str">
        <f>IF(OR(A16="",C16=""),"",100-C16)</f>
        <v/>
      </c>
      <c r="D17" s="3" t="str">
        <f t="shared" si="0"/>
        <v>INVALID PERCENT</v>
      </c>
    </row>
    <row r="18" spans="1:4" ht="14.25" customHeight="1" x14ac:dyDescent="0.3">
      <c r="A18" s="7"/>
      <c r="B18" s="7"/>
      <c r="C18" s="18"/>
      <c r="D18" s="3" t="str">
        <f t="shared" si="0"/>
        <v/>
      </c>
    </row>
    <row r="19" spans="1:4" ht="14.25" customHeight="1" x14ac:dyDescent="0.3">
      <c r="A19" s="9" t="str">
        <f>IF(OR(A18="",B18=""),"",A18)</f>
        <v/>
      </c>
      <c r="B19" s="9" t="str">
        <f>IF(B18="","",IF(B18="Lab","Theory",IF(B18="Theory","Lab","")))</f>
        <v/>
      </c>
      <c r="C19" s="19" t="str">
        <f>IF(OR(A18="",C18=""),"",100-C18)</f>
        <v/>
      </c>
      <c r="D19" s="3" t="str">
        <f t="shared" si="0"/>
        <v>INVALID PERCENT</v>
      </c>
    </row>
    <row r="20" spans="1:4" ht="14.25" customHeight="1" x14ac:dyDescent="0.3">
      <c r="A20" s="7"/>
      <c r="B20" s="7"/>
      <c r="C20" s="18"/>
      <c r="D20" s="3" t="str">
        <f t="shared" si="0"/>
        <v/>
      </c>
    </row>
    <row r="21" spans="1:4" ht="14.25" customHeight="1" x14ac:dyDescent="0.3">
      <c r="A21" s="9" t="str">
        <f>IF(OR(A20="",B20=""),"",A20)</f>
        <v/>
      </c>
      <c r="B21" s="9" t="str">
        <f>IF(B20="","",IF(B20="Lab","Theory",IF(B20="Theory","Lab","")))</f>
        <v/>
      </c>
      <c r="C21" s="19" t="str">
        <f>IF(OR(A20="",C20=""),"",100-C20)</f>
        <v/>
      </c>
      <c r="D21" s="3" t="str">
        <f t="shared" si="0"/>
        <v>INVALID PERCENT</v>
      </c>
    </row>
    <row r="22" spans="1:4" ht="14.25" customHeight="1" x14ac:dyDescent="0.3">
      <c r="A22" s="7"/>
      <c r="B22" s="7"/>
      <c r="C22" s="18"/>
      <c r="D22" s="3" t="str">
        <f t="shared" si="0"/>
        <v/>
      </c>
    </row>
    <row r="23" spans="1:4" ht="14.25" customHeight="1" x14ac:dyDescent="0.3">
      <c r="A23" s="9" t="str">
        <f>IF(OR(A22="",B22=""),"",A22)</f>
        <v/>
      </c>
      <c r="B23" s="9" t="str">
        <f>IF(B22="","",IF(B22="Lab","Theory",IF(B22="Theory","Lab","")))</f>
        <v/>
      </c>
      <c r="C23" s="19" t="str">
        <f>IF(OR(A22="",C22=""),"",100-C22)</f>
        <v/>
      </c>
      <c r="D23" s="3" t="str">
        <f t="shared" si="0"/>
        <v>INVALID PERCENT</v>
      </c>
    </row>
    <row r="24" spans="1:4" ht="14.25" customHeight="1" x14ac:dyDescent="0.3">
      <c r="A24" s="7"/>
      <c r="B24" s="7"/>
      <c r="C24" s="18"/>
      <c r="D24" s="3" t="str">
        <f t="shared" si="0"/>
        <v/>
      </c>
    </row>
    <row r="25" spans="1:4" ht="14.25" customHeight="1" x14ac:dyDescent="0.3">
      <c r="A25" s="9" t="str">
        <f>IF(OR(A24="",B24=""),"",A24)</f>
        <v/>
      </c>
      <c r="B25" s="9" t="str">
        <f>IF(B24="","",IF(B24="Lab","Theory",IF(B24="Theory","Lab","")))</f>
        <v/>
      </c>
      <c r="C25" s="19" t="str">
        <f>IF(OR(A24="",C24=""),"",100-C24)</f>
        <v/>
      </c>
      <c r="D25" s="3" t="str">
        <f t="shared" si="0"/>
        <v>INVALID PERCENT</v>
      </c>
    </row>
    <row r="26" spans="1:4" ht="14.25" customHeight="1" x14ac:dyDescent="0.3">
      <c r="A26" s="7"/>
      <c r="B26" s="7"/>
      <c r="C26" s="18"/>
      <c r="D26" s="3" t="str">
        <f t="shared" si="0"/>
        <v/>
      </c>
    </row>
    <row r="27" spans="1:4" ht="14.25" customHeight="1" x14ac:dyDescent="0.3">
      <c r="A27" s="9" t="str">
        <f>IF(OR(A26="",B26=""),"",A26)</f>
        <v/>
      </c>
      <c r="B27" s="9" t="str">
        <f>IF(B26="","",IF(B26="Lab","Theory",IF(B26="Theory","Lab","")))</f>
        <v/>
      </c>
      <c r="C27" s="19" t="str">
        <f>IF(OR(A26="",C26=""),"",100-C26)</f>
        <v/>
      </c>
      <c r="D27" s="3" t="str">
        <f t="shared" si="0"/>
        <v>INVALID PERCENT</v>
      </c>
    </row>
    <row r="28" spans="1:4" ht="14.25" customHeight="1" x14ac:dyDescent="0.3">
      <c r="A28" s="7"/>
      <c r="B28" s="7"/>
      <c r="C28" s="18"/>
      <c r="D28" s="3" t="str">
        <f t="shared" si="0"/>
        <v/>
      </c>
    </row>
    <row r="29" spans="1:4" ht="14.25" customHeight="1" x14ac:dyDescent="0.3">
      <c r="A29" s="9" t="str">
        <f>IF(OR(A28="",B28=""),"",A28)</f>
        <v/>
      </c>
      <c r="B29" s="9" t="str">
        <f>IF(B28="","",IF(B28="Lab","Theory",IF(B28="Theory","Lab","")))</f>
        <v/>
      </c>
      <c r="C29" s="19" t="str">
        <f>IF(OR(A28="",C28=""),"",100-C28)</f>
        <v/>
      </c>
      <c r="D29" s="3" t="str">
        <f t="shared" si="0"/>
        <v>INVALID PERCENT</v>
      </c>
    </row>
    <row r="30" spans="1:4" ht="14.25" customHeight="1" x14ac:dyDescent="0.3">
      <c r="A30" s="7"/>
      <c r="B30" s="7"/>
      <c r="C30" s="18"/>
      <c r="D30" s="3" t="str">
        <f t="shared" si="0"/>
        <v/>
      </c>
    </row>
    <row r="31" spans="1:4" ht="14.25" customHeight="1" x14ac:dyDescent="0.3">
      <c r="A31" s="9" t="str">
        <f>IF(OR(A30="",B30=""),"",A30)</f>
        <v/>
      </c>
      <c r="B31" s="9" t="str">
        <f>IF(B30="","",IF(B30="Lab","Theory",IF(B30="Theory","Lab","")))</f>
        <v/>
      </c>
      <c r="C31" s="19" t="str">
        <f>IF(OR(A30="",C30=""),"",100-C30)</f>
        <v/>
      </c>
      <c r="D31" s="3" t="str">
        <f t="shared" si="0"/>
        <v>INVALID PERCENT</v>
      </c>
    </row>
    <row r="32" spans="1:4" ht="14.25" customHeight="1" x14ac:dyDescent="0.3">
      <c r="A32" s="7"/>
      <c r="B32" s="7"/>
      <c r="C32" s="18"/>
      <c r="D32" s="3" t="str">
        <f t="shared" si="0"/>
        <v/>
      </c>
    </row>
    <row r="33" spans="1:4" ht="14.25" customHeight="1" x14ac:dyDescent="0.3">
      <c r="A33" s="9" t="str">
        <f>IF(OR(A32="",B32=""),"",A32)</f>
        <v/>
      </c>
      <c r="B33" s="9" t="str">
        <f>IF(B32="","",IF(B32="Lab","Theory",IF(B32="Theory","Lab","")))</f>
        <v/>
      </c>
      <c r="C33" s="19" t="str">
        <f>IF(OR(A32="",C32=""),"",100-C32)</f>
        <v/>
      </c>
      <c r="D33" s="3" t="str">
        <f t="shared" si="0"/>
        <v>INVALID PERCENT</v>
      </c>
    </row>
    <row r="34" spans="1:4" ht="14.25" customHeight="1" x14ac:dyDescent="0.3">
      <c r="A34" s="7"/>
      <c r="B34" s="7"/>
      <c r="C34" s="18"/>
      <c r="D34" s="3" t="str">
        <f t="shared" si="0"/>
        <v/>
      </c>
    </row>
    <row r="35" spans="1:4" ht="14.25" customHeight="1" x14ac:dyDescent="0.3">
      <c r="A35" s="9" t="str">
        <f>IF(OR(A34="",B34=""),"",A34)</f>
        <v/>
      </c>
      <c r="B35" s="9" t="str">
        <f>IF(B34="","",IF(B34="Lab","Theory",IF(B34="Theory","Lab","")))</f>
        <v/>
      </c>
      <c r="C35" s="19" t="str">
        <f>IF(OR(A34="",C34=""),"",100-C34)</f>
        <v/>
      </c>
      <c r="D35" s="3" t="str">
        <f t="shared" si="0"/>
        <v>INVALID PERCENT</v>
      </c>
    </row>
    <row r="36" spans="1:4" ht="14.25" customHeight="1" x14ac:dyDescent="0.3">
      <c r="A36" s="7"/>
      <c r="B36" s="7"/>
      <c r="C36" s="18"/>
      <c r="D36" s="3" t="str">
        <f t="shared" si="0"/>
        <v/>
      </c>
    </row>
    <row r="37" spans="1:4" ht="14.25" customHeight="1" x14ac:dyDescent="0.3">
      <c r="A37" s="9" t="str">
        <f>IF(OR(A36="",B36=""),"",A36)</f>
        <v/>
      </c>
      <c r="B37" s="9" t="str">
        <f>IF(B36="","",IF(B36="Lab","Theory",IF(B36="Theory","Lab","")))</f>
        <v/>
      </c>
      <c r="C37" s="19" t="str">
        <f>IF(OR(A36="",C36=""),"",100-C36)</f>
        <v/>
      </c>
      <c r="D37" s="3" t="str">
        <f t="shared" si="0"/>
        <v>INVALID PERCENT</v>
      </c>
    </row>
    <row r="38" spans="1:4" ht="14.25" customHeight="1" x14ac:dyDescent="0.3">
      <c r="A38" s="7"/>
      <c r="B38" s="7"/>
      <c r="C38" s="18"/>
      <c r="D38" s="3" t="str">
        <f t="shared" si="0"/>
        <v/>
      </c>
    </row>
    <row r="39" spans="1:4" ht="14.25" customHeight="1" x14ac:dyDescent="0.3">
      <c r="A39" s="9" t="str">
        <f>IF(OR(A38="",B38=""),"",A38)</f>
        <v/>
      </c>
      <c r="B39" s="9" t="str">
        <f>IF(B38="","",IF(B38="Lab","Theory",IF(B38="Theory","Lab","")))</f>
        <v/>
      </c>
      <c r="C39" s="19" t="str">
        <f>IF(OR(A38="",C38=""),"",100-C38)</f>
        <v/>
      </c>
      <c r="D39" s="3" t="str">
        <f t="shared" si="0"/>
        <v>INVALID PERCENT</v>
      </c>
    </row>
    <row r="40" spans="1:4" ht="14.25" customHeight="1" x14ac:dyDescent="0.3">
      <c r="A40" s="7"/>
      <c r="B40" s="7"/>
      <c r="C40" s="18"/>
      <c r="D40" s="3" t="str">
        <f t="shared" si="0"/>
        <v/>
      </c>
    </row>
    <row r="41" spans="1:4" ht="14.25" customHeight="1" x14ac:dyDescent="0.3">
      <c r="A41" s="9" t="str">
        <f>IF(OR(A40="",B40=""),"",A40)</f>
        <v/>
      </c>
      <c r="B41" s="9" t="str">
        <f>IF(B40="","",IF(B40="Lab","Theory",IF(B40="Theory","Lab","")))</f>
        <v/>
      </c>
      <c r="C41" s="19" t="str">
        <f>IF(OR(A40="",C40=""),"",100-C40)</f>
        <v/>
      </c>
      <c r="D41" s="3" t="str">
        <f t="shared" si="0"/>
        <v>INVALID PERCENT</v>
      </c>
    </row>
    <row r="42" spans="1:4" ht="14.25" customHeight="1" x14ac:dyDescent="0.3">
      <c r="A42" s="7"/>
      <c r="B42" s="7"/>
      <c r="C42" s="18"/>
      <c r="D42" s="3" t="str">
        <f t="shared" si="0"/>
        <v/>
      </c>
    </row>
    <row r="43" spans="1:4" ht="14.25" customHeight="1" x14ac:dyDescent="0.3">
      <c r="A43" s="9" t="str">
        <f>IF(OR(A42="",B42=""),"",A42)</f>
        <v/>
      </c>
      <c r="B43" s="9" t="str">
        <f>IF(B42="","",IF(B42="Lab","Theory",IF(B42="Theory","Lab","")))</f>
        <v/>
      </c>
      <c r="C43" s="19" t="str">
        <f>IF(OR(A42="",C42=""),"",100-C42)</f>
        <v/>
      </c>
      <c r="D43" s="3" t="str">
        <f t="shared" si="0"/>
        <v>INVALID PERCENT</v>
      </c>
    </row>
    <row r="44" spans="1:4" ht="14.25" customHeight="1" x14ac:dyDescent="0.3">
      <c r="A44" s="7"/>
      <c r="B44" s="7"/>
      <c r="C44" s="18"/>
      <c r="D44" s="3" t="str">
        <f t="shared" si="0"/>
        <v/>
      </c>
    </row>
    <row r="45" spans="1:4" ht="14.25" customHeight="1" x14ac:dyDescent="0.3">
      <c r="A45" s="9" t="str">
        <f>IF(OR(A44="",B44=""),"",A44)</f>
        <v/>
      </c>
      <c r="B45" s="9" t="str">
        <f>IF(B44="","",IF(B44="Lab","Theory",IF(B44="Theory","Lab","")))</f>
        <v/>
      </c>
      <c r="C45" s="19" t="str">
        <f>IF(OR(A44="",C44=""),"",100-C44)</f>
        <v/>
      </c>
      <c r="D45" s="3" t="str">
        <f t="shared" si="0"/>
        <v>INVALID PERCENT</v>
      </c>
    </row>
    <row r="46" spans="1:4" ht="14.25" customHeight="1" x14ac:dyDescent="0.3">
      <c r="A46" s="7"/>
      <c r="B46" s="7"/>
      <c r="C46" s="18"/>
      <c r="D46" s="3" t="str">
        <f t="shared" si="0"/>
        <v/>
      </c>
    </row>
    <row r="47" spans="1:4" ht="14.25" customHeight="1" x14ac:dyDescent="0.3">
      <c r="A47" s="9" t="str">
        <f>IF(OR(A46="",B46=""),"",A46)</f>
        <v/>
      </c>
      <c r="B47" s="9" t="str">
        <f>IF(B46="","",IF(B46="Lab","Theory",IF(B46="Theory","Lab","")))</f>
        <v/>
      </c>
      <c r="C47" s="19" t="str">
        <f>IF(OR(A46="",C46=""),"",100-C46)</f>
        <v/>
      </c>
      <c r="D47" s="3" t="str">
        <f t="shared" si="0"/>
        <v>INVALID PERCENT</v>
      </c>
    </row>
    <row r="48" spans="1:4" ht="14.25" customHeight="1" x14ac:dyDescent="0.3">
      <c r="A48" s="7"/>
      <c r="B48" s="7"/>
      <c r="C48" s="18"/>
      <c r="D48" s="3" t="str">
        <f t="shared" si="0"/>
        <v/>
      </c>
    </row>
    <row r="49" spans="1:4" ht="14.25" customHeight="1" x14ac:dyDescent="0.3">
      <c r="A49" s="9" t="str">
        <f>IF(OR(A48="",B48=""),"",A48)</f>
        <v/>
      </c>
      <c r="B49" s="9" t="str">
        <f>IF(B48="","",IF(B48="Lab","Theory",IF(B48="Theory","Lab","")))</f>
        <v/>
      </c>
      <c r="C49" s="19" t="str">
        <f>IF(OR(A48="",C48=""),"",100-C48)</f>
        <v/>
      </c>
      <c r="D49" s="3" t="str">
        <f t="shared" si="0"/>
        <v>INVALID PERCENT</v>
      </c>
    </row>
    <row r="50" spans="1:4" ht="14.25" customHeight="1" x14ac:dyDescent="0.3">
      <c r="A50" s="7"/>
      <c r="B50" s="7"/>
      <c r="C50" s="18"/>
      <c r="D50" s="3" t="str">
        <f t="shared" si="0"/>
        <v/>
      </c>
    </row>
    <row r="51" spans="1:4" ht="14.25" customHeight="1" x14ac:dyDescent="0.3">
      <c r="A51" s="9" t="str">
        <f>IF(OR(A50="",B50=""),"",A50)</f>
        <v/>
      </c>
      <c r="B51" s="9" t="str">
        <f>IF(B50="","",IF(B50="Lab","Theory",IF(B50="Theory","Lab","")))</f>
        <v/>
      </c>
      <c r="C51" s="19" t="str">
        <f>IF(OR(A50="",C50=""),"",100-C50)</f>
        <v/>
      </c>
      <c r="D51" s="3" t="str">
        <f t="shared" si="0"/>
        <v>INVALID PERCENT</v>
      </c>
    </row>
    <row r="52" spans="1:4" ht="14.25" customHeight="1" x14ac:dyDescent="0.3">
      <c r="A52" s="7"/>
      <c r="B52" s="7"/>
      <c r="C52" s="18"/>
      <c r="D52" s="3" t="str">
        <f t="shared" si="0"/>
        <v/>
      </c>
    </row>
    <row r="53" spans="1:4" ht="14.25" customHeight="1" x14ac:dyDescent="0.3">
      <c r="A53" s="9" t="str">
        <f>IF(OR(A52="",B52=""),"",A52)</f>
        <v/>
      </c>
      <c r="B53" s="9" t="str">
        <f>IF(B52="","",IF(B52="Lab","Theory",IF(B52="Theory","Lab","")))</f>
        <v/>
      </c>
      <c r="C53" s="19" t="str">
        <f>IF(OR(A52="",C52=""),"",100-C52)</f>
        <v/>
      </c>
      <c r="D53" s="3" t="str">
        <f t="shared" si="0"/>
        <v>INVALID PERCENT</v>
      </c>
    </row>
    <row r="54" spans="1:4" ht="14.25" customHeight="1" x14ac:dyDescent="0.3">
      <c r="A54" s="7"/>
      <c r="B54" s="7"/>
      <c r="C54" s="18"/>
      <c r="D54" s="3" t="str">
        <f t="shared" si="0"/>
        <v/>
      </c>
    </row>
    <row r="55" spans="1:4" ht="14.25" customHeight="1" x14ac:dyDescent="0.3">
      <c r="A55" s="9" t="str">
        <f>IF(OR(A54="",B54=""),"",A54)</f>
        <v/>
      </c>
      <c r="B55" s="9" t="str">
        <f>IF(B54="","",IF(B54="Lab","Theory",IF(B54="Theory","Lab","")))</f>
        <v/>
      </c>
      <c r="C55" s="19" t="str">
        <f>IF(OR(A54="",C54=""),"",100-C54)</f>
        <v/>
      </c>
      <c r="D55" s="3" t="str">
        <f t="shared" si="0"/>
        <v>INVALID PERCENT</v>
      </c>
    </row>
    <row r="56" spans="1:4" ht="14.25" customHeight="1" x14ac:dyDescent="0.3">
      <c r="A56" s="7"/>
      <c r="B56" s="7"/>
      <c r="C56" s="18"/>
      <c r="D56" s="3" t="str">
        <f t="shared" si="0"/>
        <v/>
      </c>
    </row>
    <row r="57" spans="1:4" ht="14.25" customHeight="1" x14ac:dyDescent="0.3">
      <c r="A57" s="9" t="str">
        <f>IF(OR(A56="",B56=""),"",A56)</f>
        <v/>
      </c>
      <c r="B57" s="9" t="str">
        <f>IF(B56="","",IF(B56="Lab","Theory",IF(B56="Theory","Lab","")))</f>
        <v/>
      </c>
      <c r="C57" s="19" t="str">
        <f>IF(OR(A56="",C56=""),"",100-C56)</f>
        <v/>
      </c>
      <c r="D57" s="3" t="str">
        <f t="shared" si="0"/>
        <v>INVALID PERCENT</v>
      </c>
    </row>
    <row r="58" spans="1:4" ht="14.25" customHeight="1" x14ac:dyDescent="0.3">
      <c r="A58" s="7"/>
      <c r="B58" s="7"/>
      <c r="C58" s="18"/>
      <c r="D58" s="3" t="str">
        <f t="shared" si="0"/>
        <v/>
      </c>
    </row>
    <row r="59" spans="1:4" ht="14.25" customHeight="1" x14ac:dyDescent="0.3">
      <c r="A59" s="9" t="str">
        <f>IF(OR(A58="",B58=""),"",A58)</f>
        <v/>
      </c>
      <c r="B59" s="9" t="str">
        <f>IF(B58="","",IF(B58="Lab","Theory",IF(B58="Theory","Lab","")))</f>
        <v/>
      </c>
      <c r="C59" s="19" t="str">
        <f>IF(OR(A58="",C58=""),"",100-C58)</f>
        <v/>
      </c>
      <c r="D59" s="3" t="str">
        <f t="shared" si="0"/>
        <v>INVALID PERCENT</v>
      </c>
    </row>
    <row r="60" spans="1:4" ht="14.25" customHeight="1" x14ac:dyDescent="0.3">
      <c r="A60" s="7"/>
      <c r="B60" s="7"/>
      <c r="C60" s="18"/>
      <c r="D60" s="3" t="str">
        <f t="shared" si="0"/>
        <v/>
      </c>
    </row>
    <row r="61" spans="1:4" ht="14.25" customHeight="1" x14ac:dyDescent="0.3">
      <c r="A61" s="9" t="str">
        <f>IF(OR(A60="",B60=""),"",A60)</f>
        <v/>
      </c>
      <c r="B61" s="9" t="str">
        <f>IF(B60="","",IF(B60="Lab","Theory",IF(B60="Theory","Lab","")))</f>
        <v/>
      </c>
      <c r="C61" s="19" t="str">
        <f>IF(OR(A60="",C60=""),"",100-C60)</f>
        <v/>
      </c>
      <c r="D61" s="3" t="str">
        <f t="shared" si="0"/>
        <v>INVALID PERCENT</v>
      </c>
    </row>
    <row r="62" spans="1:4" ht="14.25" customHeight="1" x14ac:dyDescent="0.3">
      <c r="A62" s="7"/>
      <c r="B62" s="7"/>
      <c r="C62" s="18"/>
      <c r="D62" s="3" t="str">
        <f t="shared" si="0"/>
        <v/>
      </c>
    </row>
    <row r="63" spans="1:4" ht="14.25" customHeight="1" x14ac:dyDescent="0.3">
      <c r="A63" s="9" t="str">
        <f>IF(OR(A62="",B62=""),"",A62)</f>
        <v/>
      </c>
      <c r="B63" s="9" t="str">
        <f>IF(B62="","",IF(B62="Lab","Theory",IF(B62="Theory","Lab","")))</f>
        <v/>
      </c>
      <c r="C63" s="19" t="str">
        <f>IF(OR(A62="",C62=""),"",100-C62)</f>
        <v/>
      </c>
      <c r="D63" s="3" t="str">
        <f t="shared" si="0"/>
        <v>INVALID PERCENT</v>
      </c>
    </row>
    <row r="64" spans="1:4" ht="14.25" customHeight="1" x14ac:dyDescent="0.3">
      <c r="A64" s="7"/>
      <c r="B64" s="7"/>
      <c r="C64" s="18"/>
      <c r="D64" s="3" t="str">
        <f t="shared" si="0"/>
        <v/>
      </c>
    </row>
    <row r="65" spans="1:4" ht="14.25" customHeight="1" x14ac:dyDescent="0.3">
      <c r="A65" s="9" t="str">
        <f>IF(OR(A64="",B64=""),"",A64)</f>
        <v/>
      </c>
      <c r="B65" s="9" t="str">
        <f>IF(B64="","",IF(B64="Lab","Theory",IF(B64="Theory","Lab","")))</f>
        <v/>
      </c>
      <c r="C65" s="19" t="str">
        <f>IF(OR(A64="",C64=""),"",100-C64)</f>
        <v/>
      </c>
      <c r="D65" s="3" t="str">
        <f t="shared" si="0"/>
        <v>INVALID PERCENT</v>
      </c>
    </row>
    <row r="66" spans="1:4" ht="14.25" customHeight="1" x14ac:dyDescent="0.3">
      <c r="A66" s="7"/>
      <c r="B66" s="7"/>
      <c r="C66" s="18"/>
      <c r="D66" s="3" t="str">
        <f t="shared" ref="D66:D129" si="1">IF(COUNTA(A66:C66)=0,"",IF(OR(C66&lt;0,C66&gt;100),"INVALID PERCENT",IF(COUNTIFS($A$2:$A$500,A66,$B$2:$B$500,B66)&gt;1,"DUPLICATE DAY/CLASS","OK")))</f>
        <v/>
      </c>
    </row>
    <row r="67" spans="1:4" ht="14.25" customHeight="1" x14ac:dyDescent="0.3">
      <c r="A67" s="9" t="str">
        <f>IF(OR(A66="",B66=""),"",A66)</f>
        <v/>
      </c>
      <c r="B67" s="9" t="str">
        <f>IF(B66="","",IF(B66="Lab","Theory",IF(B66="Theory","Lab","")))</f>
        <v/>
      </c>
      <c r="C67" s="19" t="str">
        <f>IF(OR(A66="",C66=""),"",100-C66)</f>
        <v/>
      </c>
      <c r="D67" s="3" t="str">
        <f t="shared" si="1"/>
        <v>INVALID PERCENT</v>
      </c>
    </row>
    <row r="68" spans="1:4" ht="14.25" customHeight="1" x14ac:dyDescent="0.3">
      <c r="A68" s="7"/>
      <c r="B68" s="7"/>
      <c r="C68" s="18"/>
      <c r="D68" s="3" t="str">
        <f t="shared" si="1"/>
        <v/>
      </c>
    </row>
    <row r="69" spans="1:4" ht="14.25" customHeight="1" x14ac:dyDescent="0.3">
      <c r="A69" s="9" t="str">
        <f>IF(OR(A68="",B68=""),"",A68)</f>
        <v/>
      </c>
      <c r="B69" s="9" t="str">
        <f>IF(B68="","",IF(B68="Lab","Theory",IF(B68="Theory","Lab","")))</f>
        <v/>
      </c>
      <c r="C69" s="19" t="str">
        <f>IF(OR(A68="",C68=""),"",100-C68)</f>
        <v/>
      </c>
      <c r="D69" s="3" t="str">
        <f t="shared" si="1"/>
        <v>INVALID PERCENT</v>
      </c>
    </row>
    <row r="70" spans="1:4" ht="14.25" customHeight="1" x14ac:dyDescent="0.3">
      <c r="A70" s="7"/>
      <c r="B70" s="7"/>
      <c r="C70" s="18"/>
      <c r="D70" s="3" t="str">
        <f t="shared" si="1"/>
        <v/>
      </c>
    </row>
    <row r="71" spans="1:4" ht="14.25" customHeight="1" x14ac:dyDescent="0.3">
      <c r="A71" s="9" t="str">
        <f>IF(OR(A70="",B70=""),"",A70)</f>
        <v/>
      </c>
      <c r="B71" s="9" t="str">
        <f>IF(B70="","",IF(B70="Lab","Theory",IF(B70="Theory","Lab","")))</f>
        <v/>
      </c>
      <c r="C71" s="19" t="str">
        <f>IF(OR(A70="",C70=""),"",100-C70)</f>
        <v/>
      </c>
      <c r="D71" s="3" t="str">
        <f t="shared" si="1"/>
        <v>INVALID PERCENT</v>
      </c>
    </row>
    <row r="72" spans="1:4" ht="14.25" customHeight="1" x14ac:dyDescent="0.3">
      <c r="A72" s="7"/>
      <c r="B72" s="7"/>
      <c r="C72" s="18"/>
      <c r="D72" s="3" t="str">
        <f t="shared" si="1"/>
        <v/>
      </c>
    </row>
    <row r="73" spans="1:4" ht="14.25" customHeight="1" x14ac:dyDescent="0.3">
      <c r="A73" s="9" t="str">
        <f>IF(OR(A72="",B72=""),"",A72)</f>
        <v/>
      </c>
      <c r="B73" s="9" t="str">
        <f>IF(B72="","",IF(B72="Lab","Theory",IF(B72="Theory","Lab","")))</f>
        <v/>
      </c>
      <c r="C73" s="19" t="str">
        <f>IF(OR(A72="",C72=""),"",100-C72)</f>
        <v/>
      </c>
      <c r="D73" s="3" t="str">
        <f t="shared" si="1"/>
        <v>INVALID PERCENT</v>
      </c>
    </row>
    <row r="74" spans="1:4" ht="14.25" customHeight="1" x14ac:dyDescent="0.3">
      <c r="A74" s="7"/>
      <c r="B74" s="7"/>
      <c r="C74" s="18"/>
      <c r="D74" s="3" t="str">
        <f t="shared" si="1"/>
        <v/>
      </c>
    </row>
    <row r="75" spans="1:4" ht="14.25" customHeight="1" x14ac:dyDescent="0.3">
      <c r="A75" s="9" t="str">
        <f>IF(OR(A74="",B74=""),"",A74)</f>
        <v/>
      </c>
      <c r="B75" s="9" t="str">
        <f>IF(B74="","",IF(B74="Lab","Theory",IF(B74="Theory","Lab","")))</f>
        <v/>
      </c>
      <c r="C75" s="19" t="str">
        <f>IF(OR(A74="",C74=""),"",100-C74)</f>
        <v/>
      </c>
      <c r="D75" s="3" t="str">
        <f t="shared" si="1"/>
        <v>INVALID PERCENT</v>
      </c>
    </row>
    <row r="76" spans="1:4" ht="14.25" customHeight="1" x14ac:dyDescent="0.3">
      <c r="A76" s="7"/>
      <c r="B76" s="7"/>
      <c r="C76" s="18"/>
      <c r="D76" s="3" t="str">
        <f t="shared" si="1"/>
        <v/>
      </c>
    </row>
    <row r="77" spans="1:4" ht="14.25" customHeight="1" x14ac:dyDescent="0.3">
      <c r="A77" s="9" t="str">
        <f>IF(OR(A76="",B76=""),"",A76)</f>
        <v/>
      </c>
      <c r="B77" s="9" t="str">
        <f>IF(B76="","",IF(B76="Lab","Theory",IF(B76="Theory","Lab","")))</f>
        <v/>
      </c>
      <c r="C77" s="19" t="str">
        <f>IF(OR(A76="",C76=""),"",100-C76)</f>
        <v/>
      </c>
      <c r="D77" s="3" t="str">
        <f t="shared" si="1"/>
        <v>INVALID PERCENT</v>
      </c>
    </row>
    <row r="78" spans="1:4" ht="14.25" customHeight="1" x14ac:dyDescent="0.3">
      <c r="A78" s="7"/>
      <c r="B78" s="7"/>
      <c r="C78" s="18"/>
      <c r="D78" s="3" t="str">
        <f t="shared" si="1"/>
        <v/>
      </c>
    </row>
    <row r="79" spans="1:4" ht="14.25" customHeight="1" x14ac:dyDescent="0.3">
      <c r="A79" s="9" t="str">
        <f>IF(OR(A78="",B78=""),"",A78)</f>
        <v/>
      </c>
      <c r="B79" s="9" t="str">
        <f>IF(B78="","",IF(B78="Lab","Theory",IF(B78="Theory","Lab","")))</f>
        <v/>
      </c>
      <c r="C79" s="19" t="str">
        <f>IF(OR(A78="",C78=""),"",100-C78)</f>
        <v/>
      </c>
      <c r="D79" s="3" t="str">
        <f t="shared" si="1"/>
        <v>INVALID PERCENT</v>
      </c>
    </row>
    <row r="80" spans="1:4" ht="14.25" customHeight="1" x14ac:dyDescent="0.3">
      <c r="A80" s="7"/>
      <c r="B80" s="7"/>
      <c r="C80" s="18"/>
      <c r="D80" s="3" t="str">
        <f t="shared" si="1"/>
        <v/>
      </c>
    </row>
    <row r="81" spans="1:4" ht="14.25" customHeight="1" x14ac:dyDescent="0.3">
      <c r="A81" s="9" t="str">
        <f>IF(OR(A80="",B80=""),"",A80)</f>
        <v/>
      </c>
      <c r="B81" s="9" t="str">
        <f>IF(B80="","",IF(B80="Lab","Theory",IF(B80="Theory","Lab","")))</f>
        <v/>
      </c>
      <c r="C81" s="19" t="str">
        <f>IF(OR(A80="",C80=""),"",100-C80)</f>
        <v/>
      </c>
      <c r="D81" s="3" t="str">
        <f t="shared" si="1"/>
        <v>INVALID PERCENT</v>
      </c>
    </row>
    <row r="82" spans="1:4" ht="14.25" customHeight="1" x14ac:dyDescent="0.3">
      <c r="A82" s="7"/>
      <c r="B82" s="7"/>
      <c r="C82" s="18"/>
      <c r="D82" s="3" t="str">
        <f t="shared" si="1"/>
        <v/>
      </c>
    </row>
    <row r="83" spans="1:4" ht="14.25" customHeight="1" x14ac:dyDescent="0.3">
      <c r="A83" s="9" t="str">
        <f>IF(OR(A82="",B82=""),"",A82)</f>
        <v/>
      </c>
      <c r="B83" s="9" t="str">
        <f>IF(B82="","",IF(B82="Lab","Theory",IF(B82="Theory","Lab","")))</f>
        <v/>
      </c>
      <c r="C83" s="19" t="str">
        <f>IF(OR(A82="",C82=""),"",100-C82)</f>
        <v/>
      </c>
      <c r="D83" s="3" t="str">
        <f t="shared" si="1"/>
        <v>INVALID PERCENT</v>
      </c>
    </row>
    <row r="84" spans="1:4" ht="14.25" customHeight="1" x14ac:dyDescent="0.3">
      <c r="A84" s="7"/>
      <c r="B84" s="7"/>
      <c r="C84" s="18"/>
      <c r="D84" s="3" t="str">
        <f t="shared" si="1"/>
        <v/>
      </c>
    </row>
    <row r="85" spans="1:4" ht="14.25" customHeight="1" x14ac:dyDescent="0.3">
      <c r="A85" s="9" t="str">
        <f>IF(OR(A84="",B84=""),"",A84)</f>
        <v/>
      </c>
      <c r="B85" s="9" t="str">
        <f>IF(B84="","",IF(B84="Lab","Theory",IF(B84="Theory","Lab","")))</f>
        <v/>
      </c>
      <c r="C85" s="19" t="str">
        <f>IF(OR(A84="",C84=""),"",100-C84)</f>
        <v/>
      </c>
      <c r="D85" s="3" t="str">
        <f t="shared" si="1"/>
        <v>INVALID PERCENT</v>
      </c>
    </row>
    <row r="86" spans="1:4" ht="14.25" customHeight="1" x14ac:dyDescent="0.3">
      <c r="A86" s="7"/>
      <c r="B86" s="7"/>
      <c r="C86" s="18"/>
      <c r="D86" s="3" t="str">
        <f t="shared" si="1"/>
        <v/>
      </c>
    </row>
    <row r="87" spans="1:4" ht="14.25" customHeight="1" x14ac:dyDescent="0.3">
      <c r="A87" s="9" t="str">
        <f>IF(OR(A86="",B86=""),"",A86)</f>
        <v/>
      </c>
      <c r="B87" s="9" t="str">
        <f>IF(B86="","",IF(B86="Lab","Theory",IF(B86="Theory","Lab","")))</f>
        <v/>
      </c>
      <c r="C87" s="19" t="str">
        <f>IF(OR(A86="",C86=""),"",100-C86)</f>
        <v/>
      </c>
      <c r="D87" s="3" t="str">
        <f t="shared" si="1"/>
        <v>INVALID PERCENT</v>
      </c>
    </row>
    <row r="88" spans="1:4" ht="14.25" customHeight="1" x14ac:dyDescent="0.3">
      <c r="A88" s="7"/>
      <c r="B88" s="7"/>
      <c r="C88" s="18"/>
      <c r="D88" s="3" t="str">
        <f t="shared" si="1"/>
        <v/>
      </c>
    </row>
    <row r="89" spans="1:4" ht="14.25" customHeight="1" x14ac:dyDescent="0.3">
      <c r="A89" s="9" t="str">
        <f>IF(OR(A88="",B88=""),"",A88)</f>
        <v/>
      </c>
      <c r="B89" s="9" t="str">
        <f>IF(B88="","",IF(B88="Lab","Theory",IF(B88="Theory","Lab","")))</f>
        <v/>
      </c>
      <c r="C89" s="19" t="str">
        <f>IF(OR(A88="",C88=""),"",100-C88)</f>
        <v/>
      </c>
      <c r="D89" s="3" t="str">
        <f t="shared" si="1"/>
        <v>INVALID PERCENT</v>
      </c>
    </row>
    <row r="90" spans="1:4" ht="14.25" customHeight="1" x14ac:dyDescent="0.3">
      <c r="A90" s="7"/>
      <c r="B90" s="7"/>
      <c r="C90" s="18"/>
      <c r="D90" s="3" t="str">
        <f t="shared" si="1"/>
        <v/>
      </c>
    </row>
    <row r="91" spans="1:4" ht="14.25" customHeight="1" x14ac:dyDescent="0.3">
      <c r="A91" s="9" t="str">
        <f>IF(OR(A90="",B90=""),"",A90)</f>
        <v/>
      </c>
      <c r="B91" s="9" t="str">
        <f>IF(B90="","",IF(B90="Lab","Theory",IF(B90="Theory","Lab","")))</f>
        <v/>
      </c>
      <c r="C91" s="19" t="str">
        <f>IF(OR(A90="",C90=""),"",100-C90)</f>
        <v/>
      </c>
      <c r="D91" s="3" t="str">
        <f t="shared" si="1"/>
        <v>INVALID PERCENT</v>
      </c>
    </row>
    <row r="92" spans="1:4" ht="14.25" customHeight="1" x14ac:dyDescent="0.3">
      <c r="A92" s="7"/>
      <c r="B92" s="7"/>
      <c r="C92" s="18"/>
      <c r="D92" s="3" t="str">
        <f t="shared" si="1"/>
        <v/>
      </c>
    </row>
    <row r="93" spans="1:4" ht="14.25" customHeight="1" x14ac:dyDescent="0.3">
      <c r="A93" s="9" t="str">
        <f>IF(OR(A92="",B92=""),"",A92)</f>
        <v/>
      </c>
      <c r="B93" s="9" t="str">
        <f>IF(B92="","",IF(B92="Lab","Theory",IF(B92="Theory","Lab","")))</f>
        <v/>
      </c>
      <c r="C93" s="19" t="str">
        <f>IF(OR(A92="",C92=""),"",100-C92)</f>
        <v/>
      </c>
      <c r="D93" s="3" t="str">
        <f t="shared" si="1"/>
        <v>INVALID PERCENT</v>
      </c>
    </row>
    <row r="94" spans="1:4" ht="14.25" customHeight="1" x14ac:dyDescent="0.3">
      <c r="A94" s="7"/>
      <c r="B94" s="7"/>
      <c r="C94" s="18"/>
      <c r="D94" s="3" t="str">
        <f t="shared" si="1"/>
        <v/>
      </c>
    </row>
    <row r="95" spans="1:4" ht="14.25" customHeight="1" x14ac:dyDescent="0.3">
      <c r="A95" s="9" t="str">
        <f>IF(OR(A94="",B94=""),"",A94)</f>
        <v/>
      </c>
      <c r="B95" s="9" t="str">
        <f>IF(B94="","",IF(B94="Lab","Theory",IF(B94="Theory","Lab","")))</f>
        <v/>
      </c>
      <c r="C95" s="19" t="str">
        <f>IF(OR(A94="",C94=""),"",100-C94)</f>
        <v/>
      </c>
      <c r="D95" s="3" t="str">
        <f t="shared" si="1"/>
        <v>INVALID PERCENT</v>
      </c>
    </row>
    <row r="96" spans="1:4" ht="14.25" customHeight="1" x14ac:dyDescent="0.3">
      <c r="A96" s="7"/>
      <c r="B96" s="7"/>
      <c r="C96" s="18"/>
      <c r="D96" s="3" t="str">
        <f t="shared" si="1"/>
        <v/>
      </c>
    </row>
    <row r="97" spans="1:4" ht="14.25" customHeight="1" x14ac:dyDescent="0.3">
      <c r="A97" s="9" t="str">
        <f>IF(OR(A96="",B96=""),"",A96)</f>
        <v/>
      </c>
      <c r="B97" s="9" t="str">
        <f>IF(B96="","",IF(B96="Lab","Theory",IF(B96="Theory","Lab","")))</f>
        <v/>
      </c>
      <c r="C97" s="19" t="str">
        <f>IF(OR(A96="",C96=""),"",100-C96)</f>
        <v/>
      </c>
      <c r="D97" s="3" t="str">
        <f t="shared" si="1"/>
        <v>INVALID PERCENT</v>
      </c>
    </row>
    <row r="98" spans="1:4" ht="14.25" customHeight="1" x14ac:dyDescent="0.3">
      <c r="A98" s="7"/>
      <c r="B98" s="7"/>
      <c r="C98" s="18"/>
      <c r="D98" s="3" t="str">
        <f t="shared" si="1"/>
        <v/>
      </c>
    </row>
    <row r="99" spans="1:4" ht="14.25" customHeight="1" x14ac:dyDescent="0.3">
      <c r="A99" s="9" t="str">
        <f>IF(OR(A98="",B98=""),"",A98)</f>
        <v/>
      </c>
      <c r="B99" s="9" t="str">
        <f>IF(B98="","",IF(B98="Lab","Theory",IF(B98="Theory","Lab","")))</f>
        <v/>
      </c>
      <c r="C99" s="19" t="str">
        <f>IF(OR(A98="",C98=""),"",100-C98)</f>
        <v/>
      </c>
      <c r="D99" s="3" t="str">
        <f t="shared" si="1"/>
        <v>INVALID PERCENT</v>
      </c>
    </row>
    <row r="100" spans="1:4" ht="14.25" customHeight="1" x14ac:dyDescent="0.3">
      <c r="A100" s="7"/>
      <c r="B100" s="7"/>
      <c r="C100" s="7"/>
      <c r="D100" s="3" t="str">
        <f t="shared" si="1"/>
        <v/>
      </c>
    </row>
    <row r="101" spans="1:4" ht="14.25" customHeight="1" x14ac:dyDescent="0.3">
      <c r="A101" s="20"/>
      <c r="B101" s="20"/>
      <c r="C101" s="20"/>
      <c r="D101" s="3" t="str">
        <f t="shared" si="1"/>
        <v/>
      </c>
    </row>
    <row r="102" spans="1:4" ht="14.25" customHeight="1" x14ac:dyDescent="0.3">
      <c r="A102" s="7"/>
      <c r="B102" s="7"/>
      <c r="C102" s="7"/>
      <c r="D102" s="3" t="str">
        <f t="shared" si="1"/>
        <v/>
      </c>
    </row>
    <row r="103" spans="1:4" ht="14.25" customHeight="1" x14ac:dyDescent="0.3">
      <c r="A103" s="20"/>
      <c r="B103" s="20"/>
      <c r="C103" s="20"/>
      <c r="D103" s="3" t="str">
        <f t="shared" si="1"/>
        <v/>
      </c>
    </row>
    <row r="104" spans="1:4" ht="14.25" customHeight="1" x14ac:dyDescent="0.3">
      <c r="A104" s="7"/>
      <c r="B104" s="7"/>
      <c r="C104" s="7"/>
      <c r="D104" s="3" t="str">
        <f t="shared" si="1"/>
        <v/>
      </c>
    </row>
    <row r="105" spans="1:4" ht="14.25" customHeight="1" x14ac:dyDescent="0.3">
      <c r="A105" s="20"/>
      <c r="B105" s="20"/>
      <c r="C105" s="20"/>
      <c r="D105" s="3" t="str">
        <f t="shared" si="1"/>
        <v/>
      </c>
    </row>
    <row r="106" spans="1:4" ht="14.25" customHeight="1" x14ac:dyDescent="0.3">
      <c r="A106" s="7"/>
      <c r="B106" s="7"/>
      <c r="C106" s="7"/>
      <c r="D106" s="3" t="str">
        <f t="shared" si="1"/>
        <v/>
      </c>
    </row>
    <row r="107" spans="1:4" ht="14.25" customHeight="1" x14ac:dyDescent="0.3">
      <c r="A107" s="20"/>
      <c r="B107" s="20"/>
      <c r="C107" s="20"/>
      <c r="D107" s="3" t="str">
        <f t="shared" si="1"/>
        <v/>
      </c>
    </row>
    <row r="108" spans="1:4" ht="14.25" customHeight="1" x14ac:dyDescent="0.3">
      <c r="A108" s="7"/>
      <c r="B108" s="7"/>
      <c r="C108" s="7"/>
      <c r="D108" s="3" t="str">
        <f t="shared" si="1"/>
        <v/>
      </c>
    </row>
    <row r="109" spans="1:4" ht="14.25" customHeight="1" x14ac:dyDescent="0.3">
      <c r="A109" s="20"/>
      <c r="B109" s="20"/>
      <c r="C109" s="20"/>
      <c r="D109" s="3" t="str">
        <f t="shared" si="1"/>
        <v/>
      </c>
    </row>
    <row r="110" spans="1:4" ht="14.25" customHeight="1" x14ac:dyDescent="0.3">
      <c r="A110" s="7"/>
      <c r="B110" s="7"/>
      <c r="C110" s="7"/>
      <c r="D110" s="3" t="str">
        <f t="shared" si="1"/>
        <v/>
      </c>
    </row>
    <row r="111" spans="1:4" ht="14.25" customHeight="1" x14ac:dyDescent="0.3">
      <c r="A111" s="20"/>
      <c r="B111" s="20"/>
      <c r="C111" s="20"/>
      <c r="D111" s="3" t="str">
        <f t="shared" si="1"/>
        <v/>
      </c>
    </row>
    <row r="112" spans="1:4" ht="14.25" customHeight="1" x14ac:dyDescent="0.3">
      <c r="A112" s="7"/>
      <c r="B112" s="7"/>
      <c r="C112" s="7"/>
      <c r="D112" s="3" t="str">
        <f t="shared" si="1"/>
        <v/>
      </c>
    </row>
    <row r="113" spans="1:4" ht="14.25" customHeight="1" x14ac:dyDescent="0.3">
      <c r="A113" s="20"/>
      <c r="B113" s="20"/>
      <c r="C113" s="20"/>
      <c r="D113" s="3" t="str">
        <f t="shared" si="1"/>
        <v/>
      </c>
    </row>
    <row r="114" spans="1:4" ht="14.25" customHeight="1" x14ac:dyDescent="0.3">
      <c r="A114" s="7"/>
      <c r="B114" s="7"/>
      <c r="C114" s="7"/>
      <c r="D114" s="3" t="str">
        <f t="shared" si="1"/>
        <v/>
      </c>
    </row>
    <row r="115" spans="1:4" ht="14.25" customHeight="1" x14ac:dyDescent="0.3">
      <c r="A115" s="20"/>
      <c r="B115" s="20"/>
      <c r="C115" s="20"/>
      <c r="D115" s="3" t="str">
        <f t="shared" si="1"/>
        <v/>
      </c>
    </row>
    <row r="116" spans="1:4" ht="14.25" customHeight="1" x14ac:dyDescent="0.3">
      <c r="A116" s="7"/>
      <c r="B116" s="7"/>
      <c r="C116" s="7"/>
      <c r="D116" s="3" t="str">
        <f t="shared" si="1"/>
        <v/>
      </c>
    </row>
    <row r="117" spans="1:4" ht="14.25" customHeight="1" x14ac:dyDescent="0.3">
      <c r="A117" s="20"/>
      <c r="B117" s="20"/>
      <c r="C117" s="20"/>
      <c r="D117" s="3" t="str">
        <f t="shared" si="1"/>
        <v/>
      </c>
    </row>
    <row r="118" spans="1:4" ht="14.25" customHeight="1" x14ac:dyDescent="0.3">
      <c r="A118" s="7"/>
      <c r="B118" s="7"/>
      <c r="C118" s="7"/>
      <c r="D118" s="3" t="str">
        <f t="shared" si="1"/>
        <v/>
      </c>
    </row>
    <row r="119" spans="1:4" ht="14.25" customHeight="1" x14ac:dyDescent="0.3">
      <c r="A119" s="20"/>
      <c r="B119" s="20"/>
      <c r="C119" s="20"/>
      <c r="D119" s="3" t="str">
        <f t="shared" si="1"/>
        <v/>
      </c>
    </row>
    <row r="120" spans="1:4" ht="14.25" customHeight="1" x14ac:dyDescent="0.3">
      <c r="A120" s="7"/>
      <c r="B120" s="7"/>
      <c r="C120" s="7"/>
      <c r="D120" s="3" t="str">
        <f t="shared" si="1"/>
        <v/>
      </c>
    </row>
    <row r="121" spans="1:4" ht="14.25" customHeight="1" x14ac:dyDescent="0.3">
      <c r="A121" s="20"/>
      <c r="B121" s="20"/>
      <c r="C121" s="20"/>
      <c r="D121" s="3" t="str">
        <f t="shared" si="1"/>
        <v/>
      </c>
    </row>
    <row r="122" spans="1:4" ht="14.25" customHeight="1" x14ac:dyDescent="0.3">
      <c r="A122" s="7"/>
      <c r="B122" s="7"/>
      <c r="C122" s="7"/>
      <c r="D122" s="3" t="str">
        <f t="shared" si="1"/>
        <v/>
      </c>
    </row>
    <row r="123" spans="1:4" ht="14.25" customHeight="1" x14ac:dyDescent="0.3">
      <c r="A123" s="20"/>
      <c r="B123" s="20"/>
      <c r="C123" s="20"/>
      <c r="D123" s="3" t="str">
        <f t="shared" si="1"/>
        <v/>
      </c>
    </row>
    <row r="124" spans="1:4" ht="14.25" customHeight="1" x14ac:dyDescent="0.3">
      <c r="A124" s="7"/>
      <c r="B124" s="7"/>
      <c r="C124" s="7"/>
      <c r="D124" s="3" t="str">
        <f t="shared" si="1"/>
        <v/>
      </c>
    </row>
    <row r="125" spans="1:4" ht="14.25" customHeight="1" x14ac:dyDescent="0.3">
      <c r="A125" s="20"/>
      <c r="B125" s="20"/>
      <c r="C125" s="20"/>
      <c r="D125" s="3" t="str">
        <f t="shared" si="1"/>
        <v/>
      </c>
    </row>
    <row r="126" spans="1:4" ht="14.25" customHeight="1" x14ac:dyDescent="0.3">
      <c r="A126" s="7"/>
      <c r="B126" s="7"/>
      <c r="C126" s="7"/>
      <c r="D126" s="3" t="str">
        <f t="shared" si="1"/>
        <v/>
      </c>
    </row>
    <row r="127" spans="1:4" ht="14.25" customHeight="1" x14ac:dyDescent="0.3">
      <c r="A127" s="20"/>
      <c r="B127" s="20"/>
      <c r="C127" s="20"/>
      <c r="D127" s="3" t="str">
        <f t="shared" si="1"/>
        <v/>
      </c>
    </row>
    <row r="128" spans="1:4" ht="14.25" customHeight="1" x14ac:dyDescent="0.3">
      <c r="A128" s="7"/>
      <c r="B128" s="7"/>
      <c r="C128" s="7"/>
      <c r="D128" s="3" t="str">
        <f t="shared" si="1"/>
        <v/>
      </c>
    </row>
    <row r="129" spans="1:4" ht="14.25" customHeight="1" x14ac:dyDescent="0.3">
      <c r="A129" s="20"/>
      <c r="B129" s="20"/>
      <c r="C129" s="20"/>
      <c r="D129" s="3" t="str">
        <f t="shared" si="1"/>
        <v/>
      </c>
    </row>
    <row r="130" spans="1:4" ht="14.25" customHeight="1" x14ac:dyDescent="0.3">
      <c r="A130" s="7"/>
      <c r="B130" s="7"/>
      <c r="C130" s="7"/>
      <c r="D130" s="3" t="str">
        <f t="shared" ref="D130:D193" si="2">IF(COUNTA(A130:C130)=0,"",IF(OR(C130&lt;0,C130&gt;100),"INVALID PERCENT",IF(COUNTIFS($A$2:$A$500,A130,$B$2:$B$500,B130)&gt;1,"DUPLICATE DAY/CLASS","OK")))</f>
        <v/>
      </c>
    </row>
    <row r="131" spans="1:4" ht="14.25" customHeight="1" x14ac:dyDescent="0.3">
      <c r="A131" s="20"/>
      <c r="B131" s="20"/>
      <c r="C131" s="20"/>
      <c r="D131" s="3" t="str">
        <f t="shared" si="2"/>
        <v/>
      </c>
    </row>
    <row r="132" spans="1:4" ht="14.25" customHeight="1" x14ac:dyDescent="0.3">
      <c r="A132" s="7"/>
      <c r="B132" s="7"/>
      <c r="C132" s="7"/>
      <c r="D132" s="3" t="str">
        <f t="shared" si="2"/>
        <v/>
      </c>
    </row>
    <row r="133" spans="1:4" ht="14.25" customHeight="1" x14ac:dyDescent="0.3">
      <c r="A133" s="20"/>
      <c r="B133" s="20"/>
      <c r="C133" s="20"/>
      <c r="D133" s="3" t="str">
        <f t="shared" si="2"/>
        <v/>
      </c>
    </row>
    <row r="134" spans="1:4" ht="14.25" customHeight="1" x14ac:dyDescent="0.3">
      <c r="A134" s="7"/>
      <c r="B134" s="7"/>
      <c r="C134" s="7"/>
      <c r="D134" s="3" t="str">
        <f t="shared" si="2"/>
        <v/>
      </c>
    </row>
    <row r="135" spans="1:4" ht="14.25" customHeight="1" x14ac:dyDescent="0.3">
      <c r="A135" s="20"/>
      <c r="B135" s="20"/>
      <c r="C135" s="20"/>
      <c r="D135" s="3" t="str">
        <f t="shared" si="2"/>
        <v/>
      </c>
    </row>
    <row r="136" spans="1:4" ht="14.25" customHeight="1" x14ac:dyDescent="0.3">
      <c r="A136" s="7"/>
      <c r="B136" s="7"/>
      <c r="C136" s="7"/>
      <c r="D136" s="3" t="str">
        <f t="shared" si="2"/>
        <v/>
      </c>
    </row>
    <row r="137" spans="1:4" ht="14.25" customHeight="1" x14ac:dyDescent="0.3">
      <c r="A137" s="20"/>
      <c r="B137" s="20"/>
      <c r="C137" s="20"/>
      <c r="D137" s="3" t="str">
        <f t="shared" si="2"/>
        <v/>
      </c>
    </row>
    <row r="138" spans="1:4" ht="14.25" customHeight="1" x14ac:dyDescent="0.3">
      <c r="A138" s="7"/>
      <c r="B138" s="7"/>
      <c r="C138" s="7"/>
      <c r="D138" s="3" t="str">
        <f t="shared" si="2"/>
        <v/>
      </c>
    </row>
    <row r="139" spans="1:4" ht="14.25" customHeight="1" x14ac:dyDescent="0.3">
      <c r="A139" s="20"/>
      <c r="B139" s="20"/>
      <c r="C139" s="20"/>
      <c r="D139" s="3" t="str">
        <f t="shared" si="2"/>
        <v/>
      </c>
    </row>
    <row r="140" spans="1:4" ht="14.25" customHeight="1" x14ac:dyDescent="0.3">
      <c r="A140" s="7"/>
      <c r="B140" s="7"/>
      <c r="C140" s="7"/>
      <c r="D140" s="3" t="str">
        <f t="shared" si="2"/>
        <v/>
      </c>
    </row>
    <row r="141" spans="1:4" ht="14.25" customHeight="1" x14ac:dyDescent="0.3">
      <c r="A141" s="20"/>
      <c r="B141" s="20"/>
      <c r="C141" s="20"/>
      <c r="D141" s="3" t="str">
        <f t="shared" si="2"/>
        <v/>
      </c>
    </row>
    <row r="142" spans="1:4" ht="14.25" customHeight="1" x14ac:dyDescent="0.3">
      <c r="A142" s="7"/>
      <c r="B142" s="7"/>
      <c r="C142" s="7"/>
      <c r="D142" s="3" t="str">
        <f t="shared" si="2"/>
        <v/>
      </c>
    </row>
    <row r="143" spans="1:4" ht="14.25" customHeight="1" x14ac:dyDescent="0.3">
      <c r="A143" s="20"/>
      <c r="B143" s="20"/>
      <c r="C143" s="20"/>
      <c r="D143" s="3" t="str">
        <f t="shared" si="2"/>
        <v/>
      </c>
    </row>
    <row r="144" spans="1:4" ht="14.25" customHeight="1" x14ac:dyDescent="0.3">
      <c r="A144" s="7"/>
      <c r="B144" s="7"/>
      <c r="C144" s="7"/>
      <c r="D144" s="3" t="str">
        <f t="shared" si="2"/>
        <v/>
      </c>
    </row>
    <row r="145" spans="1:4" ht="14.25" customHeight="1" x14ac:dyDescent="0.3">
      <c r="A145" s="20"/>
      <c r="B145" s="20"/>
      <c r="C145" s="20"/>
      <c r="D145" s="3" t="str">
        <f t="shared" si="2"/>
        <v/>
      </c>
    </row>
    <row r="146" spans="1:4" ht="14.25" customHeight="1" x14ac:dyDescent="0.3">
      <c r="A146" s="7"/>
      <c r="B146" s="7"/>
      <c r="C146" s="7"/>
      <c r="D146" s="3" t="str">
        <f t="shared" si="2"/>
        <v/>
      </c>
    </row>
    <row r="147" spans="1:4" ht="14.25" customHeight="1" x14ac:dyDescent="0.3">
      <c r="A147" s="20"/>
      <c r="B147" s="20"/>
      <c r="C147" s="20"/>
      <c r="D147" s="3" t="str">
        <f t="shared" si="2"/>
        <v/>
      </c>
    </row>
    <row r="148" spans="1:4" ht="14.25" customHeight="1" x14ac:dyDescent="0.3">
      <c r="A148" s="7"/>
      <c r="B148" s="7"/>
      <c r="C148" s="7"/>
      <c r="D148" s="3" t="str">
        <f t="shared" si="2"/>
        <v/>
      </c>
    </row>
    <row r="149" spans="1:4" ht="14.25" customHeight="1" x14ac:dyDescent="0.3">
      <c r="A149" s="20"/>
      <c r="B149" s="20"/>
      <c r="C149" s="20"/>
      <c r="D149" s="3" t="str">
        <f t="shared" si="2"/>
        <v/>
      </c>
    </row>
    <row r="150" spans="1:4" ht="14.25" customHeight="1" x14ac:dyDescent="0.3">
      <c r="A150" s="7"/>
      <c r="B150" s="7"/>
      <c r="C150" s="7"/>
      <c r="D150" s="3" t="str">
        <f t="shared" si="2"/>
        <v/>
      </c>
    </row>
    <row r="151" spans="1:4" ht="14.25" customHeight="1" x14ac:dyDescent="0.3">
      <c r="A151" s="20"/>
      <c r="B151" s="20"/>
      <c r="C151" s="20"/>
      <c r="D151" s="3" t="str">
        <f t="shared" si="2"/>
        <v/>
      </c>
    </row>
    <row r="152" spans="1:4" ht="14.25" customHeight="1" x14ac:dyDescent="0.3">
      <c r="A152" s="7"/>
      <c r="B152" s="7"/>
      <c r="C152" s="7"/>
      <c r="D152" s="3" t="str">
        <f t="shared" si="2"/>
        <v/>
      </c>
    </row>
    <row r="153" spans="1:4" ht="14.25" customHeight="1" x14ac:dyDescent="0.3">
      <c r="A153" s="20"/>
      <c r="B153" s="20"/>
      <c r="C153" s="20"/>
      <c r="D153" s="3" t="str">
        <f t="shared" si="2"/>
        <v/>
      </c>
    </row>
    <row r="154" spans="1:4" ht="14.25" customHeight="1" x14ac:dyDescent="0.3">
      <c r="A154" s="7"/>
      <c r="B154" s="7"/>
      <c r="C154" s="7"/>
      <c r="D154" s="3" t="str">
        <f t="shared" si="2"/>
        <v/>
      </c>
    </row>
    <row r="155" spans="1:4" ht="14.25" customHeight="1" x14ac:dyDescent="0.3">
      <c r="A155" s="20"/>
      <c r="B155" s="20"/>
      <c r="C155" s="20"/>
      <c r="D155" s="3" t="str">
        <f t="shared" si="2"/>
        <v/>
      </c>
    </row>
    <row r="156" spans="1:4" ht="14.25" customHeight="1" x14ac:dyDescent="0.3">
      <c r="A156" s="7"/>
      <c r="B156" s="7"/>
      <c r="C156" s="7"/>
      <c r="D156" s="3" t="str">
        <f t="shared" si="2"/>
        <v/>
      </c>
    </row>
    <row r="157" spans="1:4" ht="14.25" customHeight="1" x14ac:dyDescent="0.3">
      <c r="A157" s="20"/>
      <c r="B157" s="20"/>
      <c r="C157" s="20"/>
      <c r="D157" s="3" t="str">
        <f t="shared" si="2"/>
        <v/>
      </c>
    </row>
    <row r="158" spans="1:4" ht="14.25" customHeight="1" x14ac:dyDescent="0.3">
      <c r="A158" s="7"/>
      <c r="B158" s="7"/>
      <c r="C158" s="7"/>
      <c r="D158" s="3" t="str">
        <f t="shared" si="2"/>
        <v/>
      </c>
    </row>
    <row r="159" spans="1:4" ht="14.25" customHeight="1" x14ac:dyDescent="0.3">
      <c r="A159" s="20"/>
      <c r="B159" s="20"/>
      <c r="C159" s="20"/>
      <c r="D159" s="3" t="str">
        <f t="shared" si="2"/>
        <v/>
      </c>
    </row>
    <row r="160" spans="1:4" ht="14.25" customHeight="1" x14ac:dyDescent="0.3">
      <c r="A160" s="7"/>
      <c r="B160" s="7"/>
      <c r="C160" s="7"/>
      <c r="D160" s="3" t="str">
        <f t="shared" si="2"/>
        <v/>
      </c>
    </row>
    <row r="161" spans="1:4" ht="14.25" customHeight="1" x14ac:dyDescent="0.3">
      <c r="A161" s="20"/>
      <c r="B161" s="20"/>
      <c r="C161" s="20"/>
      <c r="D161" s="3" t="str">
        <f t="shared" si="2"/>
        <v/>
      </c>
    </row>
    <row r="162" spans="1:4" ht="14.25" customHeight="1" x14ac:dyDescent="0.3">
      <c r="A162" s="7"/>
      <c r="B162" s="7"/>
      <c r="C162" s="7"/>
      <c r="D162" s="3" t="str">
        <f t="shared" si="2"/>
        <v/>
      </c>
    </row>
    <row r="163" spans="1:4" ht="14.25" customHeight="1" x14ac:dyDescent="0.3">
      <c r="A163" s="20"/>
      <c r="B163" s="20"/>
      <c r="C163" s="20"/>
      <c r="D163" s="3" t="str">
        <f t="shared" si="2"/>
        <v/>
      </c>
    </row>
    <row r="164" spans="1:4" ht="14.25" customHeight="1" x14ac:dyDescent="0.3">
      <c r="A164" s="7"/>
      <c r="B164" s="7"/>
      <c r="C164" s="7"/>
      <c r="D164" s="3" t="str">
        <f t="shared" si="2"/>
        <v/>
      </c>
    </row>
    <row r="165" spans="1:4" ht="14.25" customHeight="1" x14ac:dyDescent="0.3">
      <c r="A165" s="20"/>
      <c r="B165" s="20"/>
      <c r="C165" s="20"/>
      <c r="D165" s="3" t="str">
        <f t="shared" si="2"/>
        <v/>
      </c>
    </row>
    <row r="166" spans="1:4" ht="14.25" customHeight="1" x14ac:dyDescent="0.3">
      <c r="A166" s="7"/>
      <c r="B166" s="7"/>
      <c r="C166" s="7"/>
      <c r="D166" s="3" t="str">
        <f t="shared" si="2"/>
        <v/>
      </c>
    </row>
    <row r="167" spans="1:4" ht="14.25" customHeight="1" x14ac:dyDescent="0.3">
      <c r="A167" s="20"/>
      <c r="B167" s="20"/>
      <c r="C167" s="20"/>
      <c r="D167" s="3" t="str">
        <f t="shared" si="2"/>
        <v/>
      </c>
    </row>
    <row r="168" spans="1:4" ht="14.25" customHeight="1" x14ac:dyDescent="0.3">
      <c r="A168" s="7"/>
      <c r="B168" s="7"/>
      <c r="C168" s="7"/>
      <c r="D168" s="3" t="str">
        <f t="shared" si="2"/>
        <v/>
      </c>
    </row>
    <row r="169" spans="1:4" ht="14.25" customHeight="1" x14ac:dyDescent="0.3">
      <c r="A169" s="20"/>
      <c r="B169" s="20"/>
      <c r="C169" s="20"/>
      <c r="D169" s="3" t="str">
        <f t="shared" si="2"/>
        <v/>
      </c>
    </row>
    <row r="170" spans="1:4" ht="14.25" customHeight="1" x14ac:dyDescent="0.3">
      <c r="A170" s="7"/>
      <c r="B170" s="7"/>
      <c r="C170" s="7"/>
      <c r="D170" s="3" t="str">
        <f t="shared" si="2"/>
        <v/>
      </c>
    </row>
    <row r="171" spans="1:4" ht="14.25" customHeight="1" x14ac:dyDescent="0.3">
      <c r="A171" s="20"/>
      <c r="B171" s="20"/>
      <c r="C171" s="20"/>
      <c r="D171" s="3" t="str">
        <f t="shared" si="2"/>
        <v/>
      </c>
    </row>
    <row r="172" spans="1:4" ht="14.25" customHeight="1" x14ac:dyDescent="0.3">
      <c r="A172" s="7"/>
      <c r="B172" s="7"/>
      <c r="C172" s="7"/>
      <c r="D172" s="3" t="str">
        <f t="shared" si="2"/>
        <v/>
      </c>
    </row>
    <row r="173" spans="1:4" ht="14.25" customHeight="1" x14ac:dyDescent="0.3">
      <c r="A173" s="20"/>
      <c r="B173" s="20"/>
      <c r="C173" s="20"/>
      <c r="D173" s="3" t="str">
        <f t="shared" si="2"/>
        <v/>
      </c>
    </row>
    <row r="174" spans="1:4" ht="14.25" customHeight="1" x14ac:dyDescent="0.3">
      <c r="A174" s="7"/>
      <c r="B174" s="7"/>
      <c r="C174" s="7"/>
      <c r="D174" s="3" t="str">
        <f t="shared" si="2"/>
        <v/>
      </c>
    </row>
    <row r="175" spans="1:4" ht="14.25" customHeight="1" x14ac:dyDescent="0.3">
      <c r="A175" s="20"/>
      <c r="B175" s="20"/>
      <c r="C175" s="20"/>
      <c r="D175" s="3" t="str">
        <f t="shared" si="2"/>
        <v/>
      </c>
    </row>
    <row r="176" spans="1:4" ht="14.25" customHeight="1" x14ac:dyDescent="0.3">
      <c r="A176" s="7"/>
      <c r="B176" s="7"/>
      <c r="C176" s="7"/>
      <c r="D176" s="3" t="str">
        <f t="shared" si="2"/>
        <v/>
      </c>
    </row>
    <row r="177" spans="1:4" ht="14.25" customHeight="1" x14ac:dyDescent="0.3">
      <c r="A177" s="20"/>
      <c r="B177" s="20"/>
      <c r="C177" s="20"/>
      <c r="D177" s="3" t="str">
        <f t="shared" si="2"/>
        <v/>
      </c>
    </row>
    <row r="178" spans="1:4" ht="14.25" customHeight="1" x14ac:dyDescent="0.3">
      <c r="A178" s="7"/>
      <c r="B178" s="7"/>
      <c r="C178" s="7"/>
      <c r="D178" s="3" t="str">
        <f t="shared" si="2"/>
        <v/>
      </c>
    </row>
    <row r="179" spans="1:4" ht="14.25" customHeight="1" x14ac:dyDescent="0.3">
      <c r="A179" s="20"/>
      <c r="B179" s="20"/>
      <c r="C179" s="20"/>
      <c r="D179" s="3" t="str">
        <f t="shared" si="2"/>
        <v/>
      </c>
    </row>
    <row r="180" spans="1:4" ht="14.25" customHeight="1" x14ac:dyDescent="0.3">
      <c r="A180" s="7"/>
      <c r="B180" s="7"/>
      <c r="C180" s="7"/>
      <c r="D180" s="3" t="str">
        <f t="shared" si="2"/>
        <v/>
      </c>
    </row>
    <row r="181" spans="1:4" ht="14.25" customHeight="1" x14ac:dyDescent="0.3">
      <c r="A181" s="20"/>
      <c r="B181" s="20"/>
      <c r="C181" s="20"/>
      <c r="D181" s="3" t="str">
        <f t="shared" si="2"/>
        <v/>
      </c>
    </row>
    <row r="182" spans="1:4" ht="14.25" customHeight="1" x14ac:dyDescent="0.3">
      <c r="A182" s="7"/>
      <c r="B182" s="7"/>
      <c r="C182" s="7"/>
      <c r="D182" s="3" t="str">
        <f t="shared" si="2"/>
        <v/>
      </c>
    </row>
    <row r="183" spans="1:4" ht="14.25" customHeight="1" x14ac:dyDescent="0.3">
      <c r="A183" s="20"/>
      <c r="B183" s="20"/>
      <c r="C183" s="20"/>
      <c r="D183" s="3" t="str">
        <f t="shared" si="2"/>
        <v/>
      </c>
    </row>
    <row r="184" spans="1:4" ht="14.25" customHeight="1" x14ac:dyDescent="0.3">
      <c r="A184" s="7"/>
      <c r="B184" s="7"/>
      <c r="C184" s="7"/>
      <c r="D184" s="3" t="str">
        <f t="shared" si="2"/>
        <v/>
      </c>
    </row>
    <row r="185" spans="1:4" ht="14.25" customHeight="1" x14ac:dyDescent="0.3">
      <c r="A185" s="20"/>
      <c r="B185" s="20"/>
      <c r="C185" s="20"/>
      <c r="D185" s="3" t="str">
        <f t="shared" si="2"/>
        <v/>
      </c>
    </row>
    <row r="186" spans="1:4" ht="14.25" customHeight="1" x14ac:dyDescent="0.3">
      <c r="A186" s="7"/>
      <c r="B186" s="7"/>
      <c r="C186" s="7"/>
      <c r="D186" s="3" t="str">
        <f t="shared" si="2"/>
        <v/>
      </c>
    </row>
    <row r="187" spans="1:4" ht="14.25" customHeight="1" x14ac:dyDescent="0.3">
      <c r="A187" s="20"/>
      <c r="B187" s="20"/>
      <c r="C187" s="20"/>
      <c r="D187" s="3" t="str">
        <f t="shared" si="2"/>
        <v/>
      </c>
    </row>
    <row r="188" spans="1:4" ht="14.25" customHeight="1" x14ac:dyDescent="0.3">
      <c r="A188" s="7"/>
      <c r="B188" s="7"/>
      <c r="C188" s="7"/>
      <c r="D188" s="3" t="str">
        <f t="shared" si="2"/>
        <v/>
      </c>
    </row>
    <row r="189" spans="1:4" ht="14.25" customHeight="1" x14ac:dyDescent="0.3">
      <c r="A189" s="20"/>
      <c r="B189" s="20"/>
      <c r="C189" s="20"/>
      <c r="D189" s="3" t="str">
        <f t="shared" si="2"/>
        <v/>
      </c>
    </row>
    <row r="190" spans="1:4" ht="14.25" customHeight="1" x14ac:dyDescent="0.3">
      <c r="A190" s="7"/>
      <c r="B190" s="7"/>
      <c r="C190" s="7"/>
      <c r="D190" s="3" t="str">
        <f t="shared" si="2"/>
        <v/>
      </c>
    </row>
    <row r="191" spans="1:4" ht="14.25" customHeight="1" x14ac:dyDescent="0.3">
      <c r="A191" s="20"/>
      <c r="B191" s="20"/>
      <c r="C191" s="20"/>
      <c r="D191" s="3" t="str">
        <f t="shared" si="2"/>
        <v/>
      </c>
    </row>
    <row r="192" spans="1:4" ht="14.25" customHeight="1" x14ac:dyDescent="0.3">
      <c r="A192" s="7"/>
      <c r="B192" s="7"/>
      <c r="C192" s="7"/>
      <c r="D192" s="3" t="str">
        <f t="shared" si="2"/>
        <v/>
      </c>
    </row>
    <row r="193" spans="1:4" ht="14.25" customHeight="1" x14ac:dyDescent="0.3">
      <c r="A193" s="20"/>
      <c r="B193" s="20"/>
      <c r="C193" s="20"/>
      <c r="D193" s="3" t="str">
        <f t="shared" si="2"/>
        <v/>
      </c>
    </row>
    <row r="194" spans="1:4" ht="14.25" customHeight="1" x14ac:dyDescent="0.3">
      <c r="A194" s="7"/>
      <c r="B194" s="7"/>
      <c r="C194" s="7"/>
      <c r="D194" s="3" t="str">
        <f t="shared" ref="D194:D257" si="3">IF(COUNTA(A194:C194)=0,"",IF(OR(C194&lt;0,C194&gt;100),"INVALID PERCENT",IF(COUNTIFS($A$2:$A$500,A194,$B$2:$B$500,B194)&gt;1,"DUPLICATE DAY/CLASS","OK")))</f>
        <v/>
      </c>
    </row>
    <row r="195" spans="1:4" ht="14.25" customHeight="1" x14ac:dyDescent="0.3">
      <c r="A195" s="20"/>
      <c r="B195" s="20"/>
      <c r="C195" s="20"/>
      <c r="D195" s="3" t="str">
        <f t="shared" si="3"/>
        <v/>
      </c>
    </row>
    <row r="196" spans="1:4" ht="14.25" customHeight="1" x14ac:dyDescent="0.3">
      <c r="A196" s="7"/>
      <c r="B196" s="7"/>
      <c r="C196" s="7"/>
      <c r="D196" s="3" t="str">
        <f t="shared" si="3"/>
        <v/>
      </c>
    </row>
    <row r="197" spans="1:4" ht="14.25" customHeight="1" x14ac:dyDescent="0.3">
      <c r="A197" s="20"/>
      <c r="B197" s="20"/>
      <c r="C197" s="20"/>
      <c r="D197" s="3" t="str">
        <f t="shared" si="3"/>
        <v/>
      </c>
    </row>
    <row r="198" spans="1:4" ht="14.25" customHeight="1" x14ac:dyDescent="0.3">
      <c r="A198" s="7"/>
      <c r="B198" s="7"/>
      <c r="C198" s="7"/>
      <c r="D198" s="3" t="str">
        <f t="shared" si="3"/>
        <v/>
      </c>
    </row>
    <row r="199" spans="1:4" ht="14.25" customHeight="1" x14ac:dyDescent="0.3">
      <c r="A199" s="20"/>
      <c r="B199" s="20"/>
      <c r="C199" s="20"/>
      <c r="D199" s="3" t="str">
        <f t="shared" si="3"/>
        <v/>
      </c>
    </row>
    <row r="200" spans="1:4" ht="14.25" customHeight="1" x14ac:dyDescent="0.3">
      <c r="A200" s="7"/>
      <c r="B200" s="7"/>
      <c r="C200" s="7"/>
      <c r="D200" s="3" t="str">
        <f t="shared" si="3"/>
        <v/>
      </c>
    </row>
    <row r="201" spans="1:4" ht="14.25" customHeight="1" x14ac:dyDescent="0.3">
      <c r="A201" s="20"/>
      <c r="B201" s="20"/>
      <c r="C201" s="20"/>
      <c r="D201" s="3" t="str">
        <f t="shared" si="3"/>
        <v/>
      </c>
    </row>
    <row r="202" spans="1:4" ht="14.25" customHeight="1" x14ac:dyDescent="0.3">
      <c r="A202" s="7"/>
      <c r="B202" s="7"/>
      <c r="C202" s="7"/>
      <c r="D202" s="3" t="str">
        <f t="shared" si="3"/>
        <v/>
      </c>
    </row>
    <row r="203" spans="1:4" ht="14.25" customHeight="1" x14ac:dyDescent="0.3">
      <c r="A203" s="20"/>
      <c r="B203" s="20"/>
      <c r="C203" s="20"/>
      <c r="D203" s="3" t="str">
        <f t="shared" si="3"/>
        <v/>
      </c>
    </row>
    <row r="204" spans="1:4" ht="14.25" customHeight="1" x14ac:dyDescent="0.3">
      <c r="A204" s="7"/>
      <c r="B204" s="7"/>
      <c r="C204" s="7"/>
      <c r="D204" s="3" t="str">
        <f t="shared" si="3"/>
        <v/>
      </c>
    </row>
    <row r="205" spans="1:4" ht="14.25" customHeight="1" x14ac:dyDescent="0.3">
      <c r="A205" s="20"/>
      <c r="B205" s="20"/>
      <c r="C205" s="20"/>
      <c r="D205" s="3" t="str">
        <f t="shared" si="3"/>
        <v/>
      </c>
    </row>
    <row r="206" spans="1:4" ht="14.25" customHeight="1" x14ac:dyDescent="0.3">
      <c r="A206" s="7"/>
      <c r="B206" s="7"/>
      <c r="C206" s="7"/>
      <c r="D206" s="3" t="str">
        <f t="shared" si="3"/>
        <v/>
      </c>
    </row>
    <row r="207" spans="1:4" ht="14.25" customHeight="1" x14ac:dyDescent="0.3">
      <c r="A207" s="20"/>
      <c r="B207" s="20"/>
      <c r="C207" s="20"/>
      <c r="D207" s="3" t="str">
        <f t="shared" si="3"/>
        <v/>
      </c>
    </row>
    <row r="208" spans="1:4" ht="14.25" customHeight="1" x14ac:dyDescent="0.3">
      <c r="A208" s="7"/>
      <c r="B208" s="7"/>
      <c r="C208" s="7"/>
      <c r="D208" s="3" t="str">
        <f t="shared" si="3"/>
        <v/>
      </c>
    </row>
    <row r="209" spans="1:4" ht="14.25" customHeight="1" x14ac:dyDescent="0.3">
      <c r="A209" s="20"/>
      <c r="B209" s="20"/>
      <c r="C209" s="20"/>
      <c r="D209" s="3" t="str">
        <f t="shared" si="3"/>
        <v/>
      </c>
    </row>
    <row r="210" spans="1:4" ht="14.25" customHeight="1" x14ac:dyDescent="0.3">
      <c r="A210" s="7"/>
      <c r="B210" s="7"/>
      <c r="C210" s="7"/>
      <c r="D210" s="3" t="str">
        <f t="shared" si="3"/>
        <v/>
      </c>
    </row>
    <row r="211" spans="1:4" ht="14.25" customHeight="1" x14ac:dyDescent="0.3">
      <c r="A211" s="20"/>
      <c r="B211" s="20"/>
      <c r="C211" s="20"/>
      <c r="D211" s="3" t="str">
        <f t="shared" si="3"/>
        <v/>
      </c>
    </row>
    <row r="212" spans="1:4" ht="14.25" customHeight="1" x14ac:dyDescent="0.3">
      <c r="A212" s="7"/>
      <c r="B212" s="7"/>
      <c r="C212" s="7"/>
      <c r="D212" s="3" t="str">
        <f t="shared" si="3"/>
        <v/>
      </c>
    </row>
    <row r="213" spans="1:4" ht="14.25" customHeight="1" x14ac:dyDescent="0.3">
      <c r="A213" s="20"/>
      <c r="B213" s="20"/>
      <c r="C213" s="20"/>
      <c r="D213" s="3" t="str">
        <f t="shared" si="3"/>
        <v/>
      </c>
    </row>
    <row r="214" spans="1:4" ht="14.25" customHeight="1" x14ac:dyDescent="0.3">
      <c r="A214" s="7"/>
      <c r="B214" s="7"/>
      <c r="C214" s="7"/>
      <c r="D214" s="3" t="str">
        <f t="shared" si="3"/>
        <v/>
      </c>
    </row>
    <row r="215" spans="1:4" ht="14.25" customHeight="1" x14ac:dyDescent="0.3">
      <c r="A215" s="20"/>
      <c r="B215" s="20"/>
      <c r="C215" s="20"/>
      <c r="D215" s="3" t="str">
        <f t="shared" si="3"/>
        <v/>
      </c>
    </row>
    <row r="216" spans="1:4" ht="14.25" customHeight="1" x14ac:dyDescent="0.3">
      <c r="A216" s="7"/>
      <c r="B216" s="7"/>
      <c r="C216" s="7"/>
      <c r="D216" s="3" t="str">
        <f t="shared" si="3"/>
        <v/>
      </c>
    </row>
    <row r="217" spans="1:4" ht="14.25" customHeight="1" x14ac:dyDescent="0.3">
      <c r="A217" s="20"/>
      <c r="B217" s="20"/>
      <c r="C217" s="20"/>
      <c r="D217" s="3" t="str">
        <f t="shared" si="3"/>
        <v/>
      </c>
    </row>
    <row r="218" spans="1:4" ht="14.25" customHeight="1" x14ac:dyDescent="0.3">
      <c r="A218" s="7"/>
      <c r="B218" s="7"/>
      <c r="C218" s="7"/>
      <c r="D218" s="3" t="str">
        <f t="shared" si="3"/>
        <v/>
      </c>
    </row>
    <row r="219" spans="1:4" ht="14.25" customHeight="1" x14ac:dyDescent="0.3">
      <c r="A219" s="20"/>
      <c r="B219" s="20"/>
      <c r="C219" s="20"/>
      <c r="D219" s="3" t="str">
        <f t="shared" si="3"/>
        <v/>
      </c>
    </row>
    <row r="220" spans="1:4" ht="14.25" customHeight="1" x14ac:dyDescent="0.3">
      <c r="A220" s="7"/>
      <c r="B220" s="7"/>
      <c r="C220" s="7"/>
      <c r="D220" s="3" t="str">
        <f t="shared" si="3"/>
        <v/>
      </c>
    </row>
    <row r="221" spans="1:4" ht="14.25" customHeight="1" x14ac:dyDescent="0.3">
      <c r="A221" s="20"/>
      <c r="B221" s="20"/>
      <c r="C221" s="20"/>
      <c r="D221" s="3" t="str">
        <f t="shared" si="3"/>
        <v/>
      </c>
    </row>
    <row r="222" spans="1:4" ht="14.25" customHeight="1" x14ac:dyDescent="0.3">
      <c r="A222" s="7"/>
      <c r="B222" s="7"/>
      <c r="C222" s="7"/>
      <c r="D222" s="3" t="str">
        <f t="shared" si="3"/>
        <v/>
      </c>
    </row>
    <row r="223" spans="1:4" ht="14.25" customHeight="1" x14ac:dyDescent="0.3">
      <c r="A223" s="20"/>
      <c r="B223" s="20"/>
      <c r="C223" s="20"/>
      <c r="D223" s="3" t="str">
        <f t="shared" si="3"/>
        <v/>
      </c>
    </row>
    <row r="224" spans="1:4" ht="14.25" customHeight="1" x14ac:dyDescent="0.3">
      <c r="A224" s="7"/>
      <c r="B224" s="7"/>
      <c r="C224" s="7"/>
      <c r="D224" s="3" t="str">
        <f t="shared" si="3"/>
        <v/>
      </c>
    </row>
    <row r="225" spans="1:4" ht="14.25" customHeight="1" x14ac:dyDescent="0.3">
      <c r="A225" s="20"/>
      <c r="B225" s="20"/>
      <c r="C225" s="20"/>
      <c r="D225" s="3" t="str">
        <f t="shared" si="3"/>
        <v/>
      </c>
    </row>
    <row r="226" spans="1:4" ht="14.25" customHeight="1" x14ac:dyDescent="0.3">
      <c r="A226" s="7"/>
      <c r="B226" s="7"/>
      <c r="C226" s="7"/>
      <c r="D226" s="3" t="str">
        <f t="shared" si="3"/>
        <v/>
      </c>
    </row>
    <row r="227" spans="1:4" ht="14.25" customHeight="1" x14ac:dyDescent="0.3">
      <c r="A227" s="20"/>
      <c r="B227" s="20"/>
      <c r="C227" s="20"/>
      <c r="D227" s="3" t="str">
        <f t="shared" si="3"/>
        <v/>
      </c>
    </row>
    <row r="228" spans="1:4" ht="14.25" customHeight="1" x14ac:dyDescent="0.3">
      <c r="A228" s="7"/>
      <c r="B228" s="7"/>
      <c r="C228" s="7"/>
      <c r="D228" s="3" t="str">
        <f t="shared" si="3"/>
        <v/>
      </c>
    </row>
    <row r="229" spans="1:4" ht="14.25" customHeight="1" x14ac:dyDescent="0.3">
      <c r="A229" s="20"/>
      <c r="B229" s="20"/>
      <c r="C229" s="20"/>
      <c r="D229" s="3" t="str">
        <f t="shared" si="3"/>
        <v/>
      </c>
    </row>
    <row r="230" spans="1:4" ht="14.25" customHeight="1" x14ac:dyDescent="0.3">
      <c r="A230" s="7"/>
      <c r="B230" s="7"/>
      <c r="C230" s="7"/>
      <c r="D230" s="3" t="str">
        <f t="shared" si="3"/>
        <v/>
      </c>
    </row>
    <row r="231" spans="1:4" ht="14.25" customHeight="1" x14ac:dyDescent="0.3">
      <c r="A231" s="20"/>
      <c r="B231" s="20"/>
      <c r="C231" s="20"/>
      <c r="D231" s="3" t="str">
        <f t="shared" si="3"/>
        <v/>
      </c>
    </row>
    <row r="232" spans="1:4" ht="14.25" customHeight="1" x14ac:dyDescent="0.3">
      <c r="A232" s="7"/>
      <c r="B232" s="7"/>
      <c r="C232" s="7"/>
      <c r="D232" s="3" t="str">
        <f t="shared" si="3"/>
        <v/>
      </c>
    </row>
    <row r="233" spans="1:4" ht="14.25" customHeight="1" x14ac:dyDescent="0.3">
      <c r="A233" s="20"/>
      <c r="B233" s="20"/>
      <c r="C233" s="20"/>
      <c r="D233" s="3" t="str">
        <f t="shared" si="3"/>
        <v/>
      </c>
    </row>
    <row r="234" spans="1:4" ht="14.25" customHeight="1" x14ac:dyDescent="0.3">
      <c r="A234" s="7"/>
      <c r="B234" s="7"/>
      <c r="C234" s="7"/>
      <c r="D234" s="3" t="str">
        <f t="shared" si="3"/>
        <v/>
      </c>
    </row>
    <row r="235" spans="1:4" ht="14.25" customHeight="1" x14ac:dyDescent="0.3">
      <c r="A235" s="20"/>
      <c r="B235" s="20"/>
      <c r="C235" s="20"/>
      <c r="D235" s="3" t="str">
        <f t="shared" si="3"/>
        <v/>
      </c>
    </row>
    <row r="236" spans="1:4" ht="14.25" customHeight="1" x14ac:dyDescent="0.3">
      <c r="A236" s="7"/>
      <c r="B236" s="7"/>
      <c r="C236" s="7"/>
      <c r="D236" s="3" t="str">
        <f t="shared" si="3"/>
        <v/>
      </c>
    </row>
    <row r="237" spans="1:4" ht="14.25" customHeight="1" x14ac:dyDescent="0.3">
      <c r="A237" s="20"/>
      <c r="B237" s="20"/>
      <c r="C237" s="20"/>
      <c r="D237" s="3" t="str">
        <f t="shared" si="3"/>
        <v/>
      </c>
    </row>
    <row r="238" spans="1:4" ht="14.25" customHeight="1" x14ac:dyDescent="0.3">
      <c r="A238" s="7"/>
      <c r="B238" s="7"/>
      <c r="C238" s="7"/>
      <c r="D238" s="3" t="str">
        <f t="shared" si="3"/>
        <v/>
      </c>
    </row>
    <row r="239" spans="1:4" ht="14.25" customHeight="1" x14ac:dyDescent="0.3">
      <c r="A239" s="20"/>
      <c r="B239" s="20"/>
      <c r="C239" s="20"/>
      <c r="D239" s="3" t="str">
        <f t="shared" si="3"/>
        <v/>
      </c>
    </row>
    <row r="240" spans="1:4" ht="14.25" customHeight="1" x14ac:dyDescent="0.3">
      <c r="A240" s="7"/>
      <c r="B240" s="7"/>
      <c r="C240" s="7"/>
      <c r="D240" s="3" t="str">
        <f t="shared" si="3"/>
        <v/>
      </c>
    </row>
    <row r="241" spans="1:4" ht="14.25" customHeight="1" x14ac:dyDescent="0.3">
      <c r="A241" s="20"/>
      <c r="B241" s="20"/>
      <c r="C241" s="20"/>
      <c r="D241" s="3" t="str">
        <f t="shared" si="3"/>
        <v/>
      </c>
    </row>
    <row r="242" spans="1:4" ht="14.25" customHeight="1" x14ac:dyDescent="0.3">
      <c r="A242" s="7"/>
      <c r="B242" s="7"/>
      <c r="C242" s="7"/>
      <c r="D242" s="3" t="str">
        <f t="shared" si="3"/>
        <v/>
      </c>
    </row>
    <row r="243" spans="1:4" ht="14.25" customHeight="1" x14ac:dyDescent="0.3">
      <c r="A243" s="20"/>
      <c r="B243" s="20"/>
      <c r="C243" s="20"/>
      <c r="D243" s="3" t="str">
        <f t="shared" si="3"/>
        <v/>
      </c>
    </row>
    <row r="244" spans="1:4" ht="14.25" customHeight="1" x14ac:dyDescent="0.3">
      <c r="A244" s="7"/>
      <c r="B244" s="7"/>
      <c r="C244" s="7"/>
      <c r="D244" s="3" t="str">
        <f t="shared" si="3"/>
        <v/>
      </c>
    </row>
    <row r="245" spans="1:4" ht="14.25" customHeight="1" x14ac:dyDescent="0.3">
      <c r="A245" s="20"/>
      <c r="B245" s="20"/>
      <c r="C245" s="20"/>
      <c r="D245" s="3" t="str">
        <f t="shared" si="3"/>
        <v/>
      </c>
    </row>
    <row r="246" spans="1:4" ht="14.25" customHeight="1" x14ac:dyDescent="0.3">
      <c r="A246" s="7"/>
      <c r="B246" s="7"/>
      <c r="C246" s="7"/>
      <c r="D246" s="3" t="str">
        <f t="shared" si="3"/>
        <v/>
      </c>
    </row>
    <row r="247" spans="1:4" ht="14.25" customHeight="1" x14ac:dyDescent="0.3">
      <c r="A247" s="20"/>
      <c r="B247" s="20"/>
      <c r="C247" s="20"/>
      <c r="D247" s="3" t="str">
        <f t="shared" si="3"/>
        <v/>
      </c>
    </row>
    <row r="248" spans="1:4" ht="14.25" customHeight="1" x14ac:dyDescent="0.3">
      <c r="A248" s="7"/>
      <c r="B248" s="7"/>
      <c r="C248" s="7"/>
      <c r="D248" s="3" t="str">
        <f t="shared" si="3"/>
        <v/>
      </c>
    </row>
    <row r="249" spans="1:4" ht="14.25" customHeight="1" x14ac:dyDescent="0.3">
      <c r="A249" s="20"/>
      <c r="B249" s="20"/>
      <c r="C249" s="20"/>
      <c r="D249" s="3" t="str">
        <f t="shared" si="3"/>
        <v/>
      </c>
    </row>
    <row r="250" spans="1:4" ht="14.25" customHeight="1" x14ac:dyDescent="0.3">
      <c r="A250" s="7"/>
      <c r="B250" s="7"/>
      <c r="C250" s="7"/>
      <c r="D250" s="3" t="str">
        <f t="shared" si="3"/>
        <v/>
      </c>
    </row>
    <row r="251" spans="1:4" ht="14.25" customHeight="1" x14ac:dyDescent="0.3">
      <c r="A251" s="20"/>
      <c r="B251" s="20"/>
      <c r="C251" s="20"/>
      <c r="D251" s="3" t="str">
        <f t="shared" si="3"/>
        <v/>
      </c>
    </row>
    <row r="252" spans="1:4" ht="14.25" customHeight="1" x14ac:dyDescent="0.3">
      <c r="A252" s="7"/>
      <c r="B252" s="7"/>
      <c r="C252" s="7"/>
      <c r="D252" s="3" t="str">
        <f t="shared" si="3"/>
        <v/>
      </c>
    </row>
    <row r="253" spans="1:4" ht="14.25" customHeight="1" x14ac:dyDescent="0.3">
      <c r="A253" s="20"/>
      <c r="B253" s="20"/>
      <c r="C253" s="20"/>
      <c r="D253" s="3" t="str">
        <f t="shared" si="3"/>
        <v/>
      </c>
    </row>
    <row r="254" spans="1:4" ht="14.25" customHeight="1" x14ac:dyDescent="0.3">
      <c r="A254" s="7"/>
      <c r="B254" s="7"/>
      <c r="C254" s="7"/>
      <c r="D254" s="3" t="str">
        <f t="shared" si="3"/>
        <v/>
      </c>
    </row>
    <row r="255" spans="1:4" ht="14.25" customHeight="1" x14ac:dyDescent="0.3">
      <c r="A255" s="20"/>
      <c r="B255" s="20"/>
      <c r="C255" s="20"/>
      <c r="D255" s="3" t="str">
        <f t="shared" si="3"/>
        <v/>
      </c>
    </row>
    <row r="256" spans="1:4" ht="14.25" customHeight="1" x14ac:dyDescent="0.3">
      <c r="A256" s="7"/>
      <c r="B256" s="7"/>
      <c r="C256" s="7"/>
      <c r="D256" s="3" t="str">
        <f t="shared" si="3"/>
        <v/>
      </c>
    </row>
    <row r="257" spans="1:4" ht="14.25" customHeight="1" x14ac:dyDescent="0.3">
      <c r="A257" s="20"/>
      <c r="B257" s="20"/>
      <c r="C257" s="20"/>
      <c r="D257" s="3" t="str">
        <f t="shared" si="3"/>
        <v/>
      </c>
    </row>
    <row r="258" spans="1:4" ht="14.25" customHeight="1" x14ac:dyDescent="0.3">
      <c r="A258" s="7"/>
      <c r="B258" s="7"/>
      <c r="C258" s="7"/>
      <c r="D258" s="3" t="str">
        <f t="shared" ref="D258:D321" si="4">IF(COUNTA(A258:C258)=0,"",IF(OR(C258&lt;0,C258&gt;100),"INVALID PERCENT",IF(COUNTIFS($A$2:$A$500,A258,$B$2:$B$500,B258)&gt;1,"DUPLICATE DAY/CLASS","OK")))</f>
        <v/>
      </c>
    </row>
    <row r="259" spans="1:4" ht="14.25" customHeight="1" x14ac:dyDescent="0.3">
      <c r="A259" s="20"/>
      <c r="B259" s="20"/>
      <c r="C259" s="20"/>
      <c r="D259" s="3" t="str">
        <f t="shared" si="4"/>
        <v/>
      </c>
    </row>
    <row r="260" spans="1:4" ht="14.25" customHeight="1" x14ac:dyDescent="0.3">
      <c r="A260" s="7"/>
      <c r="B260" s="7"/>
      <c r="C260" s="7"/>
      <c r="D260" s="3" t="str">
        <f t="shared" si="4"/>
        <v/>
      </c>
    </row>
    <row r="261" spans="1:4" ht="14.25" customHeight="1" x14ac:dyDescent="0.3">
      <c r="A261" s="20"/>
      <c r="B261" s="20"/>
      <c r="C261" s="20"/>
      <c r="D261" s="3" t="str">
        <f t="shared" si="4"/>
        <v/>
      </c>
    </row>
    <row r="262" spans="1:4" ht="14.25" customHeight="1" x14ac:dyDescent="0.3">
      <c r="A262" s="7"/>
      <c r="B262" s="7"/>
      <c r="C262" s="7"/>
      <c r="D262" s="3" t="str">
        <f t="shared" si="4"/>
        <v/>
      </c>
    </row>
    <row r="263" spans="1:4" ht="14.25" customHeight="1" x14ac:dyDescent="0.3">
      <c r="A263" s="20"/>
      <c r="B263" s="20"/>
      <c r="C263" s="20"/>
      <c r="D263" s="3" t="str">
        <f t="shared" si="4"/>
        <v/>
      </c>
    </row>
    <row r="264" spans="1:4" ht="14.25" customHeight="1" x14ac:dyDescent="0.3">
      <c r="A264" s="7"/>
      <c r="B264" s="7"/>
      <c r="C264" s="7"/>
      <c r="D264" s="3" t="str">
        <f t="shared" si="4"/>
        <v/>
      </c>
    </row>
    <row r="265" spans="1:4" ht="14.25" customHeight="1" x14ac:dyDescent="0.3">
      <c r="A265" s="20"/>
      <c r="B265" s="20"/>
      <c r="C265" s="20"/>
      <c r="D265" s="3" t="str">
        <f t="shared" si="4"/>
        <v/>
      </c>
    </row>
    <row r="266" spans="1:4" ht="14.25" customHeight="1" x14ac:dyDescent="0.3">
      <c r="A266" s="7"/>
      <c r="B266" s="7"/>
      <c r="C266" s="7"/>
      <c r="D266" s="3" t="str">
        <f t="shared" si="4"/>
        <v/>
      </c>
    </row>
    <row r="267" spans="1:4" ht="14.25" customHeight="1" x14ac:dyDescent="0.3">
      <c r="A267" s="20"/>
      <c r="B267" s="20"/>
      <c r="C267" s="20"/>
      <c r="D267" s="3" t="str">
        <f t="shared" si="4"/>
        <v/>
      </c>
    </row>
    <row r="268" spans="1:4" ht="14.25" customHeight="1" x14ac:dyDescent="0.3">
      <c r="A268" s="7"/>
      <c r="B268" s="7"/>
      <c r="C268" s="7"/>
      <c r="D268" s="3" t="str">
        <f t="shared" si="4"/>
        <v/>
      </c>
    </row>
    <row r="269" spans="1:4" ht="14.25" customHeight="1" x14ac:dyDescent="0.3">
      <c r="A269" s="20"/>
      <c r="B269" s="20"/>
      <c r="C269" s="20"/>
      <c r="D269" s="3" t="str">
        <f t="shared" si="4"/>
        <v/>
      </c>
    </row>
    <row r="270" spans="1:4" ht="14.25" customHeight="1" x14ac:dyDescent="0.3">
      <c r="A270" s="7"/>
      <c r="B270" s="7"/>
      <c r="C270" s="7"/>
      <c r="D270" s="3" t="str">
        <f t="shared" si="4"/>
        <v/>
      </c>
    </row>
    <row r="271" spans="1:4" ht="14.25" customHeight="1" x14ac:dyDescent="0.3">
      <c r="A271" s="20"/>
      <c r="B271" s="20"/>
      <c r="C271" s="20"/>
      <c r="D271" s="3" t="str">
        <f t="shared" si="4"/>
        <v/>
      </c>
    </row>
    <row r="272" spans="1:4" ht="14.25" customHeight="1" x14ac:dyDescent="0.3">
      <c r="A272" s="7"/>
      <c r="B272" s="7"/>
      <c r="C272" s="7"/>
      <c r="D272" s="3" t="str">
        <f t="shared" si="4"/>
        <v/>
      </c>
    </row>
    <row r="273" spans="1:4" ht="14.25" customHeight="1" x14ac:dyDescent="0.3">
      <c r="A273" s="20"/>
      <c r="B273" s="20"/>
      <c r="C273" s="20"/>
      <c r="D273" s="3" t="str">
        <f t="shared" si="4"/>
        <v/>
      </c>
    </row>
    <row r="274" spans="1:4" ht="14.25" customHeight="1" x14ac:dyDescent="0.3">
      <c r="A274" s="7"/>
      <c r="B274" s="7"/>
      <c r="C274" s="7"/>
      <c r="D274" s="3" t="str">
        <f t="shared" si="4"/>
        <v/>
      </c>
    </row>
    <row r="275" spans="1:4" ht="14.25" customHeight="1" x14ac:dyDescent="0.3">
      <c r="A275" s="20"/>
      <c r="B275" s="20"/>
      <c r="C275" s="20"/>
      <c r="D275" s="3" t="str">
        <f t="shared" si="4"/>
        <v/>
      </c>
    </row>
    <row r="276" spans="1:4" ht="14.25" customHeight="1" x14ac:dyDescent="0.3">
      <c r="A276" s="7"/>
      <c r="B276" s="7"/>
      <c r="C276" s="7"/>
      <c r="D276" s="3" t="str">
        <f t="shared" si="4"/>
        <v/>
      </c>
    </row>
    <row r="277" spans="1:4" ht="14.25" customHeight="1" x14ac:dyDescent="0.3">
      <c r="A277" s="20"/>
      <c r="B277" s="20"/>
      <c r="C277" s="20"/>
      <c r="D277" s="3" t="str">
        <f t="shared" si="4"/>
        <v/>
      </c>
    </row>
    <row r="278" spans="1:4" ht="14.25" customHeight="1" x14ac:dyDescent="0.3">
      <c r="A278" s="7"/>
      <c r="B278" s="7"/>
      <c r="C278" s="7"/>
      <c r="D278" s="3" t="str">
        <f t="shared" si="4"/>
        <v/>
      </c>
    </row>
    <row r="279" spans="1:4" ht="14.25" customHeight="1" x14ac:dyDescent="0.3">
      <c r="A279" s="20"/>
      <c r="B279" s="20"/>
      <c r="C279" s="20"/>
      <c r="D279" s="3" t="str">
        <f t="shared" si="4"/>
        <v/>
      </c>
    </row>
    <row r="280" spans="1:4" ht="14.25" customHeight="1" x14ac:dyDescent="0.3">
      <c r="A280" s="7"/>
      <c r="B280" s="7"/>
      <c r="C280" s="7"/>
      <c r="D280" s="3" t="str">
        <f t="shared" si="4"/>
        <v/>
      </c>
    </row>
    <row r="281" spans="1:4" ht="14.25" customHeight="1" x14ac:dyDescent="0.3">
      <c r="A281" s="20"/>
      <c r="B281" s="20"/>
      <c r="C281" s="20"/>
      <c r="D281" s="3" t="str">
        <f t="shared" si="4"/>
        <v/>
      </c>
    </row>
    <row r="282" spans="1:4" ht="14.25" customHeight="1" x14ac:dyDescent="0.3">
      <c r="A282" s="7"/>
      <c r="B282" s="7"/>
      <c r="C282" s="7"/>
      <c r="D282" s="3" t="str">
        <f t="shared" si="4"/>
        <v/>
      </c>
    </row>
    <row r="283" spans="1:4" ht="14.25" customHeight="1" x14ac:dyDescent="0.3">
      <c r="A283" s="20"/>
      <c r="B283" s="20"/>
      <c r="C283" s="20"/>
      <c r="D283" s="3" t="str">
        <f t="shared" si="4"/>
        <v/>
      </c>
    </row>
    <row r="284" spans="1:4" ht="14.25" customHeight="1" x14ac:dyDescent="0.3">
      <c r="A284" s="7"/>
      <c r="B284" s="7"/>
      <c r="C284" s="7"/>
      <c r="D284" s="3" t="str">
        <f t="shared" si="4"/>
        <v/>
      </c>
    </row>
    <row r="285" spans="1:4" ht="14.25" customHeight="1" x14ac:dyDescent="0.3">
      <c r="A285" s="20"/>
      <c r="B285" s="20"/>
      <c r="C285" s="20"/>
      <c r="D285" s="3" t="str">
        <f t="shared" si="4"/>
        <v/>
      </c>
    </row>
    <row r="286" spans="1:4" ht="14.25" customHeight="1" x14ac:dyDescent="0.3">
      <c r="A286" s="7"/>
      <c r="B286" s="7"/>
      <c r="C286" s="7"/>
      <c r="D286" s="3" t="str">
        <f t="shared" si="4"/>
        <v/>
      </c>
    </row>
    <row r="287" spans="1:4" ht="14.25" customHeight="1" x14ac:dyDescent="0.3">
      <c r="A287" s="20"/>
      <c r="B287" s="20"/>
      <c r="C287" s="20"/>
      <c r="D287" s="3" t="str">
        <f t="shared" si="4"/>
        <v/>
      </c>
    </row>
    <row r="288" spans="1:4" ht="14.25" customHeight="1" x14ac:dyDescent="0.3">
      <c r="A288" s="7"/>
      <c r="B288" s="7"/>
      <c r="C288" s="7"/>
      <c r="D288" s="3" t="str">
        <f t="shared" si="4"/>
        <v/>
      </c>
    </row>
    <row r="289" spans="1:4" ht="14.25" customHeight="1" x14ac:dyDescent="0.3">
      <c r="A289" s="20"/>
      <c r="B289" s="20"/>
      <c r="C289" s="20"/>
      <c r="D289" s="3" t="str">
        <f t="shared" si="4"/>
        <v/>
      </c>
    </row>
    <row r="290" spans="1:4" ht="14.25" customHeight="1" x14ac:dyDescent="0.3">
      <c r="A290" s="7"/>
      <c r="B290" s="7"/>
      <c r="C290" s="7"/>
      <c r="D290" s="3" t="str">
        <f t="shared" si="4"/>
        <v/>
      </c>
    </row>
    <row r="291" spans="1:4" ht="14.25" customHeight="1" x14ac:dyDescent="0.3">
      <c r="A291" s="20"/>
      <c r="B291" s="20"/>
      <c r="C291" s="20"/>
      <c r="D291" s="3" t="str">
        <f t="shared" si="4"/>
        <v/>
      </c>
    </row>
    <row r="292" spans="1:4" ht="14.25" customHeight="1" x14ac:dyDescent="0.3">
      <c r="A292" s="7"/>
      <c r="B292" s="7"/>
      <c r="C292" s="7"/>
      <c r="D292" s="3" t="str">
        <f t="shared" si="4"/>
        <v/>
      </c>
    </row>
    <row r="293" spans="1:4" ht="14.25" customHeight="1" x14ac:dyDescent="0.3">
      <c r="A293" s="20"/>
      <c r="B293" s="20"/>
      <c r="C293" s="20"/>
      <c r="D293" s="3" t="str">
        <f t="shared" si="4"/>
        <v/>
      </c>
    </row>
    <row r="294" spans="1:4" ht="14.25" customHeight="1" x14ac:dyDescent="0.3">
      <c r="A294" s="7"/>
      <c r="B294" s="7"/>
      <c r="C294" s="7"/>
      <c r="D294" s="3" t="str">
        <f t="shared" si="4"/>
        <v/>
      </c>
    </row>
    <row r="295" spans="1:4" ht="14.25" customHeight="1" x14ac:dyDescent="0.3">
      <c r="A295" s="20"/>
      <c r="B295" s="20"/>
      <c r="C295" s="20"/>
      <c r="D295" s="3" t="str">
        <f t="shared" si="4"/>
        <v/>
      </c>
    </row>
    <row r="296" spans="1:4" ht="14.25" customHeight="1" x14ac:dyDescent="0.3">
      <c r="A296" s="7"/>
      <c r="B296" s="7"/>
      <c r="C296" s="7"/>
      <c r="D296" s="3" t="str">
        <f t="shared" si="4"/>
        <v/>
      </c>
    </row>
    <row r="297" spans="1:4" ht="14.25" customHeight="1" x14ac:dyDescent="0.3">
      <c r="A297" s="20"/>
      <c r="B297" s="20"/>
      <c r="C297" s="20"/>
      <c r="D297" s="3" t="str">
        <f t="shared" si="4"/>
        <v/>
      </c>
    </row>
    <row r="298" spans="1:4" ht="14.25" customHeight="1" x14ac:dyDescent="0.3">
      <c r="A298" s="7"/>
      <c r="B298" s="7"/>
      <c r="C298" s="7"/>
      <c r="D298" s="3" t="str">
        <f t="shared" si="4"/>
        <v/>
      </c>
    </row>
    <row r="299" spans="1:4" ht="14.25" customHeight="1" x14ac:dyDescent="0.3">
      <c r="A299" s="20"/>
      <c r="B299" s="20"/>
      <c r="C299" s="20"/>
      <c r="D299" s="3" t="str">
        <f t="shared" si="4"/>
        <v/>
      </c>
    </row>
    <row r="300" spans="1:4" ht="14.25" customHeight="1" x14ac:dyDescent="0.3">
      <c r="A300" s="7"/>
      <c r="B300" s="7"/>
      <c r="C300" s="7"/>
      <c r="D300" s="3" t="str">
        <f t="shared" si="4"/>
        <v/>
      </c>
    </row>
    <row r="301" spans="1:4" ht="14.25" customHeight="1" x14ac:dyDescent="0.3">
      <c r="A301" s="20"/>
      <c r="B301" s="20"/>
      <c r="C301" s="20"/>
      <c r="D301" s="3" t="str">
        <f t="shared" si="4"/>
        <v/>
      </c>
    </row>
    <row r="302" spans="1:4" ht="14.25" customHeight="1" x14ac:dyDescent="0.3">
      <c r="A302" s="7"/>
      <c r="B302" s="7"/>
      <c r="C302" s="7"/>
      <c r="D302" s="3" t="str">
        <f t="shared" si="4"/>
        <v/>
      </c>
    </row>
    <row r="303" spans="1:4" ht="14.25" customHeight="1" x14ac:dyDescent="0.3">
      <c r="A303" s="20"/>
      <c r="B303" s="20"/>
      <c r="C303" s="20"/>
      <c r="D303" s="3" t="str">
        <f t="shared" si="4"/>
        <v/>
      </c>
    </row>
    <row r="304" spans="1:4" ht="14.25" customHeight="1" x14ac:dyDescent="0.3">
      <c r="A304" s="7"/>
      <c r="B304" s="7"/>
      <c r="C304" s="7"/>
      <c r="D304" s="3" t="str">
        <f t="shared" si="4"/>
        <v/>
      </c>
    </row>
    <row r="305" spans="1:4" ht="14.25" customHeight="1" x14ac:dyDescent="0.3">
      <c r="A305" s="20"/>
      <c r="B305" s="20"/>
      <c r="C305" s="20"/>
      <c r="D305" s="3" t="str">
        <f t="shared" si="4"/>
        <v/>
      </c>
    </row>
    <row r="306" spans="1:4" ht="14.25" customHeight="1" x14ac:dyDescent="0.3">
      <c r="A306" s="7"/>
      <c r="B306" s="7"/>
      <c r="C306" s="7"/>
      <c r="D306" s="3" t="str">
        <f t="shared" si="4"/>
        <v/>
      </c>
    </row>
    <row r="307" spans="1:4" ht="14.25" customHeight="1" x14ac:dyDescent="0.3">
      <c r="A307" s="20"/>
      <c r="B307" s="20"/>
      <c r="C307" s="20"/>
      <c r="D307" s="3" t="str">
        <f t="shared" si="4"/>
        <v/>
      </c>
    </row>
    <row r="308" spans="1:4" ht="14.25" customHeight="1" x14ac:dyDescent="0.3">
      <c r="A308" s="7"/>
      <c r="B308" s="7"/>
      <c r="C308" s="7"/>
      <c r="D308" s="3" t="str">
        <f t="shared" si="4"/>
        <v/>
      </c>
    </row>
    <row r="309" spans="1:4" ht="14.25" customHeight="1" x14ac:dyDescent="0.3">
      <c r="A309" s="20"/>
      <c r="B309" s="20"/>
      <c r="C309" s="20"/>
      <c r="D309" s="3" t="str">
        <f t="shared" si="4"/>
        <v/>
      </c>
    </row>
    <row r="310" spans="1:4" ht="14.25" customHeight="1" x14ac:dyDescent="0.3">
      <c r="A310" s="7"/>
      <c r="B310" s="7"/>
      <c r="C310" s="7"/>
      <c r="D310" s="3" t="str">
        <f t="shared" si="4"/>
        <v/>
      </c>
    </row>
    <row r="311" spans="1:4" ht="14.25" customHeight="1" x14ac:dyDescent="0.3">
      <c r="A311" s="20"/>
      <c r="B311" s="20"/>
      <c r="C311" s="20"/>
      <c r="D311" s="3" t="str">
        <f t="shared" si="4"/>
        <v/>
      </c>
    </row>
    <row r="312" spans="1:4" ht="14.25" customHeight="1" x14ac:dyDescent="0.3">
      <c r="A312" s="7"/>
      <c r="B312" s="7"/>
      <c r="C312" s="7"/>
      <c r="D312" s="3" t="str">
        <f t="shared" si="4"/>
        <v/>
      </c>
    </row>
    <row r="313" spans="1:4" ht="14.25" customHeight="1" x14ac:dyDescent="0.3">
      <c r="A313" s="20"/>
      <c r="B313" s="20"/>
      <c r="C313" s="20"/>
      <c r="D313" s="3" t="str">
        <f t="shared" si="4"/>
        <v/>
      </c>
    </row>
    <row r="314" spans="1:4" ht="14.25" customHeight="1" x14ac:dyDescent="0.3">
      <c r="A314" s="7"/>
      <c r="B314" s="7"/>
      <c r="C314" s="7"/>
      <c r="D314" s="3" t="str">
        <f t="shared" si="4"/>
        <v/>
      </c>
    </row>
    <row r="315" spans="1:4" ht="14.25" customHeight="1" x14ac:dyDescent="0.3">
      <c r="A315" s="20"/>
      <c r="B315" s="20"/>
      <c r="C315" s="20"/>
      <c r="D315" s="3" t="str">
        <f t="shared" si="4"/>
        <v/>
      </c>
    </row>
    <row r="316" spans="1:4" ht="14.25" customHeight="1" x14ac:dyDescent="0.3">
      <c r="A316" s="7"/>
      <c r="B316" s="7"/>
      <c r="C316" s="7"/>
      <c r="D316" s="3" t="str">
        <f t="shared" si="4"/>
        <v/>
      </c>
    </row>
    <row r="317" spans="1:4" ht="14.25" customHeight="1" x14ac:dyDescent="0.3">
      <c r="A317" s="20"/>
      <c r="B317" s="20"/>
      <c r="C317" s="20"/>
      <c r="D317" s="3" t="str">
        <f t="shared" si="4"/>
        <v/>
      </c>
    </row>
    <row r="318" spans="1:4" ht="14.25" customHeight="1" x14ac:dyDescent="0.3">
      <c r="A318" s="7"/>
      <c r="B318" s="7"/>
      <c r="C318" s="7"/>
      <c r="D318" s="3" t="str">
        <f t="shared" si="4"/>
        <v/>
      </c>
    </row>
    <row r="319" spans="1:4" ht="14.25" customHeight="1" x14ac:dyDescent="0.3">
      <c r="A319" s="20"/>
      <c r="B319" s="20"/>
      <c r="C319" s="20"/>
      <c r="D319" s="3" t="str">
        <f t="shared" si="4"/>
        <v/>
      </c>
    </row>
    <row r="320" spans="1:4" ht="14.25" customHeight="1" x14ac:dyDescent="0.3">
      <c r="A320" s="7"/>
      <c r="B320" s="7"/>
      <c r="C320" s="7"/>
      <c r="D320" s="3" t="str">
        <f t="shared" si="4"/>
        <v/>
      </c>
    </row>
    <row r="321" spans="1:4" ht="14.25" customHeight="1" x14ac:dyDescent="0.3">
      <c r="A321" s="20"/>
      <c r="B321" s="20"/>
      <c r="C321" s="20"/>
      <c r="D321" s="3" t="str">
        <f t="shared" si="4"/>
        <v/>
      </c>
    </row>
    <row r="322" spans="1:4" ht="14.25" customHeight="1" x14ac:dyDescent="0.3">
      <c r="A322" s="7"/>
      <c r="B322" s="7"/>
      <c r="C322" s="7"/>
      <c r="D322" s="3" t="str">
        <f t="shared" ref="D322:D385" si="5">IF(COUNTA(A322:C322)=0,"",IF(OR(C322&lt;0,C322&gt;100),"INVALID PERCENT",IF(COUNTIFS($A$2:$A$500,A322,$B$2:$B$500,B322)&gt;1,"DUPLICATE DAY/CLASS","OK")))</f>
        <v/>
      </c>
    </row>
    <row r="323" spans="1:4" ht="14.25" customHeight="1" x14ac:dyDescent="0.3">
      <c r="A323" s="20"/>
      <c r="B323" s="20"/>
      <c r="C323" s="20"/>
      <c r="D323" s="3" t="str">
        <f t="shared" si="5"/>
        <v/>
      </c>
    </row>
    <row r="324" spans="1:4" ht="14.25" customHeight="1" x14ac:dyDescent="0.3">
      <c r="A324" s="7"/>
      <c r="B324" s="7"/>
      <c r="C324" s="7"/>
      <c r="D324" s="3" t="str">
        <f t="shared" si="5"/>
        <v/>
      </c>
    </row>
    <row r="325" spans="1:4" ht="14.25" customHeight="1" x14ac:dyDescent="0.3">
      <c r="A325" s="20"/>
      <c r="B325" s="20"/>
      <c r="C325" s="20"/>
      <c r="D325" s="3" t="str">
        <f t="shared" si="5"/>
        <v/>
      </c>
    </row>
    <row r="326" spans="1:4" ht="14.25" customHeight="1" x14ac:dyDescent="0.3">
      <c r="A326" s="7"/>
      <c r="B326" s="7"/>
      <c r="C326" s="7"/>
      <c r="D326" s="3" t="str">
        <f t="shared" si="5"/>
        <v/>
      </c>
    </row>
    <row r="327" spans="1:4" ht="14.25" customHeight="1" x14ac:dyDescent="0.3">
      <c r="A327" s="20"/>
      <c r="B327" s="20"/>
      <c r="C327" s="20"/>
      <c r="D327" s="3" t="str">
        <f t="shared" si="5"/>
        <v/>
      </c>
    </row>
    <row r="328" spans="1:4" ht="14.25" customHeight="1" x14ac:dyDescent="0.3">
      <c r="A328" s="7"/>
      <c r="B328" s="7"/>
      <c r="C328" s="7"/>
      <c r="D328" s="3" t="str">
        <f t="shared" si="5"/>
        <v/>
      </c>
    </row>
    <row r="329" spans="1:4" ht="14.25" customHeight="1" x14ac:dyDescent="0.3">
      <c r="A329" s="20"/>
      <c r="B329" s="20"/>
      <c r="C329" s="20"/>
      <c r="D329" s="3" t="str">
        <f t="shared" si="5"/>
        <v/>
      </c>
    </row>
    <row r="330" spans="1:4" ht="14.25" customHeight="1" x14ac:dyDescent="0.3">
      <c r="A330" s="7"/>
      <c r="B330" s="7"/>
      <c r="C330" s="7"/>
      <c r="D330" s="3" t="str">
        <f t="shared" si="5"/>
        <v/>
      </c>
    </row>
    <row r="331" spans="1:4" ht="14.25" customHeight="1" x14ac:dyDescent="0.3">
      <c r="A331" s="20"/>
      <c r="B331" s="20"/>
      <c r="C331" s="20"/>
      <c r="D331" s="3" t="str">
        <f t="shared" si="5"/>
        <v/>
      </c>
    </row>
    <row r="332" spans="1:4" ht="14.25" customHeight="1" x14ac:dyDescent="0.3">
      <c r="A332" s="7"/>
      <c r="B332" s="7"/>
      <c r="C332" s="7"/>
      <c r="D332" s="3" t="str">
        <f t="shared" si="5"/>
        <v/>
      </c>
    </row>
    <row r="333" spans="1:4" ht="14.25" customHeight="1" x14ac:dyDescent="0.3">
      <c r="A333" s="20"/>
      <c r="B333" s="20"/>
      <c r="C333" s="20"/>
      <c r="D333" s="3" t="str">
        <f t="shared" si="5"/>
        <v/>
      </c>
    </row>
    <row r="334" spans="1:4" ht="14.25" customHeight="1" x14ac:dyDescent="0.3">
      <c r="A334" s="7"/>
      <c r="B334" s="7"/>
      <c r="C334" s="7"/>
      <c r="D334" s="3" t="str">
        <f t="shared" si="5"/>
        <v/>
      </c>
    </row>
    <row r="335" spans="1:4" ht="14.25" customHeight="1" x14ac:dyDescent="0.3">
      <c r="A335" s="20"/>
      <c r="B335" s="20"/>
      <c r="C335" s="20"/>
      <c r="D335" s="3" t="str">
        <f t="shared" si="5"/>
        <v/>
      </c>
    </row>
    <row r="336" spans="1:4" ht="14.25" customHeight="1" x14ac:dyDescent="0.3">
      <c r="A336" s="7"/>
      <c r="B336" s="7"/>
      <c r="C336" s="7"/>
      <c r="D336" s="3" t="str">
        <f t="shared" si="5"/>
        <v/>
      </c>
    </row>
    <row r="337" spans="1:4" ht="14.25" customHeight="1" x14ac:dyDescent="0.3">
      <c r="A337" s="20"/>
      <c r="B337" s="20"/>
      <c r="C337" s="20"/>
      <c r="D337" s="3" t="str">
        <f t="shared" si="5"/>
        <v/>
      </c>
    </row>
    <row r="338" spans="1:4" ht="14.25" customHeight="1" x14ac:dyDescent="0.3">
      <c r="A338" s="7"/>
      <c r="B338" s="7"/>
      <c r="C338" s="7"/>
      <c r="D338" s="3" t="str">
        <f t="shared" si="5"/>
        <v/>
      </c>
    </row>
    <row r="339" spans="1:4" ht="14.25" customHeight="1" x14ac:dyDescent="0.3">
      <c r="A339" s="20"/>
      <c r="B339" s="20"/>
      <c r="C339" s="20"/>
      <c r="D339" s="3" t="str">
        <f t="shared" si="5"/>
        <v/>
      </c>
    </row>
    <row r="340" spans="1:4" ht="14.25" customHeight="1" x14ac:dyDescent="0.3">
      <c r="A340" s="7"/>
      <c r="B340" s="7"/>
      <c r="C340" s="7"/>
      <c r="D340" s="3" t="str">
        <f t="shared" si="5"/>
        <v/>
      </c>
    </row>
    <row r="341" spans="1:4" ht="14.25" customHeight="1" x14ac:dyDescent="0.3">
      <c r="A341" s="20"/>
      <c r="B341" s="20"/>
      <c r="C341" s="20"/>
      <c r="D341" s="3" t="str">
        <f t="shared" si="5"/>
        <v/>
      </c>
    </row>
    <row r="342" spans="1:4" ht="14.25" customHeight="1" x14ac:dyDescent="0.3">
      <c r="A342" s="7"/>
      <c r="B342" s="7"/>
      <c r="C342" s="7"/>
      <c r="D342" s="3" t="str">
        <f t="shared" si="5"/>
        <v/>
      </c>
    </row>
    <row r="343" spans="1:4" ht="14.25" customHeight="1" x14ac:dyDescent="0.3">
      <c r="A343" s="20"/>
      <c r="B343" s="20"/>
      <c r="C343" s="20"/>
      <c r="D343" s="3" t="str">
        <f t="shared" si="5"/>
        <v/>
      </c>
    </row>
    <row r="344" spans="1:4" ht="14.25" customHeight="1" x14ac:dyDescent="0.3">
      <c r="A344" s="7"/>
      <c r="B344" s="7"/>
      <c r="C344" s="7"/>
      <c r="D344" s="3" t="str">
        <f t="shared" si="5"/>
        <v/>
      </c>
    </row>
    <row r="345" spans="1:4" ht="14.25" customHeight="1" x14ac:dyDescent="0.3">
      <c r="A345" s="20"/>
      <c r="B345" s="20"/>
      <c r="C345" s="20"/>
      <c r="D345" s="3" t="str">
        <f t="shared" si="5"/>
        <v/>
      </c>
    </row>
    <row r="346" spans="1:4" ht="14.25" customHeight="1" x14ac:dyDescent="0.3">
      <c r="A346" s="7"/>
      <c r="B346" s="7"/>
      <c r="C346" s="7"/>
      <c r="D346" s="3" t="str">
        <f t="shared" si="5"/>
        <v/>
      </c>
    </row>
    <row r="347" spans="1:4" ht="14.25" customHeight="1" x14ac:dyDescent="0.3">
      <c r="A347" s="20"/>
      <c r="B347" s="20"/>
      <c r="C347" s="20"/>
      <c r="D347" s="3" t="str">
        <f t="shared" si="5"/>
        <v/>
      </c>
    </row>
    <row r="348" spans="1:4" ht="14.25" customHeight="1" x14ac:dyDescent="0.3">
      <c r="A348" s="7"/>
      <c r="B348" s="7"/>
      <c r="C348" s="7"/>
      <c r="D348" s="3" t="str">
        <f t="shared" si="5"/>
        <v/>
      </c>
    </row>
    <row r="349" spans="1:4" ht="14.25" customHeight="1" x14ac:dyDescent="0.3">
      <c r="A349" s="20"/>
      <c r="B349" s="20"/>
      <c r="C349" s="20"/>
      <c r="D349" s="3" t="str">
        <f t="shared" si="5"/>
        <v/>
      </c>
    </row>
    <row r="350" spans="1:4" ht="14.25" customHeight="1" x14ac:dyDescent="0.3">
      <c r="A350" s="7"/>
      <c r="B350" s="7"/>
      <c r="C350" s="7"/>
      <c r="D350" s="3" t="str">
        <f t="shared" si="5"/>
        <v/>
      </c>
    </row>
    <row r="351" spans="1:4" ht="14.25" customHeight="1" x14ac:dyDescent="0.3">
      <c r="A351" s="20"/>
      <c r="B351" s="20"/>
      <c r="C351" s="20"/>
      <c r="D351" s="3" t="str">
        <f t="shared" si="5"/>
        <v/>
      </c>
    </row>
    <row r="352" spans="1:4" ht="14.25" customHeight="1" x14ac:dyDescent="0.3">
      <c r="A352" s="7"/>
      <c r="B352" s="7"/>
      <c r="C352" s="7"/>
      <c r="D352" s="3" t="str">
        <f t="shared" si="5"/>
        <v/>
      </c>
    </row>
    <row r="353" spans="1:4" ht="14.25" customHeight="1" x14ac:dyDescent="0.3">
      <c r="A353" s="20"/>
      <c r="B353" s="20"/>
      <c r="C353" s="20"/>
      <c r="D353" s="3" t="str">
        <f t="shared" si="5"/>
        <v/>
      </c>
    </row>
    <row r="354" spans="1:4" ht="14.25" customHeight="1" x14ac:dyDescent="0.3">
      <c r="A354" s="7"/>
      <c r="B354" s="7"/>
      <c r="C354" s="7"/>
      <c r="D354" s="3" t="str">
        <f t="shared" si="5"/>
        <v/>
      </c>
    </row>
    <row r="355" spans="1:4" ht="14.25" customHeight="1" x14ac:dyDescent="0.3">
      <c r="A355" s="20"/>
      <c r="B355" s="20"/>
      <c r="C355" s="20"/>
      <c r="D355" s="3" t="str">
        <f t="shared" si="5"/>
        <v/>
      </c>
    </row>
    <row r="356" spans="1:4" ht="14.25" customHeight="1" x14ac:dyDescent="0.3">
      <c r="A356" s="7"/>
      <c r="B356" s="7"/>
      <c r="C356" s="7"/>
      <c r="D356" s="3" t="str">
        <f t="shared" si="5"/>
        <v/>
      </c>
    </row>
    <row r="357" spans="1:4" ht="14.25" customHeight="1" x14ac:dyDescent="0.3">
      <c r="A357" s="20"/>
      <c r="B357" s="20"/>
      <c r="C357" s="20"/>
      <c r="D357" s="3" t="str">
        <f t="shared" si="5"/>
        <v/>
      </c>
    </row>
    <row r="358" spans="1:4" ht="14.25" customHeight="1" x14ac:dyDescent="0.3">
      <c r="A358" s="7"/>
      <c r="B358" s="7"/>
      <c r="C358" s="7"/>
      <c r="D358" s="3" t="str">
        <f t="shared" si="5"/>
        <v/>
      </c>
    </row>
    <row r="359" spans="1:4" ht="14.25" customHeight="1" x14ac:dyDescent="0.3">
      <c r="A359" s="20"/>
      <c r="B359" s="20"/>
      <c r="C359" s="20"/>
      <c r="D359" s="3" t="str">
        <f t="shared" si="5"/>
        <v/>
      </c>
    </row>
    <row r="360" spans="1:4" ht="14.25" customHeight="1" x14ac:dyDescent="0.3">
      <c r="A360" s="7"/>
      <c r="B360" s="7"/>
      <c r="C360" s="7"/>
      <c r="D360" s="3" t="str">
        <f t="shared" si="5"/>
        <v/>
      </c>
    </row>
    <row r="361" spans="1:4" ht="14.25" customHeight="1" x14ac:dyDescent="0.3">
      <c r="A361" s="20"/>
      <c r="B361" s="20"/>
      <c r="C361" s="20"/>
      <c r="D361" s="3" t="str">
        <f t="shared" si="5"/>
        <v/>
      </c>
    </row>
    <row r="362" spans="1:4" ht="14.25" customHeight="1" x14ac:dyDescent="0.3">
      <c r="A362" s="7"/>
      <c r="B362" s="7"/>
      <c r="C362" s="7"/>
      <c r="D362" s="3" t="str">
        <f t="shared" si="5"/>
        <v/>
      </c>
    </row>
    <row r="363" spans="1:4" ht="14.25" customHeight="1" x14ac:dyDescent="0.3">
      <c r="A363" s="20"/>
      <c r="B363" s="20"/>
      <c r="C363" s="20"/>
      <c r="D363" s="3" t="str">
        <f t="shared" si="5"/>
        <v/>
      </c>
    </row>
    <row r="364" spans="1:4" ht="14.25" customHeight="1" x14ac:dyDescent="0.3">
      <c r="A364" s="7"/>
      <c r="B364" s="7"/>
      <c r="C364" s="7"/>
      <c r="D364" s="3" t="str">
        <f t="shared" si="5"/>
        <v/>
      </c>
    </row>
    <row r="365" spans="1:4" ht="14.25" customHeight="1" x14ac:dyDescent="0.3">
      <c r="A365" s="20"/>
      <c r="B365" s="20"/>
      <c r="C365" s="20"/>
      <c r="D365" s="3" t="str">
        <f t="shared" si="5"/>
        <v/>
      </c>
    </row>
    <row r="366" spans="1:4" ht="14.25" customHeight="1" x14ac:dyDescent="0.3">
      <c r="A366" s="7"/>
      <c r="B366" s="7"/>
      <c r="C366" s="7"/>
      <c r="D366" s="3" t="str">
        <f t="shared" si="5"/>
        <v/>
      </c>
    </row>
    <row r="367" spans="1:4" ht="14.25" customHeight="1" x14ac:dyDescent="0.3">
      <c r="A367" s="20"/>
      <c r="B367" s="20"/>
      <c r="C367" s="20"/>
      <c r="D367" s="3" t="str">
        <f t="shared" si="5"/>
        <v/>
      </c>
    </row>
    <row r="368" spans="1:4" ht="14.25" customHeight="1" x14ac:dyDescent="0.3">
      <c r="A368" s="7"/>
      <c r="B368" s="7"/>
      <c r="C368" s="7"/>
      <c r="D368" s="3" t="str">
        <f t="shared" si="5"/>
        <v/>
      </c>
    </row>
    <row r="369" spans="1:4" ht="14.25" customHeight="1" x14ac:dyDescent="0.3">
      <c r="A369" s="20"/>
      <c r="B369" s="20"/>
      <c r="C369" s="20"/>
      <c r="D369" s="3" t="str">
        <f t="shared" si="5"/>
        <v/>
      </c>
    </row>
    <row r="370" spans="1:4" ht="14.25" customHeight="1" x14ac:dyDescent="0.3">
      <c r="A370" s="7"/>
      <c r="B370" s="7"/>
      <c r="C370" s="7"/>
      <c r="D370" s="3" t="str">
        <f t="shared" si="5"/>
        <v/>
      </c>
    </row>
    <row r="371" spans="1:4" ht="14.25" customHeight="1" x14ac:dyDescent="0.3">
      <c r="A371" s="20"/>
      <c r="B371" s="20"/>
      <c r="C371" s="20"/>
      <c r="D371" s="3" t="str">
        <f t="shared" si="5"/>
        <v/>
      </c>
    </row>
    <row r="372" spans="1:4" ht="14.25" customHeight="1" x14ac:dyDescent="0.3">
      <c r="A372" s="7"/>
      <c r="B372" s="7"/>
      <c r="C372" s="7"/>
      <c r="D372" s="3" t="str">
        <f t="shared" si="5"/>
        <v/>
      </c>
    </row>
    <row r="373" spans="1:4" ht="14.25" customHeight="1" x14ac:dyDescent="0.3">
      <c r="A373" s="20"/>
      <c r="B373" s="20"/>
      <c r="C373" s="20"/>
      <c r="D373" s="3" t="str">
        <f t="shared" si="5"/>
        <v/>
      </c>
    </row>
    <row r="374" spans="1:4" ht="14.25" customHeight="1" x14ac:dyDescent="0.3">
      <c r="A374" s="7"/>
      <c r="B374" s="7"/>
      <c r="C374" s="7"/>
      <c r="D374" s="3" t="str">
        <f t="shared" si="5"/>
        <v/>
      </c>
    </row>
    <row r="375" spans="1:4" ht="14.25" customHeight="1" x14ac:dyDescent="0.3">
      <c r="A375" s="20"/>
      <c r="B375" s="20"/>
      <c r="C375" s="20"/>
      <c r="D375" s="3" t="str">
        <f t="shared" si="5"/>
        <v/>
      </c>
    </row>
    <row r="376" spans="1:4" ht="14.25" customHeight="1" x14ac:dyDescent="0.3">
      <c r="A376" s="7"/>
      <c r="B376" s="7"/>
      <c r="C376" s="7"/>
      <c r="D376" s="3" t="str">
        <f t="shared" si="5"/>
        <v/>
      </c>
    </row>
    <row r="377" spans="1:4" ht="14.25" customHeight="1" x14ac:dyDescent="0.3">
      <c r="A377" s="20"/>
      <c r="B377" s="20"/>
      <c r="C377" s="20"/>
      <c r="D377" s="3" t="str">
        <f t="shared" si="5"/>
        <v/>
      </c>
    </row>
    <row r="378" spans="1:4" ht="14.25" customHeight="1" x14ac:dyDescent="0.3">
      <c r="A378" s="7"/>
      <c r="B378" s="7"/>
      <c r="C378" s="7"/>
      <c r="D378" s="3" t="str">
        <f t="shared" si="5"/>
        <v/>
      </c>
    </row>
    <row r="379" spans="1:4" ht="14.25" customHeight="1" x14ac:dyDescent="0.3">
      <c r="A379" s="20"/>
      <c r="B379" s="20"/>
      <c r="C379" s="20"/>
      <c r="D379" s="3" t="str">
        <f t="shared" si="5"/>
        <v/>
      </c>
    </row>
    <row r="380" spans="1:4" ht="14.25" customHeight="1" x14ac:dyDescent="0.3">
      <c r="A380" s="7"/>
      <c r="B380" s="7"/>
      <c r="C380" s="7"/>
      <c r="D380" s="3" t="str">
        <f t="shared" si="5"/>
        <v/>
      </c>
    </row>
    <row r="381" spans="1:4" ht="14.25" customHeight="1" x14ac:dyDescent="0.3">
      <c r="A381" s="20"/>
      <c r="B381" s="20"/>
      <c r="C381" s="20"/>
      <c r="D381" s="3" t="str">
        <f t="shared" si="5"/>
        <v/>
      </c>
    </row>
    <row r="382" spans="1:4" ht="14.25" customHeight="1" x14ac:dyDescent="0.3">
      <c r="A382" s="7"/>
      <c r="B382" s="7"/>
      <c r="C382" s="7"/>
      <c r="D382" s="3" t="str">
        <f t="shared" si="5"/>
        <v/>
      </c>
    </row>
    <row r="383" spans="1:4" ht="14.25" customHeight="1" x14ac:dyDescent="0.3">
      <c r="A383" s="20"/>
      <c r="B383" s="20"/>
      <c r="C383" s="20"/>
      <c r="D383" s="3" t="str">
        <f t="shared" si="5"/>
        <v/>
      </c>
    </row>
    <row r="384" spans="1:4" ht="14.25" customHeight="1" x14ac:dyDescent="0.3">
      <c r="A384" s="7"/>
      <c r="B384" s="7"/>
      <c r="C384" s="7"/>
      <c r="D384" s="3" t="str">
        <f t="shared" si="5"/>
        <v/>
      </c>
    </row>
    <row r="385" spans="1:4" ht="14.25" customHeight="1" x14ac:dyDescent="0.3">
      <c r="A385" s="20"/>
      <c r="B385" s="20"/>
      <c r="C385" s="20"/>
      <c r="D385" s="3" t="str">
        <f t="shared" si="5"/>
        <v/>
      </c>
    </row>
    <row r="386" spans="1:4" ht="14.25" customHeight="1" x14ac:dyDescent="0.3">
      <c r="A386" s="7"/>
      <c r="B386" s="7"/>
      <c r="C386" s="7"/>
      <c r="D386" s="3" t="str">
        <f t="shared" ref="D386:D449" si="6">IF(COUNTA(A386:C386)=0,"",IF(OR(C386&lt;0,C386&gt;100),"INVALID PERCENT",IF(COUNTIFS($A$2:$A$500,A386,$B$2:$B$500,B386)&gt;1,"DUPLICATE DAY/CLASS","OK")))</f>
        <v/>
      </c>
    </row>
    <row r="387" spans="1:4" ht="14.25" customHeight="1" x14ac:dyDescent="0.3">
      <c r="A387" s="20"/>
      <c r="B387" s="20"/>
      <c r="C387" s="20"/>
      <c r="D387" s="3" t="str">
        <f t="shared" si="6"/>
        <v/>
      </c>
    </row>
    <row r="388" spans="1:4" ht="14.25" customHeight="1" x14ac:dyDescent="0.3">
      <c r="A388" s="7"/>
      <c r="B388" s="7"/>
      <c r="C388" s="7"/>
      <c r="D388" s="3" t="str">
        <f t="shared" si="6"/>
        <v/>
      </c>
    </row>
    <row r="389" spans="1:4" ht="14.25" customHeight="1" x14ac:dyDescent="0.3">
      <c r="A389" s="20"/>
      <c r="B389" s="20"/>
      <c r="C389" s="20"/>
      <c r="D389" s="3" t="str">
        <f t="shared" si="6"/>
        <v/>
      </c>
    </row>
    <row r="390" spans="1:4" ht="14.25" customHeight="1" x14ac:dyDescent="0.3">
      <c r="A390" s="7"/>
      <c r="B390" s="7"/>
      <c r="C390" s="7"/>
      <c r="D390" s="3" t="str">
        <f t="shared" si="6"/>
        <v/>
      </c>
    </row>
    <row r="391" spans="1:4" ht="14.25" customHeight="1" x14ac:dyDescent="0.3">
      <c r="A391" s="20"/>
      <c r="B391" s="20"/>
      <c r="C391" s="20"/>
      <c r="D391" s="3" t="str">
        <f t="shared" si="6"/>
        <v/>
      </c>
    </row>
    <row r="392" spans="1:4" ht="14.25" customHeight="1" x14ac:dyDescent="0.3">
      <c r="A392" s="7"/>
      <c r="B392" s="7"/>
      <c r="C392" s="7"/>
      <c r="D392" s="3" t="str">
        <f t="shared" si="6"/>
        <v/>
      </c>
    </row>
    <row r="393" spans="1:4" ht="14.25" customHeight="1" x14ac:dyDescent="0.3">
      <c r="A393" s="20"/>
      <c r="B393" s="20"/>
      <c r="C393" s="20"/>
      <c r="D393" s="3" t="str">
        <f t="shared" si="6"/>
        <v/>
      </c>
    </row>
    <row r="394" spans="1:4" ht="14.25" customHeight="1" x14ac:dyDescent="0.3">
      <c r="A394" s="7"/>
      <c r="B394" s="7"/>
      <c r="C394" s="7"/>
      <c r="D394" s="3" t="str">
        <f t="shared" si="6"/>
        <v/>
      </c>
    </row>
    <row r="395" spans="1:4" ht="14.25" customHeight="1" x14ac:dyDescent="0.3">
      <c r="A395" s="20"/>
      <c r="B395" s="20"/>
      <c r="C395" s="20"/>
      <c r="D395" s="3" t="str">
        <f t="shared" si="6"/>
        <v/>
      </c>
    </row>
    <row r="396" spans="1:4" ht="14.25" customHeight="1" x14ac:dyDescent="0.3">
      <c r="A396" s="7"/>
      <c r="B396" s="7"/>
      <c r="C396" s="7"/>
      <c r="D396" s="3" t="str">
        <f t="shared" si="6"/>
        <v/>
      </c>
    </row>
    <row r="397" spans="1:4" ht="14.25" customHeight="1" x14ac:dyDescent="0.3">
      <c r="A397" s="20"/>
      <c r="B397" s="20"/>
      <c r="C397" s="20"/>
      <c r="D397" s="3" t="str">
        <f t="shared" si="6"/>
        <v/>
      </c>
    </row>
    <row r="398" spans="1:4" ht="14.25" customHeight="1" x14ac:dyDescent="0.3">
      <c r="A398" s="7"/>
      <c r="B398" s="7"/>
      <c r="C398" s="7"/>
      <c r="D398" s="3" t="str">
        <f t="shared" si="6"/>
        <v/>
      </c>
    </row>
    <row r="399" spans="1:4" ht="14.25" customHeight="1" x14ac:dyDescent="0.3">
      <c r="A399" s="20"/>
      <c r="B399" s="20"/>
      <c r="C399" s="20"/>
      <c r="D399" s="3" t="str">
        <f t="shared" si="6"/>
        <v/>
      </c>
    </row>
    <row r="400" spans="1:4" ht="14.25" customHeight="1" x14ac:dyDescent="0.3">
      <c r="A400" s="7"/>
      <c r="B400" s="7"/>
      <c r="C400" s="7"/>
      <c r="D400" s="3" t="str">
        <f t="shared" si="6"/>
        <v/>
      </c>
    </row>
    <row r="401" spans="1:4" ht="14.25" customHeight="1" x14ac:dyDescent="0.3">
      <c r="A401" s="20"/>
      <c r="B401" s="20"/>
      <c r="C401" s="20"/>
      <c r="D401" s="3" t="str">
        <f t="shared" si="6"/>
        <v/>
      </c>
    </row>
    <row r="402" spans="1:4" ht="14.25" customHeight="1" x14ac:dyDescent="0.3">
      <c r="A402" s="7"/>
      <c r="B402" s="7"/>
      <c r="C402" s="7"/>
      <c r="D402" s="3" t="str">
        <f t="shared" si="6"/>
        <v/>
      </c>
    </row>
    <row r="403" spans="1:4" ht="14.25" customHeight="1" x14ac:dyDescent="0.3">
      <c r="A403" s="20"/>
      <c r="B403" s="20"/>
      <c r="C403" s="20"/>
      <c r="D403" s="3" t="str">
        <f t="shared" si="6"/>
        <v/>
      </c>
    </row>
    <row r="404" spans="1:4" ht="14.25" customHeight="1" x14ac:dyDescent="0.3">
      <c r="A404" s="7"/>
      <c r="B404" s="7"/>
      <c r="C404" s="7"/>
      <c r="D404" s="3" t="str">
        <f t="shared" si="6"/>
        <v/>
      </c>
    </row>
    <row r="405" spans="1:4" ht="14.25" customHeight="1" x14ac:dyDescent="0.3">
      <c r="A405" s="20"/>
      <c r="B405" s="20"/>
      <c r="C405" s="20"/>
      <c r="D405" s="3" t="str">
        <f t="shared" si="6"/>
        <v/>
      </c>
    </row>
    <row r="406" spans="1:4" ht="14.25" customHeight="1" x14ac:dyDescent="0.3">
      <c r="A406" s="7"/>
      <c r="B406" s="7"/>
      <c r="C406" s="7"/>
      <c r="D406" s="3" t="str">
        <f t="shared" si="6"/>
        <v/>
      </c>
    </row>
    <row r="407" spans="1:4" ht="14.25" customHeight="1" x14ac:dyDescent="0.3">
      <c r="A407" s="20"/>
      <c r="B407" s="20"/>
      <c r="C407" s="20"/>
      <c r="D407" s="3" t="str">
        <f t="shared" si="6"/>
        <v/>
      </c>
    </row>
    <row r="408" spans="1:4" ht="14.25" customHeight="1" x14ac:dyDescent="0.3">
      <c r="A408" s="7"/>
      <c r="B408" s="7"/>
      <c r="C408" s="7"/>
      <c r="D408" s="3" t="str">
        <f t="shared" si="6"/>
        <v/>
      </c>
    </row>
    <row r="409" spans="1:4" ht="14.25" customHeight="1" x14ac:dyDescent="0.3">
      <c r="A409" s="20"/>
      <c r="B409" s="20"/>
      <c r="C409" s="20"/>
      <c r="D409" s="3" t="str">
        <f t="shared" si="6"/>
        <v/>
      </c>
    </row>
    <row r="410" spans="1:4" ht="14.25" customHeight="1" x14ac:dyDescent="0.3">
      <c r="A410" s="7"/>
      <c r="B410" s="7"/>
      <c r="C410" s="7"/>
      <c r="D410" s="3" t="str">
        <f t="shared" si="6"/>
        <v/>
      </c>
    </row>
    <row r="411" spans="1:4" ht="14.25" customHeight="1" x14ac:dyDescent="0.3">
      <c r="A411" s="20"/>
      <c r="B411" s="20"/>
      <c r="C411" s="20"/>
      <c r="D411" s="3" t="str">
        <f t="shared" si="6"/>
        <v/>
      </c>
    </row>
    <row r="412" spans="1:4" ht="14.25" customHeight="1" x14ac:dyDescent="0.3">
      <c r="A412" s="7"/>
      <c r="B412" s="7"/>
      <c r="C412" s="7"/>
      <c r="D412" s="3" t="str">
        <f t="shared" si="6"/>
        <v/>
      </c>
    </row>
    <row r="413" spans="1:4" ht="14.25" customHeight="1" x14ac:dyDescent="0.3">
      <c r="A413" s="20"/>
      <c r="B413" s="20"/>
      <c r="C413" s="20"/>
      <c r="D413" s="3" t="str">
        <f t="shared" si="6"/>
        <v/>
      </c>
    </row>
    <row r="414" spans="1:4" ht="14.25" customHeight="1" x14ac:dyDescent="0.3">
      <c r="A414" s="7"/>
      <c r="B414" s="7"/>
      <c r="C414" s="7"/>
      <c r="D414" s="3" t="str">
        <f t="shared" si="6"/>
        <v/>
      </c>
    </row>
    <row r="415" spans="1:4" ht="14.25" customHeight="1" x14ac:dyDescent="0.3">
      <c r="A415" s="20"/>
      <c r="B415" s="20"/>
      <c r="C415" s="20"/>
      <c r="D415" s="3" t="str">
        <f t="shared" si="6"/>
        <v/>
      </c>
    </row>
    <row r="416" spans="1:4" ht="14.25" customHeight="1" x14ac:dyDescent="0.3">
      <c r="A416" s="7"/>
      <c r="B416" s="7"/>
      <c r="C416" s="7"/>
      <c r="D416" s="3" t="str">
        <f t="shared" si="6"/>
        <v/>
      </c>
    </row>
    <row r="417" spans="1:4" ht="14.25" customHeight="1" x14ac:dyDescent="0.3">
      <c r="A417" s="20"/>
      <c r="B417" s="20"/>
      <c r="C417" s="20"/>
      <c r="D417" s="3" t="str">
        <f t="shared" si="6"/>
        <v/>
      </c>
    </row>
    <row r="418" spans="1:4" ht="14.25" customHeight="1" x14ac:dyDescent="0.3">
      <c r="A418" s="7"/>
      <c r="B418" s="7"/>
      <c r="C418" s="7"/>
      <c r="D418" s="3" t="str">
        <f t="shared" si="6"/>
        <v/>
      </c>
    </row>
    <row r="419" spans="1:4" ht="14.25" customHeight="1" x14ac:dyDescent="0.3">
      <c r="A419" s="20"/>
      <c r="B419" s="20"/>
      <c r="C419" s="20"/>
      <c r="D419" s="3" t="str">
        <f t="shared" si="6"/>
        <v/>
      </c>
    </row>
    <row r="420" spans="1:4" ht="14.25" customHeight="1" x14ac:dyDescent="0.3">
      <c r="A420" s="7"/>
      <c r="B420" s="7"/>
      <c r="C420" s="7"/>
      <c r="D420" s="3" t="str">
        <f t="shared" si="6"/>
        <v/>
      </c>
    </row>
    <row r="421" spans="1:4" ht="14.25" customHeight="1" x14ac:dyDescent="0.3">
      <c r="A421" s="20"/>
      <c r="B421" s="20"/>
      <c r="C421" s="20"/>
      <c r="D421" s="3" t="str">
        <f t="shared" si="6"/>
        <v/>
      </c>
    </row>
    <row r="422" spans="1:4" ht="14.25" customHeight="1" x14ac:dyDescent="0.3">
      <c r="A422" s="7"/>
      <c r="B422" s="7"/>
      <c r="C422" s="7"/>
      <c r="D422" s="3" t="str">
        <f t="shared" si="6"/>
        <v/>
      </c>
    </row>
    <row r="423" spans="1:4" ht="14.25" customHeight="1" x14ac:dyDescent="0.3">
      <c r="A423" s="20"/>
      <c r="B423" s="20"/>
      <c r="C423" s="20"/>
      <c r="D423" s="3" t="str">
        <f t="shared" si="6"/>
        <v/>
      </c>
    </row>
    <row r="424" spans="1:4" ht="14.25" customHeight="1" x14ac:dyDescent="0.3">
      <c r="A424" s="7"/>
      <c r="B424" s="7"/>
      <c r="C424" s="7"/>
      <c r="D424" s="3" t="str">
        <f t="shared" si="6"/>
        <v/>
      </c>
    </row>
    <row r="425" spans="1:4" ht="14.25" customHeight="1" x14ac:dyDescent="0.3">
      <c r="A425" s="20"/>
      <c r="B425" s="20"/>
      <c r="C425" s="20"/>
      <c r="D425" s="3" t="str">
        <f t="shared" si="6"/>
        <v/>
      </c>
    </row>
    <row r="426" spans="1:4" ht="14.25" customHeight="1" x14ac:dyDescent="0.3">
      <c r="A426" s="7"/>
      <c r="B426" s="7"/>
      <c r="C426" s="7"/>
      <c r="D426" s="3" t="str">
        <f t="shared" si="6"/>
        <v/>
      </c>
    </row>
    <row r="427" spans="1:4" ht="14.25" customHeight="1" x14ac:dyDescent="0.3">
      <c r="A427" s="20"/>
      <c r="B427" s="20"/>
      <c r="C427" s="20"/>
      <c r="D427" s="3" t="str">
        <f t="shared" si="6"/>
        <v/>
      </c>
    </row>
    <row r="428" spans="1:4" ht="14.25" customHeight="1" x14ac:dyDescent="0.3">
      <c r="A428" s="7"/>
      <c r="B428" s="7"/>
      <c r="C428" s="7"/>
      <c r="D428" s="3" t="str">
        <f t="shared" si="6"/>
        <v/>
      </c>
    </row>
    <row r="429" spans="1:4" ht="14.25" customHeight="1" x14ac:dyDescent="0.3">
      <c r="A429" s="20"/>
      <c r="B429" s="20"/>
      <c r="C429" s="20"/>
      <c r="D429" s="3" t="str">
        <f t="shared" si="6"/>
        <v/>
      </c>
    </row>
    <row r="430" spans="1:4" ht="14.25" customHeight="1" x14ac:dyDescent="0.3">
      <c r="A430" s="7"/>
      <c r="B430" s="7"/>
      <c r="C430" s="7"/>
      <c r="D430" s="3" t="str">
        <f t="shared" si="6"/>
        <v/>
      </c>
    </row>
    <row r="431" spans="1:4" ht="14.25" customHeight="1" x14ac:dyDescent="0.3">
      <c r="A431" s="20"/>
      <c r="B431" s="20"/>
      <c r="C431" s="20"/>
      <c r="D431" s="3" t="str">
        <f t="shared" si="6"/>
        <v/>
      </c>
    </row>
    <row r="432" spans="1:4" ht="14.25" customHeight="1" x14ac:dyDescent="0.3">
      <c r="A432" s="7"/>
      <c r="B432" s="7"/>
      <c r="C432" s="7"/>
      <c r="D432" s="3" t="str">
        <f t="shared" si="6"/>
        <v/>
      </c>
    </row>
    <row r="433" spans="1:4" ht="14.25" customHeight="1" x14ac:dyDescent="0.3">
      <c r="A433" s="20"/>
      <c r="B433" s="20"/>
      <c r="C433" s="20"/>
      <c r="D433" s="3" t="str">
        <f t="shared" si="6"/>
        <v/>
      </c>
    </row>
    <row r="434" spans="1:4" ht="14.25" customHeight="1" x14ac:dyDescent="0.3">
      <c r="A434" s="7"/>
      <c r="B434" s="7"/>
      <c r="C434" s="7"/>
      <c r="D434" s="3" t="str">
        <f t="shared" si="6"/>
        <v/>
      </c>
    </row>
    <row r="435" spans="1:4" ht="14.25" customHeight="1" x14ac:dyDescent="0.3">
      <c r="A435" s="20"/>
      <c r="B435" s="20"/>
      <c r="C435" s="20"/>
      <c r="D435" s="3" t="str">
        <f t="shared" si="6"/>
        <v/>
      </c>
    </row>
    <row r="436" spans="1:4" ht="14.25" customHeight="1" x14ac:dyDescent="0.3">
      <c r="A436" s="7"/>
      <c r="B436" s="7"/>
      <c r="C436" s="7"/>
      <c r="D436" s="3" t="str">
        <f t="shared" si="6"/>
        <v/>
      </c>
    </row>
    <row r="437" spans="1:4" ht="14.25" customHeight="1" x14ac:dyDescent="0.3">
      <c r="A437" s="20"/>
      <c r="B437" s="20"/>
      <c r="C437" s="20"/>
      <c r="D437" s="3" t="str">
        <f t="shared" si="6"/>
        <v/>
      </c>
    </row>
    <row r="438" spans="1:4" ht="14.25" customHeight="1" x14ac:dyDescent="0.3">
      <c r="A438" s="7"/>
      <c r="B438" s="7"/>
      <c r="C438" s="7"/>
      <c r="D438" s="3" t="str">
        <f t="shared" si="6"/>
        <v/>
      </c>
    </row>
    <row r="439" spans="1:4" ht="14.25" customHeight="1" x14ac:dyDescent="0.3">
      <c r="A439" s="20"/>
      <c r="B439" s="20"/>
      <c r="C439" s="20"/>
      <c r="D439" s="3" t="str">
        <f t="shared" si="6"/>
        <v/>
      </c>
    </row>
    <row r="440" spans="1:4" ht="14.25" customHeight="1" x14ac:dyDescent="0.3">
      <c r="A440" s="7"/>
      <c r="B440" s="7"/>
      <c r="C440" s="7"/>
      <c r="D440" s="3" t="str">
        <f t="shared" si="6"/>
        <v/>
      </c>
    </row>
    <row r="441" spans="1:4" ht="14.25" customHeight="1" x14ac:dyDescent="0.3">
      <c r="A441" s="20"/>
      <c r="B441" s="20"/>
      <c r="C441" s="20"/>
      <c r="D441" s="3" t="str">
        <f t="shared" si="6"/>
        <v/>
      </c>
    </row>
    <row r="442" spans="1:4" ht="14.25" customHeight="1" x14ac:dyDescent="0.3">
      <c r="A442" s="7"/>
      <c r="B442" s="7"/>
      <c r="C442" s="7"/>
      <c r="D442" s="3" t="str">
        <f t="shared" si="6"/>
        <v/>
      </c>
    </row>
    <row r="443" spans="1:4" ht="14.25" customHeight="1" x14ac:dyDescent="0.3">
      <c r="A443" s="20"/>
      <c r="B443" s="20"/>
      <c r="C443" s="20"/>
      <c r="D443" s="3" t="str">
        <f t="shared" si="6"/>
        <v/>
      </c>
    </row>
    <row r="444" spans="1:4" ht="14.25" customHeight="1" x14ac:dyDescent="0.3">
      <c r="A444" s="7"/>
      <c r="B444" s="7"/>
      <c r="C444" s="7"/>
      <c r="D444" s="3" t="str">
        <f t="shared" si="6"/>
        <v/>
      </c>
    </row>
    <row r="445" spans="1:4" ht="14.25" customHeight="1" x14ac:dyDescent="0.3">
      <c r="A445" s="20"/>
      <c r="B445" s="20"/>
      <c r="C445" s="20"/>
      <c r="D445" s="3" t="str">
        <f t="shared" si="6"/>
        <v/>
      </c>
    </row>
    <row r="446" spans="1:4" ht="14.25" customHeight="1" x14ac:dyDescent="0.3">
      <c r="A446" s="7"/>
      <c r="B446" s="7"/>
      <c r="C446" s="7"/>
      <c r="D446" s="3" t="str">
        <f t="shared" si="6"/>
        <v/>
      </c>
    </row>
    <row r="447" spans="1:4" ht="14.25" customHeight="1" x14ac:dyDescent="0.3">
      <c r="A447" s="20"/>
      <c r="B447" s="20"/>
      <c r="C447" s="20"/>
      <c r="D447" s="3" t="str">
        <f t="shared" si="6"/>
        <v/>
      </c>
    </row>
    <row r="448" spans="1:4" ht="14.25" customHeight="1" x14ac:dyDescent="0.3">
      <c r="A448" s="7"/>
      <c r="B448" s="7"/>
      <c r="C448" s="7"/>
      <c r="D448" s="3" t="str">
        <f t="shared" si="6"/>
        <v/>
      </c>
    </row>
    <row r="449" spans="1:4" ht="14.25" customHeight="1" x14ac:dyDescent="0.3">
      <c r="A449" s="20"/>
      <c r="B449" s="20"/>
      <c r="C449" s="20"/>
      <c r="D449" s="3" t="str">
        <f t="shared" si="6"/>
        <v/>
      </c>
    </row>
    <row r="450" spans="1:4" ht="14.25" customHeight="1" x14ac:dyDescent="0.3">
      <c r="A450" s="7"/>
      <c r="B450" s="7"/>
      <c r="C450" s="7"/>
      <c r="D450" s="3" t="str">
        <f t="shared" ref="D450:D500" si="7">IF(COUNTA(A450:C450)=0,"",IF(OR(C450&lt;0,C450&gt;100),"INVALID PERCENT",IF(COUNTIFS($A$2:$A$500,A450,$B$2:$B$500,B450)&gt;1,"DUPLICATE DAY/CLASS","OK")))</f>
        <v/>
      </c>
    </row>
    <row r="451" spans="1:4" ht="14.25" customHeight="1" x14ac:dyDescent="0.3">
      <c r="A451" s="20"/>
      <c r="B451" s="20"/>
      <c r="C451" s="20"/>
      <c r="D451" s="3" t="str">
        <f t="shared" si="7"/>
        <v/>
      </c>
    </row>
    <row r="452" spans="1:4" ht="14.25" customHeight="1" x14ac:dyDescent="0.3">
      <c r="A452" s="7"/>
      <c r="B452" s="7"/>
      <c r="C452" s="7"/>
      <c r="D452" s="3" t="str">
        <f t="shared" si="7"/>
        <v/>
      </c>
    </row>
    <row r="453" spans="1:4" ht="14.25" customHeight="1" x14ac:dyDescent="0.3">
      <c r="A453" s="20"/>
      <c r="B453" s="20"/>
      <c r="C453" s="20"/>
      <c r="D453" s="3" t="str">
        <f t="shared" si="7"/>
        <v/>
      </c>
    </row>
    <row r="454" spans="1:4" ht="14.25" customHeight="1" x14ac:dyDescent="0.3">
      <c r="A454" s="7"/>
      <c r="B454" s="7"/>
      <c r="C454" s="7"/>
      <c r="D454" s="3" t="str">
        <f t="shared" si="7"/>
        <v/>
      </c>
    </row>
    <row r="455" spans="1:4" ht="14.25" customHeight="1" x14ac:dyDescent="0.3">
      <c r="A455" s="20"/>
      <c r="B455" s="20"/>
      <c r="C455" s="20"/>
      <c r="D455" s="3" t="str">
        <f t="shared" si="7"/>
        <v/>
      </c>
    </row>
    <row r="456" spans="1:4" ht="14.25" customHeight="1" x14ac:dyDescent="0.3">
      <c r="A456" s="7"/>
      <c r="B456" s="7"/>
      <c r="C456" s="7"/>
      <c r="D456" s="3" t="str">
        <f t="shared" si="7"/>
        <v/>
      </c>
    </row>
    <row r="457" spans="1:4" ht="14.25" customHeight="1" x14ac:dyDescent="0.3">
      <c r="A457" s="20"/>
      <c r="B457" s="20"/>
      <c r="C457" s="20"/>
      <c r="D457" s="3" t="str">
        <f t="shared" si="7"/>
        <v/>
      </c>
    </row>
    <row r="458" spans="1:4" ht="14.25" customHeight="1" x14ac:dyDescent="0.3">
      <c r="A458" s="7"/>
      <c r="B458" s="7"/>
      <c r="C458" s="7"/>
      <c r="D458" s="3" t="str">
        <f t="shared" si="7"/>
        <v/>
      </c>
    </row>
    <row r="459" spans="1:4" ht="14.25" customHeight="1" x14ac:dyDescent="0.3">
      <c r="A459" s="20"/>
      <c r="B459" s="20"/>
      <c r="C459" s="20"/>
      <c r="D459" s="3" t="str">
        <f t="shared" si="7"/>
        <v/>
      </c>
    </row>
    <row r="460" spans="1:4" ht="14.25" customHeight="1" x14ac:dyDescent="0.3">
      <c r="A460" s="7"/>
      <c r="B460" s="7"/>
      <c r="C460" s="7"/>
      <c r="D460" s="3" t="str">
        <f t="shared" si="7"/>
        <v/>
      </c>
    </row>
    <row r="461" spans="1:4" ht="14.25" customHeight="1" x14ac:dyDescent="0.3">
      <c r="A461" s="20"/>
      <c r="B461" s="20"/>
      <c r="C461" s="20"/>
      <c r="D461" s="3" t="str">
        <f t="shared" si="7"/>
        <v/>
      </c>
    </row>
    <row r="462" spans="1:4" ht="14.25" customHeight="1" x14ac:dyDescent="0.3">
      <c r="A462" s="7"/>
      <c r="B462" s="7"/>
      <c r="C462" s="7"/>
      <c r="D462" s="3" t="str">
        <f t="shared" si="7"/>
        <v/>
      </c>
    </row>
    <row r="463" spans="1:4" ht="14.25" customHeight="1" x14ac:dyDescent="0.3">
      <c r="A463" s="20"/>
      <c r="B463" s="20"/>
      <c r="C463" s="20"/>
      <c r="D463" s="3" t="str">
        <f t="shared" si="7"/>
        <v/>
      </c>
    </row>
    <row r="464" spans="1:4" ht="14.25" customHeight="1" x14ac:dyDescent="0.3">
      <c r="A464" s="7"/>
      <c r="B464" s="7"/>
      <c r="C464" s="7"/>
      <c r="D464" s="3" t="str">
        <f t="shared" si="7"/>
        <v/>
      </c>
    </row>
    <row r="465" spans="1:4" ht="14.25" customHeight="1" x14ac:dyDescent="0.3">
      <c r="A465" s="20"/>
      <c r="B465" s="20"/>
      <c r="C465" s="20"/>
      <c r="D465" s="3" t="str">
        <f t="shared" si="7"/>
        <v/>
      </c>
    </row>
    <row r="466" spans="1:4" ht="14.25" customHeight="1" x14ac:dyDescent="0.3">
      <c r="A466" s="7"/>
      <c r="B466" s="7"/>
      <c r="C466" s="7"/>
      <c r="D466" s="3" t="str">
        <f t="shared" si="7"/>
        <v/>
      </c>
    </row>
    <row r="467" spans="1:4" ht="14.25" customHeight="1" x14ac:dyDescent="0.3">
      <c r="A467" s="20"/>
      <c r="B467" s="20"/>
      <c r="C467" s="20"/>
      <c r="D467" s="3" t="str">
        <f t="shared" si="7"/>
        <v/>
      </c>
    </row>
    <row r="468" spans="1:4" ht="14.25" customHeight="1" x14ac:dyDescent="0.3">
      <c r="A468" s="7"/>
      <c r="B468" s="7"/>
      <c r="C468" s="7"/>
      <c r="D468" s="3" t="str">
        <f t="shared" si="7"/>
        <v/>
      </c>
    </row>
    <row r="469" spans="1:4" ht="14.25" customHeight="1" x14ac:dyDescent="0.3">
      <c r="A469" s="20"/>
      <c r="B469" s="20"/>
      <c r="C469" s="20"/>
      <c r="D469" s="3" t="str">
        <f t="shared" si="7"/>
        <v/>
      </c>
    </row>
    <row r="470" spans="1:4" ht="14.25" customHeight="1" x14ac:dyDescent="0.3">
      <c r="A470" s="7"/>
      <c r="B470" s="7"/>
      <c r="C470" s="7"/>
      <c r="D470" s="3" t="str">
        <f t="shared" si="7"/>
        <v/>
      </c>
    </row>
    <row r="471" spans="1:4" ht="14.25" customHeight="1" x14ac:dyDescent="0.3">
      <c r="A471" s="20"/>
      <c r="B471" s="20"/>
      <c r="C471" s="20"/>
      <c r="D471" s="3" t="str">
        <f t="shared" si="7"/>
        <v/>
      </c>
    </row>
    <row r="472" spans="1:4" ht="14.25" customHeight="1" x14ac:dyDescent="0.3">
      <c r="A472" s="7"/>
      <c r="B472" s="7"/>
      <c r="C472" s="7"/>
      <c r="D472" s="3" t="str">
        <f t="shared" si="7"/>
        <v/>
      </c>
    </row>
    <row r="473" spans="1:4" ht="14.25" customHeight="1" x14ac:dyDescent="0.3">
      <c r="A473" s="20"/>
      <c r="B473" s="20"/>
      <c r="C473" s="20"/>
      <c r="D473" s="3" t="str">
        <f t="shared" si="7"/>
        <v/>
      </c>
    </row>
    <row r="474" spans="1:4" ht="14.25" customHeight="1" x14ac:dyDescent="0.3">
      <c r="A474" s="7"/>
      <c r="B474" s="7"/>
      <c r="C474" s="7"/>
      <c r="D474" s="3" t="str">
        <f t="shared" si="7"/>
        <v/>
      </c>
    </row>
    <row r="475" spans="1:4" ht="14.25" customHeight="1" x14ac:dyDescent="0.3">
      <c r="A475" s="20"/>
      <c r="B475" s="20"/>
      <c r="C475" s="20"/>
      <c r="D475" s="3" t="str">
        <f t="shared" si="7"/>
        <v/>
      </c>
    </row>
    <row r="476" spans="1:4" ht="14.25" customHeight="1" x14ac:dyDescent="0.3">
      <c r="A476" s="7"/>
      <c r="B476" s="7"/>
      <c r="C476" s="7"/>
      <c r="D476" s="3" t="str">
        <f t="shared" si="7"/>
        <v/>
      </c>
    </row>
    <row r="477" spans="1:4" ht="14.25" customHeight="1" x14ac:dyDescent="0.3">
      <c r="A477" s="20"/>
      <c r="B477" s="20"/>
      <c r="C477" s="20"/>
      <c r="D477" s="3" t="str">
        <f t="shared" si="7"/>
        <v/>
      </c>
    </row>
    <row r="478" spans="1:4" ht="14.25" customHeight="1" x14ac:dyDescent="0.3">
      <c r="A478" s="7"/>
      <c r="B478" s="7"/>
      <c r="C478" s="7"/>
      <c r="D478" s="3" t="str">
        <f t="shared" si="7"/>
        <v/>
      </c>
    </row>
    <row r="479" spans="1:4" ht="14.25" customHeight="1" x14ac:dyDescent="0.3">
      <c r="A479" s="20"/>
      <c r="B479" s="20"/>
      <c r="C479" s="20"/>
      <c r="D479" s="3" t="str">
        <f t="shared" si="7"/>
        <v/>
      </c>
    </row>
    <row r="480" spans="1:4" ht="14.25" customHeight="1" x14ac:dyDescent="0.3">
      <c r="A480" s="7"/>
      <c r="B480" s="7"/>
      <c r="C480" s="7"/>
      <c r="D480" s="3" t="str">
        <f t="shared" si="7"/>
        <v/>
      </c>
    </row>
    <row r="481" spans="1:4" ht="14.25" customHeight="1" x14ac:dyDescent="0.3">
      <c r="A481" s="20"/>
      <c r="B481" s="20"/>
      <c r="C481" s="20"/>
      <c r="D481" s="3" t="str">
        <f t="shared" si="7"/>
        <v/>
      </c>
    </row>
    <row r="482" spans="1:4" ht="14.25" customHeight="1" x14ac:dyDescent="0.3">
      <c r="A482" s="7"/>
      <c r="B482" s="7"/>
      <c r="C482" s="7"/>
      <c r="D482" s="3" t="str">
        <f t="shared" si="7"/>
        <v/>
      </c>
    </row>
    <row r="483" spans="1:4" ht="14.25" customHeight="1" x14ac:dyDescent="0.3">
      <c r="A483" s="20"/>
      <c r="B483" s="20"/>
      <c r="C483" s="20"/>
      <c r="D483" s="3" t="str">
        <f t="shared" si="7"/>
        <v/>
      </c>
    </row>
    <row r="484" spans="1:4" ht="14.25" customHeight="1" x14ac:dyDescent="0.3">
      <c r="A484" s="7"/>
      <c r="B484" s="7"/>
      <c r="C484" s="7"/>
      <c r="D484" s="3" t="str">
        <f t="shared" si="7"/>
        <v/>
      </c>
    </row>
    <row r="485" spans="1:4" ht="14.25" customHeight="1" x14ac:dyDescent="0.3">
      <c r="A485" s="20"/>
      <c r="B485" s="20"/>
      <c r="C485" s="20"/>
      <c r="D485" s="3" t="str">
        <f t="shared" si="7"/>
        <v/>
      </c>
    </row>
    <row r="486" spans="1:4" ht="14.25" customHeight="1" x14ac:dyDescent="0.3">
      <c r="A486" s="7"/>
      <c r="B486" s="7"/>
      <c r="C486" s="7"/>
      <c r="D486" s="3" t="str">
        <f t="shared" si="7"/>
        <v/>
      </c>
    </row>
    <row r="487" spans="1:4" ht="14.25" customHeight="1" x14ac:dyDescent="0.3">
      <c r="A487" s="20"/>
      <c r="B487" s="20"/>
      <c r="C487" s="20"/>
      <c r="D487" s="3" t="str">
        <f t="shared" si="7"/>
        <v/>
      </c>
    </row>
    <row r="488" spans="1:4" ht="14.25" customHeight="1" x14ac:dyDescent="0.3">
      <c r="A488" s="7"/>
      <c r="B488" s="7"/>
      <c r="C488" s="7"/>
      <c r="D488" s="3" t="str">
        <f t="shared" si="7"/>
        <v/>
      </c>
    </row>
    <row r="489" spans="1:4" ht="14.25" customHeight="1" x14ac:dyDescent="0.3">
      <c r="A489" s="20"/>
      <c r="B489" s="20"/>
      <c r="C489" s="20"/>
      <c r="D489" s="3" t="str">
        <f t="shared" si="7"/>
        <v/>
      </c>
    </row>
    <row r="490" spans="1:4" ht="14.25" customHeight="1" x14ac:dyDescent="0.3">
      <c r="A490" s="7"/>
      <c r="B490" s="7"/>
      <c r="C490" s="7"/>
      <c r="D490" s="3" t="str">
        <f t="shared" si="7"/>
        <v/>
      </c>
    </row>
    <row r="491" spans="1:4" ht="14.25" customHeight="1" x14ac:dyDescent="0.3">
      <c r="A491" s="20"/>
      <c r="B491" s="20"/>
      <c r="C491" s="20"/>
      <c r="D491" s="3" t="str">
        <f t="shared" si="7"/>
        <v/>
      </c>
    </row>
    <row r="492" spans="1:4" ht="14.25" customHeight="1" x14ac:dyDescent="0.3">
      <c r="A492" s="7"/>
      <c r="B492" s="7"/>
      <c r="C492" s="7"/>
      <c r="D492" s="3" t="str">
        <f t="shared" si="7"/>
        <v/>
      </c>
    </row>
    <row r="493" spans="1:4" ht="14.25" customHeight="1" x14ac:dyDescent="0.3">
      <c r="A493" s="20"/>
      <c r="B493" s="20"/>
      <c r="C493" s="20"/>
      <c r="D493" s="3" t="str">
        <f t="shared" si="7"/>
        <v/>
      </c>
    </row>
    <row r="494" spans="1:4" ht="14.25" customHeight="1" x14ac:dyDescent="0.3">
      <c r="A494" s="7"/>
      <c r="B494" s="7"/>
      <c r="C494" s="7"/>
      <c r="D494" s="3" t="str">
        <f t="shared" si="7"/>
        <v/>
      </c>
    </row>
    <row r="495" spans="1:4" ht="14.25" customHeight="1" x14ac:dyDescent="0.3">
      <c r="A495" s="20"/>
      <c r="B495" s="20"/>
      <c r="C495" s="20"/>
      <c r="D495" s="3" t="str">
        <f t="shared" si="7"/>
        <v/>
      </c>
    </row>
    <row r="496" spans="1:4" ht="14.25" customHeight="1" x14ac:dyDescent="0.3">
      <c r="A496" s="7"/>
      <c r="B496" s="7"/>
      <c r="C496" s="7"/>
      <c r="D496" s="3" t="str">
        <f t="shared" si="7"/>
        <v/>
      </c>
    </row>
    <row r="497" spans="1:4" ht="14.25" customHeight="1" x14ac:dyDescent="0.3">
      <c r="A497" s="20"/>
      <c r="B497" s="20"/>
      <c r="C497" s="20"/>
      <c r="D497" s="3" t="str">
        <f t="shared" si="7"/>
        <v/>
      </c>
    </row>
    <row r="498" spans="1:4" ht="14.25" customHeight="1" x14ac:dyDescent="0.3">
      <c r="A498" s="7"/>
      <c r="B498" s="7"/>
      <c r="C498" s="7"/>
      <c r="D498" s="3" t="str">
        <f t="shared" si="7"/>
        <v/>
      </c>
    </row>
    <row r="499" spans="1:4" ht="14.25" customHeight="1" x14ac:dyDescent="0.3">
      <c r="A499" s="20"/>
      <c r="B499" s="20"/>
      <c r="C499" s="20"/>
      <c r="D499" s="3" t="str">
        <f t="shared" si="7"/>
        <v/>
      </c>
    </row>
    <row r="500" spans="1:4" ht="14.25" customHeight="1" x14ac:dyDescent="0.3">
      <c r="A500" s="7"/>
      <c r="B500" s="7"/>
      <c r="C500" s="7"/>
      <c r="D500" s="3" t="str">
        <f t="shared" si="7"/>
        <v/>
      </c>
    </row>
    <row r="501" spans="1:4" ht="14.25" customHeight="1" x14ac:dyDescent="0.3"/>
    <row r="502" spans="1:4" ht="14.25" customHeight="1" x14ac:dyDescent="0.3"/>
    <row r="503" spans="1:4" ht="14.25" customHeight="1" x14ac:dyDescent="0.3"/>
    <row r="504" spans="1:4" ht="14.25" customHeight="1" x14ac:dyDescent="0.3"/>
    <row r="505" spans="1:4" ht="14.25" customHeight="1" x14ac:dyDescent="0.3"/>
    <row r="506" spans="1:4" ht="14.25" customHeight="1" x14ac:dyDescent="0.3"/>
    <row r="507" spans="1:4" ht="14.25" customHeight="1" x14ac:dyDescent="0.3"/>
    <row r="508" spans="1:4" ht="14.25" customHeight="1" x14ac:dyDescent="0.3"/>
    <row r="509" spans="1:4" ht="14.25" customHeight="1" x14ac:dyDescent="0.3"/>
    <row r="510" spans="1:4" ht="14.25" customHeight="1" x14ac:dyDescent="0.3"/>
    <row r="511" spans="1:4" ht="14.25" customHeight="1" x14ac:dyDescent="0.3"/>
    <row r="512" spans="1:4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conditionalFormatting sqref="A2:C500">
    <cfRule type="expression" dxfId="6" priority="2">
      <formula>AND(MOD(ROW(),2)=0,COUNTA($A2:$C2)&gt;0,A2="")</formula>
    </cfRule>
    <cfRule type="expression" dxfId="5" priority="3">
      <formula>AND($D2&lt;&gt;"",$D2&lt;&gt;"OK")</formula>
    </cfRule>
  </conditionalFormatting>
  <conditionalFormatting sqref="D2:D500">
    <cfRule type="expression" dxfId="4" priority="5">
      <formula>AND($D2&lt;&gt;"",$D2&lt;&gt;"OK")</formula>
    </cfRule>
  </conditionalFormatting>
  <conditionalFormatting sqref="E2:E500">
    <cfRule type="expression" dxfId="3" priority="4">
      <formula>AND($E2&lt;&gt;"",$E2&lt;&gt;"OK")</formula>
    </cfRule>
  </conditionalFormatting>
  <dataValidations count="2">
    <dataValidation type="list" errorStyle="information" allowBlank="1" showInputMessage="1" errorTitle="Custom value accepted" error="A custom value is allowed. Choose an existing option or continue with your typed value." promptTitle="Search or add custom value" prompt="Type to search an existing option, or enter a new custom value if no match exists." sqref="B2:B100" xr:uid="{00000000-0002-0000-0900-000000000000}">
      <formula1>dv_CreditType</formula1>
      <formula2>0</formula2>
    </dataValidation>
    <dataValidation type="list" errorStyle="information" allowBlank="1" showInputMessage="1" errorTitle="Custom value accepted" error="A custom value is allowed. Choose an existing option or continue with your typed value." promptTitle="Search or add custom value" prompt="Type to search an existing option, or enter a new custom value if no match exists." sqref="A2:A100" xr:uid="{00000000-0002-0000-0900-000001000000}">
      <formula1>dv_Day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00"/>
  <sheetViews>
    <sheetView showGridLines="0" zoomScaleNormal="100" workbookViewId="0">
      <pane ySplit="1" topLeftCell="A2" activePane="bottomLeft" state="frozen"/>
      <selection pane="bottomLeft" activeCell="D13" sqref="D13"/>
    </sheetView>
  </sheetViews>
  <sheetFormatPr defaultColWidth="14.44140625" defaultRowHeight="14.4" x14ac:dyDescent="0.3"/>
  <cols>
    <col min="1" max="1" width="22" customWidth="1"/>
    <col min="2" max="2" width="14" customWidth="1"/>
    <col min="3" max="4" width="17" customWidth="1"/>
    <col min="5" max="26" width="32" customWidth="1"/>
  </cols>
  <sheetData>
    <row r="1" spans="1:5" ht="14.25" customHeight="1" x14ac:dyDescent="0.3">
      <c r="A1" s="2" t="s">
        <v>179</v>
      </c>
      <c r="B1" s="2" t="s">
        <v>284</v>
      </c>
      <c r="C1" s="2" t="s">
        <v>286</v>
      </c>
      <c r="D1" s="2" t="s">
        <v>287</v>
      </c>
      <c r="E1" s="2" t="s">
        <v>2</v>
      </c>
    </row>
    <row r="2" spans="1:5" ht="14.25" customHeight="1" x14ac:dyDescent="0.3">
      <c r="A2" s="7" t="s">
        <v>151</v>
      </c>
      <c r="B2" s="7" t="s">
        <v>108</v>
      </c>
      <c r="C2" s="8">
        <v>0.375</v>
      </c>
      <c r="D2" s="8">
        <v>0.51388888888888884</v>
      </c>
      <c r="E2" s="3" t="str">
        <f t="shared" ref="E2:E65" si="0">IF(COUNTA(A2:D2)=0,"",IF(OR(C2="",D2="",C2&gt;=D2),"INVALID TIME RANGE",IF(SUMPRODUCT(($A$2:$A$500=A2)*($B$2:$B$500=B2)*($C$2:$C$500&lt;D2)*($D$2:$D$500&gt;C2))&gt;1,"OVERLAPPING UNAVAILABILITY","OK")))</f>
        <v>OK</v>
      </c>
    </row>
    <row r="3" spans="1:5" ht="14.25" customHeight="1" x14ac:dyDescent="0.3">
      <c r="A3" s="7" t="s">
        <v>159</v>
      </c>
      <c r="B3" s="7" t="s">
        <v>81</v>
      </c>
      <c r="C3" s="8">
        <v>0.59027777777777779</v>
      </c>
      <c r="D3" s="8">
        <v>0.65972222222222221</v>
      </c>
      <c r="E3" s="3" t="str">
        <f t="shared" si="0"/>
        <v>OK</v>
      </c>
    </row>
    <row r="4" spans="1:5" ht="14.25" customHeight="1" x14ac:dyDescent="0.3">
      <c r="A4" s="7"/>
      <c r="B4" s="7"/>
      <c r="C4" s="7"/>
      <c r="D4" s="7"/>
      <c r="E4" s="3" t="str">
        <f t="shared" si="0"/>
        <v/>
      </c>
    </row>
    <row r="5" spans="1:5" ht="17.25" customHeight="1" x14ac:dyDescent="0.3">
      <c r="A5" s="7"/>
      <c r="B5" s="7"/>
      <c r="C5" s="7"/>
      <c r="D5" s="7"/>
      <c r="E5" s="3" t="str">
        <f t="shared" si="0"/>
        <v/>
      </c>
    </row>
    <row r="6" spans="1:5" ht="14.25" customHeight="1" x14ac:dyDescent="0.3">
      <c r="A6" s="7"/>
      <c r="B6" s="7"/>
      <c r="C6" s="7"/>
      <c r="D6" s="7"/>
      <c r="E6" s="3" t="str">
        <f t="shared" si="0"/>
        <v/>
      </c>
    </row>
    <row r="7" spans="1:5" ht="14.25" customHeight="1" x14ac:dyDescent="0.3">
      <c r="A7" s="7"/>
      <c r="B7" s="7"/>
      <c r="C7" s="7"/>
      <c r="D7" s="7"/>
      <c r="E7" s="3" t="str">
        <f t="shared" si="0"/>
        <v/>
      </c>
    </row>
    <row r="8" spans="1:5" ht="14.25" customHeight="1" x14ac:dyDescent="0.3">
      <c r="A8" s="7"/>
      <c r="B8" s="7"/>
      <c r="C8" s="7"/>
      <c r="D8" s="7"/>
      <c r="E8" s="3" t="str">
        <f t="shared" si="0"/>
        <v/>
      </c>
    </row>
    <row r="9" spans="1:5" ht="14.25" customHeight="1" x14ac:dyDescent="0.3">
      <c r="A9" s="7"/>
      <c r="B9" s="7"/>
      <c r="C9" s="7"/>
      <c r="D9" s="7"/>
      <c r="E9" s="3" t="str">
        <f t="shared" si="0"/>
        <v/>
      </c>
    </row>
    <row r="10" spans="1:5" ht="14.25" customHeight="1" x14ac:dyDescent="0.3">
      <c r="A10" s="7"/>
      <c r="B10" s="7"/>
      <c r="C10" s="7"/>
      <c r="D10" s="7"/>
      <c r="E10" s="3" t="str">
        <f t="shared" si="0"/>
        <v/>
      </c>
    </row>
    <row r="11" spans="1:5" ht="14.25" customHeight="1" x14ac:dyDescent="0.3">
      <c r="A11" s="7"/>
      <c r="B11" s="7"/>
      <c r="C11" s="7"/>
      <c r="D11" s="7"/>
      <c r="E11" s="3" t="str">
        <f t="shared" si="0"/>
        <v/>
      </c>
    </row>
    <row r="12" spans="1:5" ht="14.25" customHeight="1" x14ac:dyDescent="0.3">
      <c r="A12" s="7"/>
      <c r="B12" s="7"/>
      <c r="C12" s="7"/>
      <c r="D12" s="7"/>
      <c r="E12" s="3" t="str">
        <f t="shared" si="0"/>
        <v/>
      </c>
    </row>
    <row r="13" spans="1:5" ht="14.25" customHeight="1" x14ac:dyDescent="0.3">
      <c r="A13" s="7"/>
      <c r="B13" s="7"/>
      <c r="C13" s="7"/>
      <c r="D13" s="7"/>
      <c r="E13" s="3" t="str">
        <f t="shared" si="0"/>
        <v/>
      </c>
    </row>
    <row r="14" spans="1:5" ht="14.25" customHeight="1" x14ac:dyDescent="0.3">
      <c r="A14" s="7"/>
      <c r="B14" s="7"/>
      <c r="C14" s="7"/>
      <c r="D14" s="7"/>
      <c r="E14" s="3" t="str">
        <f t="shared" si="0"/>
        <v/>
      </c>
    </row>
    <row r="15" spans="1:5" ht="14.25" customHeight="1" x14ac:dyDescent="0.3">
      <c r="A15" s="7"/>
      <c r="B15" s="7"/>
      <c r="C15" s="7"/>
      <c r="D15" s="7"/>
      <c r="E15" s="3" t="str">
        <f t="shared" si="0"/>
        <v/>
      </c>
    </row>
    <row r="16" spans="1:5" ht="14.25" customHeight="1" x14ac:dyDescent="0.3">
      <c r="A16" s="7"/>
      <c r="B16" s="7"/>
      <c r="C16" s="7"/>
      <c r="D16" s="7"/>
      <c r="E16" s="3" t="str">
        <f t="shared" si="0"/>
        <v/>
      </c>
    </row>
    <row r="17" spans="1:5" ht="14.25" customHeight="1" x14ac:dyDescent="0.3">
      <c r="A17" s="7"/>
      <c r="B17" s="7"/>
      <c r="C17" s="7"/>
      <c r="D17" s="7"/>
      <c r="E17" s="3" t="str">
        <f t="shared" si="0"/>
        <v/>
      </c>
    </row>
    <row r="18" spans="1:5" ht="14.25" customHeight="1" x14ac:dyDescent="0.3">
      <c r="A18" s="7"/>
      <c r="B18" s="7"/>
      <c r="C18" s="7"/>
      <c r="D18" s="7"/>
      <c r="E18" s="3" t="str">
        <f t="shared" si="0"/>
        <v/>
      </c>
    </row>
    <row r="19" spans="1:5" ht="14.25" customHeight="1" x14ac:dyDescent="0.3">
      <c r="A19" s="7"/>
      <c r="B19" s="7"/>
      <c r="C19" s="7"/>
      <c r="D19" s="7"/>
      <c r="E19" s="3" t="str">
        <f t="shared" si="0"/>
        <v/>
      </c>
    </row>
    <row r="20" spans="1:5" ht="14.25" customHeight="1" x14ac:dyDescent="0.3">
      <c r="A20" s="7"/>
      <c r="B20" s="7"/>
      <c r="C20" s="7"/>
      <c r="D20" s="7"/>
      <c r="E20" s="3" t="str">
        <f t="shared" si="0"/>
        <v/>
      </c>
    </row>
    <row r="21" spans="1:5" ht="14.25" customHeight="1" x14ac:dyDescent="0.3">
      <c r="A21" s="7"/>
      <c r="B21" s="7"/>
      <c r="C21" s="7"/>
      <c r="D21" s="7"/>
      <c r="E21" s="3" t="str">
        <f t="shared" si="0"/>
        <v/>
      </c>
    </row>
    <row r="22" spans="1:5" ht="14.25" customHeight="1" x14ac:dyDescent="0.3">
      <c r="A22" s="7"/>
      <c r="B22" s="7"/>
      <c r="C22" s="7"/>
      <c r="D22" s="7"/>
      <c r="E22" s="3" t="str">
        <f t="shared" si="0"/>
        <v/>
      </c>
    </row>
    <row r="23" spans="1:5" ht="14.25" customHeight="1" x14ac:dyDescent="0.3">
      <c r="A23" s="7"/>
      <c r="B23" s="7"/>
      <c r="C23" s="7"/>
      <c r="D23" s="7"/>
      <c r="E23" s="3" t="str">
        <f t="shared" si="0"/>
        <v/>
      </c>
    </row>
    <row r="24" spans="1:5" ht="14.25" customHeight="1" x14ac:dyDescent="0.3">
      <c r="A24" s="7"/>
      <c r="B24" s="7"/>
      <c r="C24" s="7"/>
      <c r="D24" s="7"/>
      <c r="E24" s="3" t="str">
        <f t="shared" si="0"/>
        <v/>
      </c>
    </row>
    <row r="25" spans="1:5" ht="14.25" customHeight="1" x14ac:dyDescent="0.3">
      <c r="A25" s="7"/>
      <c r="B25" s="7"/>
      <c r="C25" s="7"/>
      <c r="D25" s="7"/>
      <c r="E25" s="3" t="str">
        <f t="shared" si="0"/>
        <v/>
      </c>
    </row>
    <row r="26" spans="1:5" ht="14.25" customHeight="1" x14ac:dyDescent="0.3">
      <c r="A26" s="7"/>
      <c r="B26" s="7"/>
      <c r="C26" s="7"/>
      <c r="D26" s="7"/>
      <c r="E26" s="3" t="str">
        <f t="shared" si="0"/>
        <v/>
      </c>
    </row>
    <row r="27" spans="1:5" ht="14.25" customHeight="1" x14ac:dyDescent="0.3">
      <c r="A27" s="7"/>
      <c r="B27" s="7"/>
      <c r="C27" s="7"/>
      <c r="D27" s="7"/>
      <c r="E27" s="3" t="str">
        <f t="shared" si="0"/>
        <v/>
      </c>
    </row>
    <row r="28" spans="1:5" ht="14.25" customHeight="1" x14ac:dyDescent="0.3">
      <c r="A28" s="7"/>
      <c r="B28" s="7"/>
      <c r="C28" s="7"/>
      <c r="D28" s="7"/>
      <c r="E28" s="3" t="str">
        <f t="shared" si="0"/>
        <v/>
      </c>
    </row>
    <row r="29" spans="1:5" ht="14.25" customHeight="1" x14ac:dyDescent="0.3">
      <c r="A29" s="7"/>
      <c r="B29" s="7"/>
      <c r="C29" s="7"/>
      <c r="D29" s="7"/>
      <c r="E29" s="3" t="str">
        <f t="shared" si="0"/>
        <v/>
      </c>
    </row>
    <row r="30" spans="1:5" ht="14.25" customHeight="1" x14ac:dyDescent="0.3">
      <c r="A30" s="7"/>
      <c r="B30" s="7"/>
      <c r="C30" s="7"/>
      <c r="D30" s="7"/>
      <c r="E30" s="3" t="str">
        <f t="shared" si="0"/>
        <v/>
      </c>
    </row>
    <row r="31" spans="1:5" ht="14.25" customHeight="1" x14ac:dyDescent="0.3">
      <c r="A31" s="7"/>
      <c r="B31" s="7"/>
      <c r="C31" s="7"/>
      <c r="D31" s="7"/>
      <c r="E31" s="3" t="str">
        <f t="shared" si="0"/>
        <v/>
      </c>
    </row>
    <row r="32" spans="1:5" ht="14.25" customHeight="1" x14ac:dyDescent="0.3">
      <c r="A32" s="7"/>
      <c r="B32" s="7"/>
      <c r="C32" s="7"/>
      <c r="D32" s="7"/>
      <c r="E32" s="3" t="str">
        <f t="shared" si="0"/>
        <v/>
      </c>
    </row>
    <row r="33" spans="1:5" ht="14.25" customHeight="1" x14ac:dyDescent="0.3">
      <c r="A33" s="7"/>
      <c r="B33" s="7"/>
      <c r="C33" s="7"/>
      <c r="D33" s="7"/>
      <c r="E33" s="3" t="str">
        <f t="shared" si="0"/>
        <v/>
      </c>
    </row>
    <row r="34" spans="1:5" ht="14.25" customHeight="1" x14ac:dyDescent="0.3">
      <c r="A34" s="7"/>
      <c r="B34" s="7"/>
      <c r="C34" s="7"/>
      <c r="D34" s="7"/>
      <c r="E34" s="3" t="str">
        <f t="shared" si="0"/>
        <v/>
      </c>
    </row>
    <row r="35" spans="1:5" ht="14.25" customHeight="1" x14ac:dyDescent="0.3">
      <c r="A35" s="7"/>
      <c r="B35" s="7"/>
      <c r="C35" s="7"/>
      <c r="D35" s="7"/>
      <c r="E35" s="3" t="str">
        <f t="shared" si="0"/>
        <v/>
      </c>
    </row>
    <row r="36" spans="1:5" ht="14.25" customHeight="1" x14ac:dyDescent="0.3">
      <c r="A36" s="7"/>
      <c r="B36" s="7"/>
      <c r="C36" s="7"/>
      <c r="D36" s="7"/>
      <c r="E36" s="3" t="str">
        <f t="shared" si="0"/>
        <v/>
      </c>
    </row>
    <row r="37" spans="1:5" ht="14.25" customHeight="1" x14ac:dyDescent="0.3">
      <c r="A37" s="7"/>
      <c r="B37" s="7"/>
      <c r="C37" s="7"/>
      <c r="D37" s="7"/>
      <c r="E37" s="3" t="str">
        <f t="shared" si="0"/>
        <v/>
      </c>
    </row>
    <row r="38" spans="1:5" ht="14.25" customHeight="1" x14ac:dyDescent="0.3">
      <c r="A38" s="7"/>
      <c r="B38" s="7"/>
      <c r="C38" s="7"/>
      <c r="D38" s="7"/>
      <c r="E38" s="3" t="str">
        <f t="shared" si="0"/>
        <v/>
      </c>
    </row>
    <row r="39" spans="1:5" ht="14.25" customHeight="1" x14ac:dyDescent="0.3">
      <c r="A39" s="7"/>
      <c r="B39" s="7"/>
      <c r="C39" s="7"/>
      <c r="D39" s="7"/>
      <c r="E39" s="3" t="str">
        <f t="shared" si="0"/>
        <v/>
      </c>
    </row>
    <row r="40" spans="1:5" ht="14.25" customHeight="1" x14ac:dyDescent="0.3">
      <c r="A40" s="7"/>
      <c r="B40" s="7"/>
      <c r="C40" s="7"/>
      <c r="D40" s="7"/>
      <c r="E40" s="3" t="str">
        <f t="shared" si="0"/>
        <v/>
      </c>
    </row>
    <row r="41" spans="1:5" ht="14.25" customHeight="1" x14ac:dyDescent="0.3">
      <c r="A41" s="7"/>
      <c r="B41" s="7"/>
      <c r="C41" s="7"/>
      <c r="D41" s="7"/>
      <c r="E41" s="3" t="str">
        <f t="shared" si="0"/>
        <v/>
      </c>
    </row>
    <row r="42" spans="1:5" ht="14.25" customHeight="1" x14ac:dyDescent="0.3">
      <c r="A42" s="7"/>
      <c r="B42" s="7"/>
      <c r="C42" s="7"/>
      <c r="D42" s="7"/>
      <c r="E42" s="3" t="str">
        <f t="shared" si="0"/>
        <v/>
      </c>
    </row>
    <row r="43" spans="1:5" ht="14.25" customHeight="1" x14ac:dyDescent="0.3">
      <c r="A43" s="7"/>
      <c r="B43" s="7"/>
      <c r="C43" s="7"/>
      <c r="D43" s="7"/>
      <c r="E43" s="3" t="str">
        <f t="shared" si="0"/>
        <v/>
      </c>
    </row>
    <row r="44" spans="1:5" ht="14.25" customHeight="1" x14ac:dyDescent="0.3">
      <c r="A44" s="7"/>
      <c r="B44" s="7"/>
      <c r="C44" s="7"/>
      <c r="D44" s="7"/>
      <c r="E44" s="3" t="str">
        <f t="shared" si="0"/>
        <v/>
      </c>
    </row>
    <row r="45" spans="1:5" ht="14.25" customHeight="1" x14ac:dyDescent="0.3">
      <c r="A45" s="7"/>
      <c r="B45" s="7"/>
      <c r="C45" s="7"/>
      <c r="D45" s="7"/>
      <c r="E45" s="3" t="str">
        <f t="shared" si="0"/>
        <v/>
      </c>
    </row>
    <row r="46" spans="1:5" ht="14.25" customHeight="1" x14ac:dyDescent="0.3">
      <c r="A46" s="7"/>
      <c r="B46" s="7"/>
      <c r="C46" s="7"/>
      <c r="D46" s="7"/>
      <c r="E46" s="3" t="str">
        <f t="shared" si="0"/>
        <v/>
      </c>
    </row>
    <row r="47" spans="1:5" ht="14.25" customHeight="1" x14ac:dyDescent="0.3">
      <c r="A47" s="7"/>
      <c r="B47" s="7"/>
      <c r="C47" s="7"/>
      <c r="D47" s="7"/>
      <c r="E47" s="3" t="str">
        <f t="shared" si="0"/>
        <v/>
      </c>
    </row>
    <row r="48" spans="1:5" ht="14.25" customHeight="1" x14ac:dyDescent="0.3">
      <c r="A48" s="7"/>
      <c r="B48" s="7"/>
      <c r="C48" s="7"/>
      <c r="D48" s="7"/>
      <c r="E48" s="3" t="str">
        <f t="shared" si="0"/>
        <v/>
      </c>
    </row>
    <row r="49" spans="1:5" ht="14.25" customHeight="1" x14ac:dyDescent="0.3">
      <c r="A49" s="7"/>
      <c r="B49" s="7"/>
      <c r="C49" s="7"/>
      <c r="D49" s="7"/>
      <c r="E49" s="3" t="str">
        <f t="shared" si="0"/>
        <v/>
      </c>
    </row>
    <row r="50" spans="1:5" ht="14.25" customHeight="1" x14ac:dyDescent="0.3">
      <c r="A50" s="7"/>
      <c r="B50" s="7"/>
      <c r="C50" s="7"/>
      <c r="D50" s="7"/>
      <c r="E50" s="3" t="str">
        <f t="shared" si="0"/>
        <v/>
      </c>
    </row>
    <row r="51" spans="1:5" ht="14.25" customHeight="1" x14ac:dyDescent="0.3">
      <c r="A51" s="7"/>
      <c r="B51" s="7"/>
      <c r="C51" s="7"/>
      <c r="D51" s="7"/>
      <c r="E51" s="3" t="str">
        <f t="shared" si="0"/>
        <v/>
      </c>
    </row>
    <row r="52" spans="1:5" ht="14.25" customHeight="1" x14ac:dyDescent="0.3">
      <c r="A52" s="7"/>
      <c r="B52" s="7"/>
      <c r="C52" s="7"/>
      <c r="D52" s="7"/>
      <c r="E52" s="3" t="str">
        <f t="shared" si="0"/>
        <v/>
      </c>
    </row>
    <row r="53" spans="1:5" ht="14.25" customHeight="1" x14ac:dyDescent="0.3">
      <c r="A53" s="7"/>
      <c r="B53" s="7"/>
      <c r="C53" s="7"/>
      <c r="D53" s="7"/>
      <c r="E53" s="3" t="str">
        <f t="shared" si="0"/>
        <v/>
      </c>
    </row>
    <row r="54" spans="1:5" ht="14.25" customHeight="1" x14ac:dyDescent="0.3">
      <c r="A54" s="7"/>
      <c r="B54" s="7"/>
      <c r="C54" s="7"/>
      <c r="D54" s="7"/>
      <c r="E54" s="3" t="str">
        <f t="shared" si="0"/>
        <v/>
      </c>
    </row>
    <row r="55" spans="1:5" ht="14.25" customHeight="1" x14ac:dyDescent="0.3">
      <c r="A55" s="7"/>
      <c r="B55" s="7"/>
      <c r="C55" s="7"/>
      <c r="D55" s="7"/>
      <c r="E55" s="3" t="str">
        <f t="shared" si="0"/>
        <v/>
      </c>
    </row>
    <row r="56" spans="1:5" ht="14.25" customHeight="1" x14ac:dyDescent="0.3">
      <c r="A56" s="7"/>
      <c r="B56" s="7"/>
      <c r="C56" s="7"/>
      <c r="D56" s="7"/>
      <c r="E56" s="3" t="str">
        <f t="shared" si="0"/>
        <v/>
      </c>
    </row>
    <row r="57" spans="1:5" ht="14.25" customHeight="1" x14ac:dyDescent="0.3">
      <c r="A57" s="7"/>
      <c r="B57" s="7"/>
      <c r="C57" s="7"/>
      <c r="D57" s="7"/>
      <c r="E57" s="3" t="str">
        <f t="shared" si="0"/>
        <v/>
      </c>
    </row>
    <row r="58" spans="1:5" ht="14.25" customHeight="1" x14ac:dyDescent="0.3">
      <c r="A58" s="7"/>
      <c r="B58" s="7"/>
      <c r="C58" s="7"/>
      <c r="D58" s="7"/>
      <c r="E58" s="3" t="str">
        <f t="shared" si="0"/>
        <v/>
      </c>
    </row>
    <row r="59" spans="1:5" ht="14.25" customHeight="1" x14ac:dyDescent="0.3">
      <c r="A59" s="7"/>
      <c r="B59" s="7"/>
      <c r="C59" s="7"/>
      <c r="D59" s="7"/>
      <c r="E59" s="3" t="str">
        <f t="shared" si="0"/>
        <v/>
      </c>
    </row>
    <row r="60" spans="1:5" ht="14.25" customHeight="1" x14ac:dyDescent="0.3">
      <c r="A60" s="7"/>
      <c r="B60" s="7"/>
      <c r="C60" s="7"/>
      <c r="D60" s="7"/>
      <c r="E60" s="3" t="str">
        <f t="shared" si="0"/>
        <v/>
      </c>
    </row>
    <row r="61" spans="1:5" ht="14.25" customHeight="1" x14ac:dyDescent="0.3">
      <c r="A61" s="7"/>
      <c r="B61" s="7"/>
      <c r="C61" s="7"/>
      <c r="D61" s="7"/>
      <c r="E61" s="3" t="str">
        <f t="shared" si="0"/>
        <v/>
      </c>
    </row>
    <row r="62" spans="1:5" ht="14.25" customHeight="1" x14ac:dyDescent="0.3">
      <c r="A62" s="7"/>
      <c r="B62" s="7"/>
      <c r="C62" s="7"/>
      <c r="D62" s="7"/>
      <c r="E62" s="3" t="str">
        <f t="shared" si="0"/>
        <v/>
      </c>
    </row>
    <row r="63" spans="1:5" ht="14.25" customHeight="1" x14ac:dyDescent="0.3">
      <c r="A63" s="7"/>
      <c r="B63" s="7"/>
      <c r="C63" s="7"/>
      <c r="D63" s="7"/>
      <c r="E63" s="3" t="str">
        <f t="shared" si="0"/>
        <v/>
      </c>
    </row>
    <row r="64" spans="1:5" ht="14.25" customHeight="1" x14ac:dyDescent="0.3">
      <c r="A64" s="7"/>
      <c r="B64" s="7"/>
      <c r="C64" s="7"/>
      <c r="D64" s="7"/>
      <c r="E64" s="3" t="str">
        <f t="shared" si="0"/>
        <v/>
      </c>
    </row>
    <row r="65" spans="1:5" ht="14.25" customHeight="1" x14ac:dyDescent="0.3">
      <c r="A65" s="7"/>
      <c r="B65" s="7"/>
      <c r="C65" s="7"/>
      <c r="D65" s="7"/>
      <c r="E65" s="3" t="str">
        <f t="shared" si="0"/>
        <v/>
      </c>
    </row>
    <row r="66" spans="1:5" ht="14.25" customHeight="1" x14ac:dyDescent="0.3">
      <c r="A66" s="7"/>
      <c r="B66" s="7"/>
      <c r="C66" s="7"/>
      <c r="D66" s="7"/>
      <c r="E66" s="3" t="str">
        <f t="shared" ref="E66:E129" si="1">IF(COUNTA(A66:D66)=0,"",IF(OR(C66="",D66="",C66&gt;=D66),"INVALID TIME RANGE",IF(SUMPRODUCT(($A$2:$A$500=A66)*($B$2:$B$500=B66)*($C$2:$C$500&lt;D66)*($D$2:$D$500&gt;C66))&gt;1,"OVERLAPPING UNAVAILABILITY","OK")))</f>
        <v/>
      </c>
    </row>
    <row r="67" spans="1:5" ht="14.25" customHeight="1" x14ac:dyDescent="0.3">
      <c r="A67" s="7"/>
      <c r="B67" s="7"/>
      <c r="C67" s="7"/>
      <c r="D67" s="7"/>
      <c r="E67" s="3" t="str">
        <f t="shared" si="1"/>
        <v/>
      </c>
    </row>
    <row r="68" spans="1:5" ht="14.25" customHeight="1" x14ac:dyDescent="0.3">
      <c r="A68" s="7"/>
      <c r="B68" s="7"/>
      <c r="C68" s="7"/>
      <c r="D68" s="7"/>
      <c r="E68" s="3" t="str">
        <f t="shared" si="1"/>
        <v/>
      </c>
    </row>
    <row r="69" spans="1:5" ht="14.25" customHeight="1" x14ac:dyDescent="0.3">
      <c r="A69" s="7"/>
      <c r="B69" s="7"/>
      <c r="C69" s="7"/>
      <c r="D69" s="7"/>
      <c r="E69" s="3" t="str">
        <f t="shared" si="1"/>
        <v/>
      </c>
    </row>
    <row r="70" spans="1:5" ht="14.25" customHeight="1" x14ac:dyDescent="0.3">
      <c r="A70" s="7"/>
      <c r="B70" s="7"/>
      <c r="C70" s="7"/>
      <c r="D70" s="7"/>
      <c r="E70" s="3" t="str">
        <f t="shared" si="1"/>
        <v/>
      </c>
    </row>
    <row r="71" spans="1:5" ht="14.25" customHeight="1" x14ac:dyDescent="0.3">
      <c r="A71" s="7"/>
      <c r="B71" s="7"/>
      <c r="C71" s="7"/>
      <c r="D71" s="7"/>
      <c r="E71" s="3" t="str">
        <f t="shared" si="1"/>
        <v/>
      </c>
    </row>
    <row r="72" spans="1:5" ht="14.25" customHeight="1" x14ac:dyDescent="0.3">
      <c r="A72" s="7"/>
      <c r="B72" s="7"/>
      <c r="C72" s="7"/>
      <c r="D72" s="7"/>
      <c r="E72" s="3" t="str">
        <f t="shared" si="1"/>
        <v/>
      </c>
    </row>
    <row r="73" spans="1:5" ht="14.25" customHeight="1" x14ac:dyDescent="0.3">
      <c r="A73" s="7"/>
      <c r="B73" s="7"/>
      <c r="C73" s="7"/>
      <c r="D73" s="7"/>
      <c r="E73" s="3" t="str">
        <f t="shared" si="1"/>
        <v/>
      </c>
    </row>
    <row r="74" spans="1:5" ht="14.25" customHeight="1" x14ac:dyDescent="0.3">
      <c r="A74" s="7"/>
      <c r="B74" s="7"/>
      <c r="C74" s="7"/>
      <c r="D74" s="7"/>
      <c r="E74" s="3" t="str">
        <f t="shared" si="1"/>
        <v/>
      </c>
    </row>
    <row r="75" spans="1:5" ht="14.25" customHeight="1" x14ac:dyDescent="0.3">
      <c r="A75" s="7"/>
      <c r="B75" s="7"/>
      <c r="C75" s="7"/>
      <c r="D75" s="7"/>
      <c r="E75" s="3" t="str">
        <f t="shared" si="1"/>
        <v/>
      </c>
    </row>
    <row r="76" spans="1:5" ht="14.25" customHeight="1" x14ac:dyDescent="0.3">
      <c r="A76" s="7"/>
      <c r="B76" s="7"/>
      <c r="C76" s="7"/>
      <c r="D76" s="7"/>
      <c r="E76" s="3" t="str">
        <f t="shared" si="1"/>
        <v/>
      </c>
    </row>
    <row r="77" spans="1:5" ht="14.25" customHeight="1" x14ac:dyDescent="0.3">
      <c r="A77" s="7"/>
      <c r="B77" s="7"/>
      <c r="C77" s="7"/>
      <c r="D77" s="7"/>
      <c r="E77" s="3" t="str">
        <f t="shared" si="1"/>
        <v/>
      </c>
    </row>
    <row r="78" spans="1:5" ht="14.25" customHeight="1" x14ac:dyDescent="0.3">
      <c r="A78" s="7"/>
      <c r="B78" s="7"/>
      <c r="C78" s="7"/>
      <c r="D78" s="7"/>
      <c r="E78" s="3" t="str">
        <f t="shared" si="1"/>
        <v/>
      </c>
    </row>
    <row r="79" spans="1:5" ht="14.25" customHeight="1" x14ac:dyDescent="0.3">
      <c r="A79" s="7"/>
      <c r="B79" s="7"/>
      <c r="C79" s="7"/>
      <c r="D79" s="7"/>
      <c r="E79" s="3" t="str">
        <f t="shared" si="1"/>
        <v/>
      </c>
    </row>
    <row r="80" spans="1:5" ht="14.25" customHeight="1" x14ac:dyDescent="0.3">
      <c r="A80" s="7"/>
      <c r="B80" s="7"/>
      <c r="C80" s="7"/>
      <c r="D80" s="7"/>
      <c r="E80" s="3" t="str">
        <f t="shared" si="1"/>
        <v/>
      </c>
    </row>
    <row r="81" spans="1:5" ht="14.25" customHeight="1" x14ac:dyDescent="0.3">
      <c r="A81" s="7"/>
      <c r="B81" s="7"/>
      <c r="C81" s="7"/>
      <c r="D81" s="7"/>
      <c r="E81" s="3" t="str">
        <f t="shared" si="1"/>
        <v/>
      </c>
    </row>
    <row r="82" spans="1:5" ht="14.25" customHeight="1" x14ac:dyDescent="0.3">
      <c r="A82" s="7"/>
      <c r="B82" s="7"/>
      <c r="C82" s="7"/>
      <c r="D82" s="7"/>
      <c r="E82" s="3" t="str">
        <f t="shared" si="1"/>
        <v/>
      </c>
    </row>
    <row r="83" spans="1:5" ht="14.25" customHeight="1" x14ac:dyDescent="0.3">
      <c r="A83" s="7"/>
      <c r="B83" s="7"/>
      <c r="C83" s="7"/>
      <c r="D83" s="7"/>
      <c r="E83" s="3" t="str">
        <f t="shared" si="1"/>
        <v/>
      </c>
    </row>
    <row r="84" spans="1:5" ht="14.25" customHeight="1" x14ac:dyDescent="0.3">
      <c r="A84" s="7"/>
      <c r="B84" s="7"/>
      <c r="C84" s="7"/>
      <c r="D84" s="7"/>
      <c r="E84" s="3" t="str">
        <f t="shared" si="1"/>
        <v/>
      </c>
    </row>
    <row r="85" spans="1:5" ht="14.25" customHeight="1" x14ac:dyDescent="0.3">
      <c r="A85" s="7"/>
      <c r="B85" s="7"/>
      <c r="C85" s="7"/>
      <c r="D85" s="7"/>
      <c r="E85" s="3" t="str">
        <f t="shared" si="1"/>
        <v/>
      </c>
    </row>
    <row r="86" spans="1:5" ht="14.25" customHeight="1" x14ac:dyDescent="0.3">
      <c r="A86" s="7"/>
      <c r="B86" s="7"/>
      <c r="C86" s="7"/>
      <c r="D86" s="7"/>
      <c r="E86" s="3" t="str">
        <f t="shared" si="1"/>
        <v/>
      </c>
    </row>
    <row r="87" spans="1:5" ht="14.25" customHeight="1" x14ac:dyDescent="0.3">
      <c r="A87" s="7"/>
      <c r="B87" s="7"/>
      <c r="C87" s="7"/>
      <c r="D87" s="7"/>
      <c r="E87" s="3" t="str">
        <f t="shared" si="1"/>
        <v/>
      </c>
    </row>
    <row r="88" spans="1:5" ht="14.25" customHeight="1" x14ac:dyDescent="0.3">
      <c r="A88" s="7"/>
      <c r="B88" s="7"/>
      <c r="C88" s="7"/>
      <c r="D88" s="7"/>
      <c r="E88" s="3" t="str">
        <f t="shared" si="1"/>
        <v/>
      </c>
    </row>
    <row r="89" spans="1:5" ht="14.25" customHeight="1" x14ac:dyDescent="0.3">
      <c r="A89" s="7"/>
      <c r="B89" s="7"/>
      <c r="C89" s="7"/>
      <c r="D89" s="7"/>
      <c r="E89" s="3" t="str">
        <f t="shared" si="1"/>
        <v/>
      </c>
    </row>
    <row r="90" spans="1:5" ht="14.25" customHeight="1" x14ac:dyDescent="0.3">
      <c r="A90" s="7"/>
      <c r="B90" s="7"/>
      <c r="C90" s="7"/>
      <c r="D90" s="7"/>
      <c r="E90" s="3" t="str">
        <f t="shared" si="1"/>
        <v/>
      </c>
    </row>
    <row r="91" spans="1:5" ht="14.25" customHeight="1" x14ac:dyDescent="0.3">
      <c r="A91" s="7"/>
      <c r="B91" s="7"/>
      <c r="C91" s="7"/>
      <c r="D91" s="7"/>
      <c r="E91" s="3" t="str">
        <f t="shared" si="1"/>
        <v/>
      </c>
    </row>
    <row r="92" spans="1:5" ht="14.25" customHeight="1" x14ac:dyDescent="0.3">
      <c r="A92" s="7"/>
      <c r="B92" s="7"/>
      <c r="C92" s="7"/>
      <c r="D92" s="7"/>
      <c r="E92" s="3" t="str">
        <f t="shared" si="1"/>
        <v/>
      </c>
    </row>
    <row r="93" spans="1:5" ht="14.25" customHeight="1" x14ac:dyDescent="0.3">
      <c r="A93" s="7"/>
      <c r="B93" s="7"/>
      <c r="C93" s="7"/>
      <c r="D93" s="7"/>
      <c r="E93" s="3" t="str">
        <f t="shared" si="1"/>
        <v/>
      </c>
    </row>
    <row r="94" spans="1:5" ht="14.25" customHeight="1" x14ac:dyDescent="0.3">
      <c r="A94" s="7"/>
      <c r="B94" s="7"/>
      <c r="C94" s="7"/>
      <c r="D94" s="7"/>
      <c r="E94" s="3" t="str">
        <f t="shared" si="1"/>
        <v/>
      </c>
    </row>
    <row r="95" spans="1:5" ht="14.25" customHeight="1" x14ac:dyDescent="0.3">
      <c r="A95" s="7"/>
      <c r="B95" s="7"/>
      <c r="C95" s="7"/>
      <c r="D95" s="7"/>
      <c r="E95" s="3" t="str">
        <f t="shared" si="1"/>
        <v/>
      </c>
    </row>
    <row r="96" spans="1:5" ht="14.25" customHeight="1" x14ac:dyDescent="0.3">
      <c r="A96" s="7"/>
      <c r="B96" s="7"/>
      <c r="C96" s="7"/>
      <c r="D96" s="7"/>
      <c r="E96" s="3" t="str">
        <f t="shared" si="1"/>
        <v/>
      </c>
    </row>
    <row r="97" spans="1:5" ht="14.25" customHeight="1" x14ac:dyDescent="0.3">
      <c r="A97" s="7"/>
      <c r="B97" s="7"/>
      <c r="C97" s="7"/>
      <c r="D97" s="7"/>
      <c r="E97" s="3" t="str">
        <f t="shared" si="1"/>
        <v/>
      </c>
    </row>
    <row r="98" spans="1:5" ht="14.25" customHeight="1" x14ac:dyDescent="0.3">
      <c r="A98" s="7"/>
      <c r="B98" s="7"/>
      <c r="C98" s="7"/>
      <c r="D98" s="7"/>
      <c r="E98" s="3" t="str">
        <f t="shared" si="1"/>
        <v/>
      </c>
    </row>
    <row r="99" spans="1:5" ht="14.25" customHeight="1" x14ac:dyDescent="0.3">
      <c r="A99" s="7"/>
      <c r="B99" s="7"/>
      <c r="C99" s="7"/>
      <c r="D99" s="7"/>
      <c r="E99" s="3" t="str">
        <f t="shared" si="1"/>
        <v/>
      </c>
    </row>
    <row r="100" spans="1:5" ht="14.25" customHeight="1" x14ac:dyDescent="0.3">
      <c r="A100" s="7"/>
      <c r="B100" s="7"/>
      <c r="C100" s="7"/>
      <c r="D100" s="7"/>
      <c r="E100" s="3" t="str">
        <f t="shared" si="1"/>
        <v/>
      </c>
    </row>
    <row r="101" spans="1:5" ht="14.25" customHeight="1" x14ac:dyDescent="0.3">
      <c r="A101" s="7"/>
      <c r="B101" s="7"/>
      <c r="C101" s="7"/>
      <c r="D101" s="7"/>
      <c r="E101" s="3" t="str">
        <f t="shared" si="1"/>
        <v/>
      </c>
    </row>
    <row r="102" spans="1:5" ht="14.25" customHeight="1" x14ac:dyDescent="0.3">
      <c r="A102" s="7"/>
      <c r="B102" s="7"/>
      <c r="C102" s="7"/>
      <c r="D102" s="7"/>
      <c r="E102" s="3" t="str">
        <f t="shared" si="1"/>
        <v/>
      </c>
    </row>
    <row r="103" spans="1:5" ht="14.25" customHeight="1" x14ac:dyDescent="0.3">
      <c r="A103" s="7"/>
      <c r="B103" s="7"/>
      <c r="C103" s="7"/>
      <c r="D103" s="7"/>
      <c r="E103" s="3" t="str">
        <f t="shared" si="1"/>
        <v/>
      </c>
    </row>
    <row r="104" spans="1:5" ht="14.25" customHeight="1" x14ac:dyDescent="0.3">
      <c r="A104" s="7"/>
      <c r="B104" s="7"/>
      <c r="C104" s="7"/>
      <c r="D104" s="7"/>
      <c r="E104" s="3" t="str">
        <f t="shared" si="1"/>
        <v/>
      </c>
    </row>
    <row r="105" spans="1:5" ht="14.25" customHeight="1" x14ac:dyDescent="0.3">
      <c r="A105" s="7"/>
      <c r="B105" s="7"/>
      <c r="C105" s="7"/>
      <c r="D105" s="7"/>
      <c r="E105" s="3" t="str">
        <f t="shared" si="1"/>
        <v/>
      </c>
    </row>
    <row r="106" spans="1:5" ht="14.25" customHeight="1" x14ac:dyDescent="0.3">
      <c r="A106" s="7"/>
      <c r="B106" s="7"/>
      <c r="C106" s="7"/>
      <c r="D106" s="7"/>
      <c r="E106" s="3" t="str">
        <f t="shared" si="1"/>
        <v/>
      </c>
    </row>
    <row r="107" spans="1:5" ht="14.25" customHeight="1" x14ac:dyDescent="0.3">
      <c r="A107" s="7"/>
      <c r="B107" s="7"/>
      <c r="C107" s="7"/>
      <c r="D107" s="7"/>
      <c r="E107" s="3" t="str">
        <f t="shared" si="1"/>
        <v/>
      </c>
    </row>
    <row r="108" spans="1:5" ht="14.25" customHeight="1" x14ac:dyDescent="0.3">
      <c r="A108" s="7"/>
      <c r="B108" s="7"/>
      <c r="C108" s="7"/>
      <c r="D108" s="7"/>
      <c r="E108" s="3" t="str">
        <f t="shared" si="1"/>
        <v/>
      </c>
    </row>
    <row r="109" spans="1:5" ht="14.25" customHeight="1" x14ac:dyDescent="0.3">
      <c r="A109" s="7"/>
      <c r="B109" s="7"/>
      <c r="C109" s="7"/>
      <c r="D109" s="7"/>
      <c r="E109" s="3" t="str">
        <f t="shared" si="1"/>
        <v/>
      </c>
    </row>
    <row r="110" spans="1:5" ht="14.25" customHeight="1" x14ac:dyDescent="0.3">
      <c r="A110" s="7"/>
      <c r="B110" s="7"/>
      <c r="C110" s="7"/>
      <c r="D110" s="7"/>
      <c r="E110" s="3" t="str">
        <f t="shared" si="1"/>
        <v/>
      </c>
    </row>
    <row r="111" spans="1:5" ht="14.25" customHeight="1" x14ac:dyDescent="0.3">
      <c r="A111" s="7"/>
      <c r="B111" s="7"/>
      <c r="C111" s="7"/>
      <c r="D111" s="7"/>
      <c r="E111" s="3" t="str">
        <f t="shared" si="1"/>
        <v/>
      </c>
    </row>
    <row r="112" spans="1:5" ht="14.25" customHeight="1" x14ac:dyDescent="0.3">
      <c r="A112" s="7"/>
      <c r="B112" s="7"/>
      <c r="C112" s="7"/>
      <c r="D112" s="7"/>
      <c r="E112" s="3" t="str">
        <f t="shared" si="1"/>
        <v/>
      </c>
    </row>
    <row r="113" spans="1:5" ht="14.25" customHeight="1" x14ac:dyDescent="0.3">
      <c r="A113" s="7"/>
      <c r="B113" s="7"/>
      <c r="C113" s="7"/>
      <c r="D113" s="7"/>
      <c r="E113" s="3" t="str">
        <f t="shared" si="1"/>
        <v/>
      </c>
    </row>
    <row r="114" spans="1:5" ht="14.25" customHeight="1" x14ac:dyDescent="0.3">
      <c r="A114" s="7"/>
      <c r="B114" s="7"/>
      <c r="C114" s="7"/>
      <c r="D114" s="7"/>
      <c r="E114" s="3" t="str">
        <f t="shared" si="1"/>
        <v/>
      </c>
    </row>
    <row r="115" spans="1:5" ht="14.25" customHeight="1" x14ac:dyDescent="0.3">
      <c r="A115" s="7"/>
      <c r="B115" s="7"/>
      <c r="C115" s="7"/>
      <c r="D115" s="7"/>
      <c r="E115" s="3" t="str">
        <f t="shared" si="1"/>
        <v/>
      </c>
    </row>
    <row r="116" spans="1:5" ht="14.25" customHeight="1" x14ac:dyDescent="0.3">
      <c r="A116" s="7"/>
      <c r="B116" s="7"/>
      <c r="C116" s="7"/>
      <c r="D116" s="7"/>
      <c r="E116" s="3" t="str">
        <f t="shared" si="1"/>
        <v/>
      </c>
    </row>
    <row r="117" spans="1:5" ht="14.25" customHeight="1" x14ac:dyDescent="0.3">
      <c r="A117" s="7"/>
      <c r="B117" s="7"/>
      <c r="C117" s="7"/>
      <c r="D117" s="7"/>
      <c r="E117" s="3" t="str">
        <f t="shared" si="1"/>
        <v/>
      </c>
    </row>
    <row r="118" spans="1:5" ht="14.25" customHeight="1" x14ac:dyDescent="0.3">
      <c r="A118" s="7"/>
      <c r="B118" s="7"/>
      <c r="C118" s="7"/>
      <c r="D118" s="7"/>
      <c r="E118" s="3" t="str">
        <f t="shared" si="1"/>
        <v/>
      </c>
    </row>
    <row r="119" spans="1:5" ht="14.25" customHeight="1" x14ac:dyDescent="0.3">
      <c r="A119" s="7"/>
      <c r="B119" s="7"/>
      <c r="C119" s="7"/>
      <c r="D119" s="7"/>
      <c r="E119" s="3" t="str">
        <f t="shared" si="1"/>
        <v/>
      </c>
    </row>
    <row r="120" spans="1:5" ht="14.25" customHeight="1" x14ac:dyDescent="0.3">
      <c r="A120" s="7"/>
      <c r="B120" s="7"/>
      <c r="C120" s="7"/>
      <c r="D120" s="7"/>
      <c r="E120" s="3" t="str">
        <f t="shared" si="1"/>
        <v/>
      </c>
    </row>
    <row r="121" spans="1:5" ht="14.25" customHeight="1" x14ac:dyDescent="0.3">
      <c r="A121" s="7"/>
      <c r="B121" s="7"/>
      <c r="C121" s="7"/>
      <c r="D121" s="7"/>
      <c r="E121" s="3" t="str">
        <f t="shared" si="1"/>
        <v/>
      </c>
    </row>
    <row r="122" spans="1:5" ht="14.25" customHeight="1" x14ac:dyDescent="0.3">
      <c r="A122" s="7"/>
      <c r="B122" s="7"/>
      <c r="C122" s="7"/>
      <c r="D122" s="7"/>
      <c r="E122" s="3" t="str">
        <f t="shared" si="1"/>
        <v/>
      </c>
    </row>
    <row r="123" spans="1:5" ht="14.25" customHeight="1" x14ac:dyDescent="0.3">
      <c r="A123" s="7"/>
      <c r="B123" s="7"/>
      <c r="C123" s="7"/>
      <c r="D123" s="7"/>
      <c r="E123" s="3" t="str">
        <f t="shared" si="1"/>
        <v/>
      </c>
    </row>
    <row r="124" spans="1:5" ht="14.25" customHeight="1" x14ac:dyDescent="0.3">
      <c r="A124" s="7"/>
      <c r="B124" s="7"/>
      <c r="C124" s="7"/>
      <c r="D124" s="7"/>
      <c r="E124" s="3" t="str">
        <f t="shared" si="1"/>
        <v/>
      </c>
    </row>
    <row r="125" spans="1:5" ht="14.25" customHeight="1" x14ac:dyDescent="0.3">
      <c r="A125" s="7"/>
      <c r="B125" s="7"/>
      <c r="C125" s="7"/>
      <c r="D125" s="7"/>
      <c r="E125" s="3" t="str">
        <f t="shared" si="1"/>
        <v/>
      </c>
    </row>
    <row r="126" spans="1:5" ht="14.25" customHeight="1" x14ac:dyDescent="0.3">
      <c r="A126" s="7"/>
      <c r="B126" s="7"/>
      <c r="C126" s="7"/>
      <c r="D126" s="7"/>
      <c r="E126" s="3" t="str">
        <f t="shared" si="1"/>
        <v/>
      </c>
    </row>
    <row r="127" spans="1:5" ht="14.25" customHeight="1" x14ac:dyDescent="0.3">
      <c r="A127" s="7"/>
      <c r="B127" s="7"/>
      <c r="C127" s="7"/>
      <c r="D127" s="7"/>
      <c r="E127" s="3" t="str">
        <f t="shared" si="1"/>
        <v/>
      </c>
    </row>
    <row r="128" spans="1:5" ht="14.25" customHeight="1" x14ac:dyDescent="0.3">
      <c r="A128" s="7"/>
      <c r="B128" s="7"/>
      <c r="C128" s="7"/>
      <c r="D128" s="7"/>
      <c r="E128" s="3" t="str">
        <f t="shared" si="1"/>
        <v/>
      </c>
    </row>
    <row r="129" spans="1:5" ht="14.25" customHeight="1" x14ac:dyDescent="0.3">
      <c r="A129" s="7"/>
      <c r="B129" s="7"/>
      <c r="C129" s="7"/>
      <c r="D129" s="7"/>
      <c r="E129" s="3" t="str">
        <f t="shared" si="1"/>
        <v/>
      </c>
    </row>
    <row r="130" spans="1:5" ht="14.25" customHeight="1" x14ac:dyDescent="0.3">
      <c r="A130" s="7"/>
      <c r="B130" s="7"/>
      <c r="C130" s="7"/>
      <c r="D130" s="7"/>
      <c r="E130" s="3" t="str">
        <f t="shared" ref="E130:E193" si="2">IF(COUNTA(A130:D130)=0,"",IF(OR(C130="",D130="",C130&gt;=D130),"INVALID TIME RANGE",IF(SUMPRODUCT(($A$2:$A$500=A130)*($B$2:$B$500=B130)*($C$2:$C$500&lt;D130)*($D$2:$D$500&gt;C130))&gt;1,"OVERLAPPING UNAVAILABILITY","OK")))</f>
        <v/>
      </c>
    </row>
    <row r="131" spans="1:5" ht="14.25" customHeight="1" x14ac:dyDescent="0.3">
      <c r="A131" s="7"/>
      <c r="B131" s="7"/>
      <c r="C131" s="7"/>
      <c r="D131" s="7"/>
      <c r="E131" s="3" t="str">
        <f t="shared" si="2"/>
        <v/>
      </c>
    </row>
    <row r="132" spans="1:5" ht="14.25" customHeight="1" x14ac:dyDescent="0.3">
      <c r="A132" s="7"/>
      <c r="B132" s="7"/>
      <c r="C132" s="7"/>
      <c r="D132" s="7"/>
      <c r="E132" s="3" t="str">
        <f t="shared" si="2"/>
        <v/>
      </c>
    </row>
    <row r="133" spans="1:5" ht="14.25" customHeight="1" x14ac:dyDescent="0.3">
      <c r="A133" s="7"/>
      <c r="B133" s="7"/>
      <c r="C133" s="7"/>
      <c r="D133" s="7"/>
      <c r="E133" s="3" t="str">
        <f t="shared" si="2"/>
        <v/>
      </c>
    </row>
    <row r="134" spans="1:5" ht="14.25" customHeight="1" x14ac:dyDescent="0.3">
      <c r="A134" s="7"/>
      <c r="B134" s="7"/>
      <c r="C134" s="7"/>
      <c r="D134" s="7"/>
      <c r="E134" s="3" t="str">
        <f t="shared" si="2"/>
        <v/>
      </c>
    </row>
    <row r="135" spans="1:5" ht="14.25" customHeight="1" x14ac:dyDescent="0.3">
      <c r="A135" s="7"/>
      <c r="B135" s="7"/>
      <c r="C135" s="7"/>
      <c r="D135" s="7"/>
      <c r="E135" s="3" t="str">
        <f t="shared" si="2"/>
        <v/>
      </c>
    </row>
    <row r="136" spans="1:5" ht="14.25" customHeight="1" x14ac:dyDescent="0.3">
      <c r="A136" s="7"/>
      <c r="B136" s="7"/>
      <c r="C136" s="7"/>
      <c r="D136" s="7"/>
      <c r="E136" s="3" t="str">
        <f t="shared" si="2"/>
        <v/>
      </c>
    </row>
    <row r="137" spans="1:5" ht="14.25" customHeight="1" x14ac:dyDescent="0.3">
      <c r="A137" s="7"/>
      <c r="B137" s="7"/>
      <c r="C137" s="7"/>
      <c r="D137" s="7"/>
      <c r="E137" s="3" t="str">
        <f t="shared" si="2"/>
        <v/>
      </c>
    </row>
    <row r="138" spans="1:5" ht="14.25" customHeight="1" x14ac:dyDescent="0.3">
      <c r="A138" s="7"/>
      <c r="B138" s="7"/>
      <c r="C138" s="7"/>
      <c r="D138" s="7"/>
      <c r="E138" s="3" t="str">
        <f t="shared" si="2"/>
        <v/>
      </c>
    </row>
    <row r="139" spans="1:5" ht="14.25" customHeight="1" x14ac:dyDescent="0.3">
      <c r="A139" s="7"/>
      <c r="B139" s="7"/>
      <c r="C139" s="7"/>
      <c r="D139" s="7"/>
      <c r="E139" s="3" t="str">
        <f t="shared" si="2"/>
        <v/>
      </c>
    </row>
    <row r="140" spans="1:5" ht="14.25" customHeight="1" x14ac:dyDescent="0.3">
      <c r="A140" s="7"/>
      <c r="B140" s="7"/>
      <c r="C140" s="7"/>
      <c r="D140" s="7"/>
      <c r="E140" s="3" t="str">
        <f t="shared" si="2"/>
        <v/>
      </c>
    </row>
    <row r="141" spans="1:5" ht="14.25" customHeight="1" x14ac:dyDescent="0.3">
      <c r="A141" s="7"/>
      <c r="B141" s="7"/>
      <c r="C141" s="7"/>
      <c r="D141" s="7"/>
      <c r="E141" s="3" t="str">
        <f t="shared" si="2"/>
        <v/>
      </c>
    </row>
    <row r="142" spans="1:5" ht="14.25" customHeight="1" x14ac:dyDescent="0.3">
      <c r="A142" s="7"/>
      <c r="B142" s="7"/>
      <c r="C142" s="7"/>
      <c r="D142" s="7"/>
      <c r="E142" s="3" t="str">
        <f t="shared" si="2"/>
        <v/>
      </c>
    </row>
    <row r="143" spans="1:5" ht="14.25" customHeight="1" x14ac:dyDescent="0.3">
      <c r="A143" s="7"/>
      <c r="B143" s="7"/>
      <c r="C143" s="7"/>
      <c r="D143" s="7"/>
      <c r="E143" s="3" t="str">
        <f t="shared" si="2"/>
        <v/>
      </c>
    </row>
    <row r="144" spans="1:5" ht="14.25" customHeight="1" x14ac:dyDescent="0.3">
      <c r="A144" s="7"/>
      <c r="B144" s="7"/>
      <c r="C144" s="7"/>
      <c r="D144" s="7"/>
      <c r="E144" s="3" t="str">
        <f t="shared" si="2"/>
        <v/>
      </c>
    </row>
    <row r="145" spans="1:5" ht="14.25" customHeight="1" x14ac:dyDescent="0.3">
      <c r="A145" s="7"/>
      <c r="B145" s="7"/>
      <c r="C145" s="7"/>
      <c r="D145" s="7"/>
      <c r="E145" s="3" t="str">
        <f t="shared" si="2"/>
        <v/>
      </c>
    </row>
    <row r="146" spans="1:5" ht="14.25" customHeight="1" x14ac:dyDescent="0.3">
      <c r="A146" s="7"/>
      <c r="B146" s="7"/>
      <c r="C146" s="7"/>
      <c r="D146" s="7"/>
      <c r="E146" s="3" t="str">
        <f t="shared" si="2"/>
        <v/>
      </c>
    </row>
    <row r="147" spans="1:5" ht="14.25" customHeight="1" x14ac:dyDescent="0.3">
      <c r="A147" s="7"/>
      <c r="B147" s="7"/>
      <c r="C147" s="7"/>
      <c r="D147" s="7"/>
      <c r="E147" s="3" t="str">
        <f t="shared" si="2"/>
        <v/>
      </c>
    </row>
    <row r="148" spans="1:5" ht="14.25" customHeight="1" x14ac:dyDescent="0.3">
      <c r="A148" s="7"/>
      <c r="B148" s="7"/>
      <c r="C148" s="7"/>
      <c r="D148" s="7"/>
      <c r="E148" s="3" t="str">
        <f t="shared" si="2"/>
        <v/>
      </c>
    </row>
    <row r="149" spans="1:5" ht="14.25" customHeight="1" x14ac:dyDescent="0.3">
      <c r="A149" s="7"/>
      <c r="B149" s="7"/>
      <c r="C149" s="7"/>
      <c r="D149" s="7"/>
      <c r="E149" s="3" t="str">
        <f t="shared" si="2"/>
        <v/>
      </c>
    </row>
    <row r="150" spans="1:5" ht="14.25" customHeight="1" x14ac:dyDescent="0.3">
      <c r="A150" s="7"/>
      <c r="B150" s="7"/>
      <c r="C150" s="7"/>
      <c r="D150" s="7"/>
      <c r="E150" s="3" t="str">
        <f t="shared" si="2"/>
        <v/>
      </c>
    </row>
    <row r="151" spans="1:5" ht="14.25" customHeight="1" x14ac:dyDescent="0.3">
      <c r="A151" s="7"/>
      <c r="B151" s="7"/>
      <c r="C151" s="7"/>
      <c r="D151" s="7"/>
      <c r="E151" s="3" t="str">
        <f t="shared" si="2"/>
        <v/>
      </c>
    </row>
    <row r="152" spans="1:5" ht="14.25" customHeight="1" x14ac:dyDescent="0.3">
      <c r="A152" s="7"/>
      <c r="B152" s="7"/>
      <c r="C152" s="7"/>
      <c r="D152" s="7"/>
      <c r="E152" s="3" t="str">
        <f t="shared" si="2"/>
        <v/>
      </c>
    </row>
    <row r="153" spans="1:5" ht="14.25" customHeight="1" x14ac:dyDescent="0.3">
      <c r="A153" s="7"/>
      <c r="B153" s="7"/>
      <c r="C153" s="7"/>
      <c r="D153" s="7"/>
      <c r="E153" s="3" t="str">
        <f t="shared" si="2"/>
        <v/>
      </c>
    </row>
    <row r="154" spans="1:5" ht="14.25" customHeight="1" x14ac:dyDescent="0.3">
      <c r="A154" s="7"/>
      <c r="B154" s="7"/>
      <c r="C154" s="7"/>
      <c r="D154" s="7"/>
      <c r="E154" s="3" t="str">
        <f t="shared" si="2"/>
        <v/>
      </c>
    </row>
    <row r="155" spans="1:5" ht="14.25" customHeight="1" x14ac:dyDescent="0.3">
      <c r="A155" s="7"/>
      <c r="B155" s="7"/>
      <c r="C155" s="7"/>
      <c r="D155" s="7"/>
      <c r="E155" s="3" t="str">
        <f t="shared" si="2"/>
        <v/>
      </c>
    </row>
    <row r="156" spans="1:5" ht="14.25" customHeight="1" x14ac:dyDescent="0.3">
      <c r="A156" s="7"/>
      <c r="B156" s="7"/>
      <c r="C156" s="7"/>
      <c r="D156" s="7"/>
      <c r="E156" s="3" t="str">
        <f t="shared" si="2"/>
        <v/>
      </c>
    </row>
    <row r="157" spans="1:5" ht="14.25" customHeight="1" x14ac:dyDescent="0.3">
      <c r="A157" s="7"/>
      <c r="B157" s="7"/>
      <c r="C157" s="7"/>
      <c r="D157" s="7"/>
      <c r="E157" s="3" t="str">
        <f t="shared" si="2"/>
        <v/>
      </c>
    </row>
    <row r="158" spans="1:5" ht="14.25" customHeight="1" x14ac:dyDescent="0.3">
      <c r="A158" s="7"/>
      <c r="B158" s="7"/>
      <c r="C158" s="7"/>
      <c r="D158" s="7"/>
      <c r="E158" s="3" t="str">
        <f t="shared" si="2"/>
        <v/>
      </c>
    </row>
    <row r="159" spans="1:5" ht="14.25" customHeight="1" x14ac:dyDescent="0.3">
      <c r="A159" s="7"/>
      <c r="B159" s="7"/>
      <c r="C159" s="7"/>
      <c r="D159" s="7"/>
      <c r="E159" s="3" t="str">
        <f t="shared" si="2"/>
        <v/>
      </c>
    </row>
    <row r="160" spans="1:5" ht="14.25" customHeight="1" x14ac:dyDescent="0.3">
      <c r="A160" s="7"/>
      <c r="B160" s="7"/>
      <c r="C160" s="7"/>
      <c r="D160" s="7"/>
      <c r="E160" s="3" t="str">
        <f t="shared" si="2"/>
        <v/>
      </c>
    </row>
    <row r="161" spans="1:5" ht="14.25" customHeight="1" x14ac:dyDescent="0.3">
      <c r="A161" s="7"/>
      <c r="B161" s="7"/>
      <c r="C161" s="7"/>
      <c r="D161" s="7"/>
      <c r="E161" s="3" t="str">
        <f t="shared" si="2"/>
        <v/>
      </c>
    </row>
    <row r="162" spans="1:5" ht="14.25" customHeight="1" x14ac:dyDescent="0.3">
      <c r="A162" s="7"/>
      <c r="B162" s="7"/>
      <c r="C162" s="7"/>
      <c r="D162" s="7"/>
      <c r="E162" s="3" t="str">
        <f t="shared" si="2"/>
        <v/>
      </c>
    </row>
    <row r="163" spans="1:5" ht="14.25" customHeight="1" x14ac:dyDescent="0.3">
      <c r="A163" s="7"/>
      <c r="B163" s="7"/>
      <c r="C163" s="7"/>
      <c r="D163" s="7"/>
      <c r="E163" s="3" t="str">
        <f t="shared" si="2"/>
        <v/>
      </c>
    </row>
    <row r="164" spans="1:5" ht="14.25" customHeight="1" x14ac:dyDescent="0.3">
      <c r="A164" s="7"/>
      <c r="B164" s="7"/>
      <c r="C164" s="7"/>
      <c r="D164" s="7"/>
      <c r="E164" s="3" t="str">
        <f t="shared" si="2"/>
        <v/>
      </c>
    </row>
    <row r="165" spans="1:5" ht="14.25" customHeight="1" x14ac:dyDescent="0.3">
      <c r="A165" s="7"/>
      <c r="B165" s="7"/>
      <c r="C165" s="7"/>
      <c r="D165" s="7"/>
      <c r="E165" s="3" t="str">
        <f t="shared" si="2"/>
        <v/>
      </c>
    </row>
    <row r="166" spans="1:5" ht="14.25" customHeight="1" x14ac:dyDescent="0.3">
      <c r="A166" s="7"/>
      <c r="B166" s="7"/>
      <c r="C166" s="7"/>
      <c r="D166" s="7"/>
      <c r="E166" s="3" t="str">
        <f t="shared" si="2"/>
        <v/>
      </c>
    </row>
    <row r="167" spans="1:5" ht="14.25" customHeight="1" x14ac:dyDescent="0.3">
      <c r="A167" s="7"/>
      <c r="B167" s="7"/>
      <c r="C167" s="7"/>
      <c r="D167" s="7"/>
      <c r="E167" s="3" t="str">
        <f t="shared" si="2"/>
        <v/>
      </c>
    </row>
    <row r="168" spans="1:5" ht="14.25" customHeight="1" x14ac:dyDescent="0.3">
      <c r="A168" s="7"/>
      <c r="B168" s="7"/>
      <c r="C168" s="7"/>
      <c r="D168" s="7"/>
      <c r="E168" s="3" t="str">
        <f t="shared" si="2"/>
        <v/>
      </c>
    </row>
    <row r="169" spans="1:5" ht="14.25" customHeight="1" x14ac:dyDescent="0.3">
      <c r="A169" s="7"/>
      <c r="B169" s="7"/>
      <c r="C169" s="7"/>
      <c r="D169" s="7"/>
      <c r="E169" s="3" t="str">
        <f t="shared" si="2"/>
        <v/>
      </c>
    </row>
    <row r="170" spans="1:5" ht="14.25" customHeight="1" x14ac:dyDescent="0.3">
      <c r="A170" s="7"/>
      <c r="B170" s="7"/>
      <c r="C170" s="7"/>
      <c r="D170" s="7"/>
      <c r="E170" s="3" t="str">
        <f t="shared" si="2"/>
        <v/>
      </c>
    </row>
    <row r="171" spans="1:5" ht="14.25" customHeight="1" x14ac:dyDescent="0.3">
      <c r="A171" s="7"/>
      <c r="B171" s="7"/>
      <c r="C171" s="7"/>
      <c r="D171" s="7"/>
      <c r="E171" s="3" t="str">
        <f t="shared" si="2"/>
        <v/>
      </c>
    </row>
    <row r="172" spans="1:5" ht="14.25" customHeight="1" x14ac:dyDescent="0.3">
      <c r="A172" s="7"/>
      <c r="B172" s="7"/>
      <c r="C172" s="7"/>
      <c r="D172" s="7"/>
      <c r="E172" s="3" t="str">
        <f t="shared" si="2"/>
        <v/>
      </c>
    </row>
    <row r="173" spans="1:5" ht="14.25" customHeight="1" x14ac:dyDescent="0.3">
      <c r="A173" s="7"/>
      <c r="B173" s="7"/>
      <c r="C173" s="7"/>
      <c r="D173" s="7"/>
      <c r="E173" s="3" t="str">
        <f t="shared" si="2"/>
        <v/>
      </c>
    </row>
    <row r="174" spans="1:5" ht="14.25" customHeight="1" x14ac:dyDescent="0.3">
      <c r="A174" s="7"/>
      <c r="B174" s="7"/>
      <c r="C174" s="7"/>
      <c r="D174" s="7"/>
      <c r="E174" s="3" t="str">
        <f t="shared" si="2"/>
        <v/>
      </c>
    </row>
    <row r="175" spans="1:5" ht="14.25" customHeight="1" x14ac:dyDescent="0.3">
      <c r="A175" s="7"/>
      <c r="B175" s="7"/>
      <c r="C175" s="7"/>
      <c r="D175" s="7"/>
      <c r="E175" s="3" t="str">
        <f t="shared" si="2"/>
        <v/>
      </c>
    </row>
    <row r="176" spans="1:5" ht="14.25" customHeight="1" x14ac:dyDescent="0.3">
      <c r="A176" s="7"/>
      <c r="B176" s="7"/>
      <c r="C176" s="7"/>
      <c r="D176" s="7"/>
      <c r="E176" s="3" t="str">
        <f t="shared" si="2"/>
        <v/>
      </c>
    </row>
    <row r="177" spans="1:5" ht="14.25" customHeight="1" x14ac:dyDescent="0.3">
      <c r="A177" s="7"/>
      <c r="B177" s="7"/>
      <c r="C177" s="7"/>
      <c r="D177" s="7"/>
      <c r="E177" s="3" t="str">
        <f t="shared" si="2"/>
        <v/>
      </c>
    </row>
    <row r="178" spans="1:5" ht="14.25" customHeight="1" x14ac:dyDescent="0.3">
      <c r="A178" s="7"/>
      <c r="B178" s="7"/>
      <c r="C178" s="7"/>
      <c r="D178" s="7"/>
      <c r="E178" s="3" t="str">
        <f t="shared" si="2"/>
        <v/>
      </c>
    </row>
    <row r="179" spans="1:5" ht="14.25" customHeight="1" x14ac:dyDescent="0.3">
      <c r="A179" s="7"/>
      <c r="B179" s="7"/>
      <c r="C179" s="7"/>
      <c r="D179" s="7"/>
      <c r="E179" s="3" t="str">
        <f t="shared" si="2"/>
        <v/>
      </c>
    </row>
    <row r="180" spans="1:5" ht="14.25" customHeight="1" x14ac:dyDescent="0.3">
      <c r="A180" s="7"/>
      <c r="B180" s="7"/>
      <c r="C180" s="7"/>
      <c r="D180" s="7"/>
      <c r="E180" s="3" t="str">
        <f t="shared" si="2"/>
        <v/>
      </c>
    </row>
    <row r="181" spans="1:5" ht="14.25" customHeight="1" x14ac:dyDescent="0.3">
      <c r="A181" s="7"/>
      <c r="B181" s="7"/>
      <c r="C181" s="7"/>
      <c r="D181" s="7"/>
      <c r="E181" s="3" t="str">
        <f t="shared" si="2"/>
        <v/>
      </c>
    </row>
    <row r="182" spans="1:5" ht="14.25" customHeight="1" x14ac:dyDescent="0.3">
      <c r="A182" s="7"/>
      <c r="B182" s="7"/>
      <c r="C182" s="7"/>
      <c r="D182" s="7"/>
      <c r="E182" s="3" t="str">
        <f t="shared" si="2"/>
        <v/>
      </c>
    </row>
    <row r="183" spans="1:5" ht="14.25" customHeight="1" x14ac:dyDescent="0.3">
      <c r="A183" s="7"/>
      <c r="B183" s="7"/>
      <c r="C183" s="7"/>
      <c r="D183" s="7"/>
      <c r="E183" s="3" t="str">
        <f t="shared" si="2"/>
        <v/>
      </c>
    </row>
    <row r="184" spans="1:5" ht="14.25" customHeight="1" x14ac:dyDescent="0.3">
      <c r="A184" s="7"/>
      <c r="B184" s="7"/>
      <c r="C184" s="7"/>
      <c r="D184" s="7"/>
      <c r="E184" s="3" t="str">
        <f t="shared" si="2"/>
        <v/>
      </c>
    </row>
    <row r="185" spans="1:5" ht="14.25" customHeight="1" x14ac:dyDescent="0.3">
      <c r="A185" s="7"/>
      <c r="B185" s="7"/>
      <c r="C185" s="7"/>
      <c r="D185" s="7"/>
      <c r="E185" s="3" t="str">
        <f t="shared" si="2"/>
        <v/>
      </c>
    </row>
    <row r="186" spans="1:5" ht="14.25" customHeight="1" x14ac:dyDescent="0.3">
      <c r="A186" s="7"/>
      <c r="B186" s="7"/>
      <c r="C186" s="7"/>
      <c r="D186" s="7"/>
      <c r="E186" s="3" t="str">
        <f t="shared" si="2"/>
        <v/>
      </c>
    </row>
    <row r="187" spans="1:5" ht="14.25" customHeight="1" x14ac:dyDescent="0.3">
      <c r="A187" s="7"/>
      <c r="B187" s="7"/>
      <c r="C187" s="7"/>
      <c r="D187" s="7"/>
      <c r="E187" s="3" t="str">
        <f t="shared" si="2"/>
        <v/>
      </c>
    </row>
    <row r="188" spans="1:5" ht="14.25" customHeight="1" x14ac:dyDescent="0.3">
      <c r="A188" s="7"/>
      <c r="B188" s="7"/>
      <c r="C188" s="7"/>
      <c r="D188" s="7"/>
      <c r="E188" s="3" t="str">
        <f t="shared" si="2"/>
        <v/>
      </c>
    </row>
    <row r="189" spans="1:5" ht="14.25" customHeight="1" x14ac:dyDescent="0.3">
      <c r="A189" s="7"/>
      <c r="B189" s="7"/>
      <c r="C189" s="7"/>
      <c r="D189" s="7"/>
      <c r="E189" s="3" t="str">
        <f t="shared" si="2"/>
        <v/>
      </c>
    </row>
    <row r="190" spans="1:5" ht="14.25" customHeight="1" x14ac:dyDescent="0.3">
      <c r="A190" s="7"/>
      <c r="B190" s="7"/>
      <c r="C190" s="7"/>
      <c r="D190" s="7"/>
      <c r="E190" s="3" t="str">
        <f t="shared" si="2"/>
        <v/>
      </c>
    </row>
    <row r="191" spans="1:5" ht="14.25" customHeight="1" x14ac:dyDescent="0.3">
      <c r="A191" s="7"/>
      <c r="B191" s="7"/>
      <c r="C191" s="7"/>
      <c r="D191" s="7"/>
      <c r="E191" s="3" t="str">
        <f t="shared" si="2"/>
        <v/>
      </c>
    </row>
    <row r="192" spans="1:5" ht="14.25" customHeight="1" x14ac:dyDescent="0.3">
      <c r="A192" s="7"/>
      <c r="B192" s="7"/>
      <c r="C192" s="7"/>
      <c r="D192" s="7"/>
      <c r="E192" s="3" t="str">
        <f t="shared" si="2"/>
        <v/>
      </c>
    </row>
    <row r="193" spans="1:5" ht="14.25" customHeight="1" x14ac:dyDescent="0.3">
      <c r="A193" s="7"/>
      <c r="B193" s="7"/>
      <c r="C193" s="7"/>
      <c r="D193" s="7"/>
      <c r="E193" s="3" t="str">
        <f t="shared" si="2"/>
        <v/>
      </c>
    </row>
    <row r="194" spans="1:5" ht="14.25" customHeight="1" x14ac:dyDescent="0.3">
      <c r="A194" s="7"/>
      <c r="B194" s="7"/>
      <c r="C194" s="7"/>
      <c r="D194" s="7"/>
      <c r="E194" s="3" t="str">
        <f t="shared" ref="E194:E257" si="3">IF(COUNTA(A194:D194)=0,"",IF(OR(C194="",D194="",C194&gt;=D194),"INVALID TIME RANGE",IF(SUMPRODUCT(($A$2:$A$500=A194)*($B$2:$B$500=B194)*($C$2:$C$500&lt;D194)*($D$2:$D$500&gt;C194))&gt;1,"OVERLAPPING UNAVAILABILITY","OK")))</f>
        <v/>
      </c>
    </row>
    <row r="195" spans="1:5" ht="14.25" customHeight="1" x14ac:dyDescent="0.3">
      <c r="A195" s="7"/>
      <c r="B195" s="7"/>
      <c r="C195" s="7"/>
      <c r="D195" s="7"/>
      <c r="E195" s="3" t="str">
        <f t="shared" si="3"/>
        <v/>
      </c>
    </row>
    <row r="196" spans="1:5" ht="14.25" customHeight="1" x14ac:dyDescent="0.3">
      <c r="A196" s="7"/>
      <c r="B196" s="7"/>
      <c r="C196" s="7"/>
      <c r="D196" s="7"/>
      <c r="E196" s="3" t="str">
        <f t="shared" si="3"/>
        <v/>
      </c>
    </row>
    <row r="197" spans="1:5" ht="14.25" customHeight="1" x14ac:dyDescent="0.3">
      <c r="A197" s="7"/>
      <c r="B197" s="7"/>
      <c r="C197" s="7"/>
      <c r="D197" s="7"/>
      <c r="E197" s="3" t="str">
        <f t="shared" si="3"/>
        <v/>
      </c>
    </row>
    <row r="198" spans="1:5" ht="14.25" customHeight="1" x14ac:dyDescent="0.3">
      <c r="A198" s="7"/>
      <c r="B198" s="7"/>
      <c r="C198" s="7"/>
      <c r="D198" s="7"/>
      <c r="E198" s="3" t="str">
        <f t="shared" si="3"/>
        <v/>
      </c>
    </row>
    <row r="199" spans="1:5" ht="14.25" customHeight="1" x14ac:dyDescent="0.3">
      <c r="A199" s="7"/>
      <c r="B199" s="7"/>
      <c r="C199" s="7"/>
      <c r="D199" s="7"/>
      <c r="E199" s="3" t="str">
        <f t="shared" si="3"/>
        <v/>
      </c>
    </row>
    <row r="200" spans="1:5" ht="14.25" customHeight="1" x14ac:dyDescent="0.3">
      <c r="A200" s="7"/>
      <c r="B200" s="7"/>
      <c r="C200" s="7"/>
      <c r="D200" s="7"/>
      <c r="E200" s="3" t="str">
        <f t="shared" si="3"/>
        <v/>
      </c>
    </row>
    <row r="201" spans="1:5" ht="14.25" customHeight="1" x14ac:dyDescent="0.3">
      <c r="A201" s="7"/>
      <c r="B201" s="7"/>
      <c r="C201" s="7"/>
      <c r="D201" s="7"/>
      <c r="E201" s="3" t="str">
        <f t="shared" si="3"/>
        <v/>
      </c>
    </row>
    <row r="202" spans="1:5" ht="14.25" customHeight="1" x14ac:dyDescent="0.3">
      <c r="A202" s="7"/>
      <c r="B202" s="7"/>
      <c r="C202" s="7"/>
      <c r="D202" s="7"/>
      <c r="E202" s="3" t="str">
        <f t="shared" si="3"/>
        <v/>
      </c>
    </row>
    <row r="203" spans="1:5" ht="14.25" customHeight="1" x14ac:dyDescent="0.3">
      <c r="A203" s="7"/>
      <c r="B203" s="7"/>
      <c r="C203" s="7"/>
      <c r="D203" s="7"/>
      <c r="E203" s="3" t="str">
        <f t="shared" si="3"/>
        <v/>
      </c>
    </row>
    <row r="204" spans="1:5" ht="14.25" customHeight="1" x14ac:dyDescent="0.3">
      <c r="A204" s="7"/>
      <c r="B204" s="7"/>
      <c r="C204" s="7"/>
      <c r="D204" s="7"/>
      <c r="E204" s="3" t="str">
        <f t="shared" si="3"/>
        <v/>
      </c>
    </row>
    <row r="205" spans="1:5" ht="14.25" customHeight="1" x14ac:dyDescent="0.3">
      <c r="A205" s="7"/>
      <c r="B205" s="7"/>
      <c r="C205" s="7"/>
      <c r="D205" s="7"/>
      <c r="E205" s="3" t="str">
        <f t="shared" si="3"/>
        <v/>
      </c>
    </row>
    <row r="206" spans="1:5" ht="14.25" customHeight="1" x14ac:dyDescent="0.3">
      <c r="A206" s="7"/>
      <c r="B206" s="7"/>
      <c r="C206" s="7"/>
      <c r="D206" s="7"/>
      <c r="E206" s="3" t="str">
        <f t="shared" si="3"/>
        <v/>
      </c>
    </row>
    <row r="207" spans="1:5" ht="14.25" customHeight="1" x14ac:dyDescent="0.3">
      <c r="A207" s="7"/>
      <c r="B207" s="7"/>
      <c r="C207" s="7"/>
      <c r="D207" s="7"/>
      <c r="E207" s="3" t="str">
        <f t="shared" si="3"/>
        <v/>
      </c>
    </row>
    <row r="208" spans="1:5" ht="14.25" customHeight="1" x14ac:dyDescent="0.3">
      <c r="A208" s="7"/>
      <c r="B208" s="7"/>
      <c r="C208" s="7"/>
      <c r="D208" s="7"/>
      <c r="E208" s="3" t="str">
        <f t="shared" si="3"/>
        <v/>
      </c>
    </row>
    <row r="209" spans="1:5" ht="14.25" customHeight="1" x14ac:dyDescent="0.3">
      <c r="A209" s="7"/>
      <c r="B209" s="7"/>
      <c r="C209" s="7"/>
      <c r="D209" s="7"/>
      <c r="E209" s="3" t="str">
        <f t="shared" si="3"/>
        <v/>
      </c>
    </row>
    <row r="210" spans="1:5" ht="14.25" customHeight="1" x14ac:dyDescent="0.3">
      <c r="A210" s="7"/>
      <c r="B210" s="7"/>
      <c r="C210" s="7"/>
      <c r="D210" s="7"/>
      <c r="E210" s="3" t="str">
        <f t="shared" si="3"/>
        <v/>
      </c>
    </row>
    <row r="211" spans="1:5" ht="14.25" customHeight="1" x14ac:dyDescent="0.3">
      <c r="A211" s="7"/>
      <c r="B211" s="7"/>
      <c r="C211" s="7"/>
      <c r="D211" s="7"/>
      <c r="E211" s="3" t="str">
        <f t="shared" si="3"/>
        <v/>
      </c>
    </row>
    <row r="212" spans="1:5" ht="14.25" customHeight="1" x14ac:dyDescent="0.3">
      <c r="A212" s="7"/>
      <c r="B212" s="7"/>
      <c r="C212" s="7"/>
      <c r="D212" s="7"/>
      <c r="E212" s="3" t="str">
        <f t="shared" si="3"/>
        <v/>
      </c>
    </row>
    <row r="213" spans="1:5" ht="14.25" customHeight="1" x14ac:dyDescent="0.3">
      <c r="A213" s="7"/>
      <c r="B213" s="7"/>
      <c r="C213" s="7"/>
      <c r="D213" s="7"/>
      <c r="E213" s="3" t="str">
        <f t="shared" si="3"/>
        <v/>
      </c>
    </row>
    <row r="214" spans="1:5" ht="14.25" customHeight="1" x14ac:dyDescent="0.3">
      <c r="A214" s="7"/>
      <c r="B214" s="7"/>
      <c r="C214" s="7"/>
      <c r="D214" s="7"/>
      <c r="E214" s="3" t="str">
        <f t="shared" si="3"/>
        <v/>
      </c>
    </row>
    <row r="215" spans="1:5" ht="14.25" customHeight="1" x14ac:dyDescent="0.3">
      <c r="A215" s="7"/>
      <c r="B215" s="7"/>
      <c r="C215" s="7"/>
      <c r="D215" s="7"/>
      <c r="E215" s="3" t="str">
        <f t="shared" si="3"/>
        <v/>
      </c>
    </row>
    <row r="216" spans="1:5" ht="14.25" customHeight="1" x14ac:dyDescent="0.3">
      <c r="A216" s="7"/>
      <c r="B216" s="7"/>
      <c r="C216" s="7"/>
      <c r="D216" s="7"/>
      <c r="E216" s="3" t="str">
        <f t="shared" si="3"/>
        <v/>
      </c>
    </row>
    <row r="217" spans="1:5" ht="14.25" customHeight="1" x14ac:dyDescent="0.3">
      <c r="A217" s="7"/>
      <c r="B217" s="7"/>
      <c r="C217" s="7"/>
      <c r="D217" s="7"/>
      <c r="E217" s="3" t="str">
        <f t="shared" si="3"/>
        <v/>
      </c>
    </row>
    <row r="218" spans="1:5" ht="14.25" customHeight="1" x14ac:dyDescent="0.3">
      <c r="A218" s="7"/>
      <c r="B218" s="7"/>
      <c r="C218" s="7"/>
      <c r="D218" s="7"/>
      <c r="E218" s="3" t="str">
        <f t="shared" si="3"/>
        <v/>
      </c>
    </row>
    <row r="219" spans="1:5" ht="14.25" customHeight="1" x14ac:dyDescent="0.3">
      <c r="A219" s="7"/>
      <c r="B219" s="7"/>
      <c r="C219" s="7"/>
      <c r="D219" s="7"/>
      <c r="E219" s="3" t="str">
        <f t="shared" si="3"/>
        <v/>
      </c>
    </row>
    <row r="220" spans="1:5" ht="14.25" customHeight="1" x14ac:dyDescent="0.3">
      <c r="A220" s="7"/>
      <c r="B220" s="7"/>
      <c r="C220" s="7"/>
      <c r="D220" s="7"/>
      <c r="E220" s="3" t="str">
        <f t="shared" si="3"/>
        <v/>
      </c>
    </row>
    <row r="221" spans="1:5" ht="14.25" customHeight="1" x14ac:dyDescent="0.3">
      <c r="A221" s="7"/>
      <c r="B221" s="7"/>
      <c r="C221" s="7"/>
      <c r="D221" s="7"/>
      <c r="E221" s="3" t="str">
        <f t="shared" si="3"/>
        <v/>
      </c>
    </row>
    <row r="222" spans="1:5" ht="14.25" customHeight="1" x14ac:dyDescent="0.3">
      <c r="A222" s="7"/>
      <c r="B222" s="7"/>
      <c r="C222" s="7"/>
      <c r="D222" s="7"/>
      <c r="E222" s="3" t="str">
        <f t="shared" si="3"/>
        <v/>
      </c>
    </row>
    <row r="223" spans="1:5" ht="14.25" customHeight="1" x14ac:dyDescent="0.3">
      <c r="A223" s="7"/>
      <c r="B223" s="7"/>
      <c r="C223" s="7"/>
      <c r="D223" s="7"/>
      <c r="E223" s="3" t="str">
        <f t="shared" si="3"/>
        <v/>
      </c>
    </row>
    <row r="224" spans="1:5" ht="14.25" customHeight="1" x14ac:dyDescent="0.3">
      <c r="A224" s="7"/>
      <c r="B224" s="7"/>
      <c r="C224" s="7"/>
      <c r="D224" s="7"/>
      <c r="E224" s="3" t="str">
        <f t="shared" si="3"/>
        <v/>
      </c>
    </row>
    <row r="225" spans="1:5" ht="14.25" customHeight="1" x14ac:dyDescent="0.3">
      <c r="A225" s="7"/>
      <c r="B225" s="7"/>
      <c r="C225" s="7"/>
      <c r="D225" s="7"/>
      <c r="E225" s="3" t="str">
        <f t="shared" si="3"/>
        <v/>
      </c>
    </row>
    <row r="226" spans="1:5" ht="14.25" customHeight="1" x14ac:dyDescent="0.3">
      <c r="A226" s="7"/>
      <c r="B226" s="7"/>
      <c r="C226" s="7"/>
      <c r="D226" s="7"/>
      <c r="E226" s="3" t="str">
        <f t="shared" si="3"/>
        <v/>
      </c>
    </row>
    <row r="227" spans="1:5" ht="14.25" customHeight="1" x14ac:dyDescent="0.3">
      <c r="A227" s="7"/>
      <c r="B227" s="7"/>
      <c r="C227" s="7"/>
      <c r="D227" s="7"/>
      <c r="E227" s="3" t="str">
        <f t="shared" si="3"/>
        <v/>
      </c>
    </row>
    <row r="228" spans="1:5" ht="14.25" customHeight="1" x14ac:dyDescent="0.3">
      <c r="A228" s="7"/>
      <c r="B228" s="7"/>
      <c r="C228" s="7"/>
      <c r="D228" s="7"/>
      <c r="E228" s="3" t="str">
        <f t="shared" si="3"/>
        <v/>
      </c>
    </row>
    <row r="229" spans="1:5" ht="14.25" customHeight="1" x14ac:dyDescent="0.3">
      <c r="A229" s="7"/>
      <c r="B229" s="7"/>
      <c r="C229" s="7"/>
      <c r="D229" s="7"/>
      <c r="E229" s="3" t="str">
        <f t="shared" si="3"/>
        <v/>
      </c>
    </row>
    <row r="230" spans="1:5" ht="14.25" customHeight="1" x14ac:dyDescent="0.3">
      <c r="A230" s="7"/>
      <c r="B230" s="7"/>
      <c r="C230" s="7"/>
      <c r="D230" s="7"/>
      <c r="E230" s="3" t="str">
        <f t="shared" si="3"/>
        <v/>
      </c>
    </row>
    <row r="231" spans="1:5" ht="14.25" customHeight="1" x14ac:dyDescent="0.3">
      <c r="A231" s="7"/>
      <c r="B231" s="7"/>
      <c r="C231" s="7"/>
      <c r="D231" s="7"/>
      <c r="E231" s="3" t="str">
        <f t="shared" si="3"/>
        <v/>
      </c>
    </row>
    <row r="232" spans="1:5" ht="14.25" customHeight="1" x14ac:dyDescent="0.3">
      <c r="A232" s="7"/>
      <c r="B232" s="7"/>
      <c r="C232" s="7"/>
      <c r="D232" s="7"/>
      <c r="E232" s="3" t="str">
        <f t="shared" si="3"/>
        <v/>
      </c>
    </row>
    <row r="233" spans="1:5" ht="14.25" customHeight="1" x14ac:dyDescent="0.3">
      <c r="A233" s="7"/>
      <c r="B233" s="7"/>
      <c r="C233" s="7"/>
      <c r="D233" s="7"/>
      <c r="E233" s="3" t="str">
        <f t="shared" si="3"/>
        <v/>
      </c>
    </row>
    <row r="234" spans="1:5" ht="14.25" customHeight="1" x14ac:dyDescent="0.3">
      <c r="A234" s="7"/>
      <c r="B234" s="7"/>
      <c r="C234" s="7"/>
      <c r="D234" s="7"/>
      <c r="E234" s="3" t="str">
        <f t="shared" si="3"/>
        <v/>
      </c>
    </row>
    <row r="235" spans="1:5" ht="14.25" customHeight="1" x14ac:dyDescent="0.3">
      <c r="A235" s="7"/>
      <c r="B235" s="7"/>
      <c r="C235" s="7"/>
      <c r="D235" s="7"/>
      <c r="E235" s="3" t="str">
        <f t="shared" si="3"/>
        <v/>
      </c>
    </row>
    <row r="236" spans="1:5" ht="14.25" customHeight="1" x14ac:dyDescent="0.3">
      <c r="A236" s="7"/>
      <c r="B236" s="7"/>
      <c r="C236" s="7"/>
      <c r="D236" s="7"/>
      <c r="E236" s="3" t="str">
        <f t="shared" si="3"/>
        <v/>
      </c>
    </row>
    <row r="237" spans="1:5" ht="14.25" customHeight="1" x14ac:dyDescent="0.3">
      <c r="A237" s="7"/>
      <c r="B237" s="7"/>
      <c r="C237" s="7"/>
      <c r="D237" s="7"/>
      <c r="E237" s="3" t="str">
        <f t="shared" si="3"/>
        <v/>
      </c>
    </row>
    <row r="238" spans="1:5" ht="14.25" customHeight="1" x14ac:dyDescent="0.3">
      <c r="A238" s="7"/>
      <c r="B238" s="7"/>
      <c r="C238" s="7"/>
      <c r="D238" s="7"/>
      <c r="E238" s="3" t="str">
        <f t="shared" si="3"/>
        <v/>
      </c>
    </row>
    <row r="239" spans="1:5" ht="14.25" customHeight="1" x14ac:dyDescent="0.3">
      <c r="A239" s="7"/>
      <c r="B239" s="7"/>
      <c r="C239" s="7"/>
      <c r="D239" s="7"/>
      <c r="E239" s="3" t="str">
        <f t="shared" si="3"/>
        <v/>
      </c>
    </row>
    <row r="240" spans="1:5" ht="14.25" customHeight="1" x14ac:dyDescent="0.3">
      <c r="A240" s="7"/>
      <c r="B240" s="7"/>
      <c r="C240" s="7"/>
      <c r="D240" s="7"/>
      <c r="E240" s="3" t="str">
        <f t="shared" si="3"/>
        <v/>
      </c>
    </row>
    <row r="241" spans="1:5" ht="14.25" customHeight="1" x14ac:dyDescent="0.3">
      <c r="A241" s="7"/>
      <c r="B241" s="7"/>
      <c r="C241" s="7"/>
      <c r="D241" s="7"/>
      <c r="E241" s="3" t="str">
        <f t="shared" si="3"/>
        <v/>
      </c>
    </row>
    <row r="242" spans="1:5" ht="14.25" customHeight="1" x14ac:dyDescent="0.3">
      <c r="A242" s="7"/>
      <c r="B242" s="7"/>
      <c r="C242" s="7"/>
      <c r="D242" s="7"/>
      <c r="E242" s="3" t="str">
        <f t="shared" si="3"/>
        <v/>
      </c>
    </row>
    <row r="243" spans="1:5" ht="14.25" customHeight="1" x14ac:dyDescent="0.3">
      <c r="A243" s="7"/>
      <c r="B243" s="7"/>
      <c r="C243" s="7"/>
      <c r="D243" s="7"/>
      <c r="E243" s="3" t="str">
        <f t="shared" si="3"/>
        <v/>
      </c>
    </row>
    <row r="244" spans="1:5" ht="14.25" customHeight="1" x14ac:dyDescent="0.3">
      <c r="A244" s="7"/>
      <c r="B244" s="7"/>
      <c r="C244" s="7"/>
      <c r="D244" s="7"/>
      <c r="E244" s="3" t="str">
        <f t="shared" si="3"/>
        <v/>
      </c>
    </row>
    <row r="245" spans="1:5" ht="14.25" customHeight="1" x14ac:dyDescent="0.3">
      <c r="A245" s="7"/>
      <c r="B245" s="7"/>
      <c r="C245" s="7"/>
      <c r="D245" s="7"/>
      <c r="E245" s="3" t="str">
        <f t="shared" si="3"/>
        <v/>
      </c>
    </row>
    <row r="246" spans="1:5" ht="14.25" customHeight="1" x14ac:dyDescent="0.3">
      <c r="A246" s="7"/>
      <c r="B246" s="7"/>
      <c r="C246" s="7"/>
      <c r="D246" s="7"/>
      <c r="E246" s="3" t="str">
        <f t="shared" si="3"/>
        <v/>
      </c>
    </row>
    <row r="247" spans="1:5" ht="14.25" customHeight="1" x14ac:dyDescent="0.3">
      <c r="A247" s="7"/>
      <c r="B247" s="7"/>
      <c r="C247" s="7"/>
      <c r="D247" s="7"/>
      <c r="E247" s="3" t="str">
        <f t="shared" si="3"/>
        <v/>
      </c>
    </row>
    <row r="248" spans="1:5" ht="14.25" customHeight="1" x14ac:dyDescent="0.3">
      <c r="A248" s="7"/>
      <c r="B248" s="7"/>
      <c r="C248" s="7"/>
      <c r="D248" s="7"/>
      <c r="E248" s="3" t="str">
        <f t="shared" si="3"/>
        <v/>
      </c>
    </row>
    <row r="249" spans="1:5" ht="14.25" customHeight="1" x14ac:dyDescent="0.3">
      <c r="A249" s="7"/>
      <c r="B249" s="7"/>
      <c r="C249" s="7"/>
      <c r="D249" s="7"/>
      <c r="E249" s="3" t="str">
        <f t="shared" si="3"/>
        <v/>
      </c>
    </row>
    <row r="250" spans="1:5" ht="14.25" customHeight="1" x14ac:dyDescent="0.3">
      <c r="A250" s="7"/>
      <c r="B250" s="7"/>
      <c r="C250" s="7"/>
      <c r="D250" s="7"/>
      <c r="E250" s="3" t="str">
        <f t="shared" si="3"/>
        <v/>
      </c>
    </row>
    <row r="251" spans="1:5" ht="14.25" customHeight="1" x14ac:dyDescent="0.3">
      <c r="A251" s="7"/>
      <c r="B251" s="7"/>
      <c r="C251" s="7"/>
      <c r="D251" s="7"/>
      <c r="E251" s="3" t="str">
        <f t="shared" si="3"/>
        <v/>
      </c>
    </row>
    <row r="252" spans="1:5" ht="14.25" customHeight="1" x14ac:dyDescent="0.3">
      <c r="A252" s="7"/>
      <c r="B252" s="7"/>
      <c r="C252" s="7"/>
      <c r="D252" s="7"/>
      <c r="E252" s="3" t="str">
        <f t="shared" si="3"/>
        <v/>
      </c>
    </row>
    <row r="253" spans="1:5" ht="14.25" customHeight="1" x14ac:dyDescent="0.3">
      <c r="A253" s="7"/>
      <c r="B253" s="7"/>
      <c r="C253" s="7"/>
      <c r="D253" s="7"/>
      <c r="E253" s="3" t="str">
        <f t="shared" si="3"/>
        <v/>
      </c>
    </row>
    <row r="254" spans="1:5" ht="14.25" customHeight="1" x14ac:dyDescent="0.3">
      <c r="A254" s="7"/>
      <c r="B254" s="7"/>
      <c r="C254" s="7"/>
      <c r="D254" s="7"/>
      <c r="E254" s="3" t="str">
        <f t="shared" si="3"/>
        <v/>
      </c>
    </row>
    <row r="255" spans="1:5" ht="14.25" customHeight="1" x14ac:dyDescent="0.3">
      <c r="A255" s="7"/>
      <c r="B255" s="7"/>
      <c r="C255" s="7"/>
      <c r="D255" s="7"/>
      <c r="E255" s="3" t="str">
        <f t="shared" si="3"/>
        <v/>
      </c>
    </row>
    <row r="256" spans="1:5" ht="14.25" customHeight="1" x14ac:dyDescent="0.3">
      <c r="A256" s="7"/>
      <c r="B256" s="7"/>
      <c r="C256" s="7"/>
      <c r="D256" s="7"/>
      <c r="E256" s="3" t="str">
        <f t="shared" si="3"/>
        <v/>
      </c>
    </row>
    <row r="257" spans="1:5" ht="14.25" customHeight="1" x14ac:dyDescent="0.3">
      <c r="A257" s="7"/>
      <c r="B257" s="7"/>
      <c r="C257" s="7"/>
      <c r="D257" s="7"/>
      <c r="E257" s="3" t="str">
        <f t="shared" si="3"/>
        <v/>
      </c>
    </row>
    <row r="258" spans="1:5" ht="14.25" customHeight="1" x14ac:dyDescent="0.3">
      <c r="A258" s="7"/>
      <c r="B258" s="7"/>
      <c r="C258" s="7"/>
      <c r="D258" s="7"/>
      <c r="E258" s="3" t="str">
        <f t="shared" ref="E258:E321" si="4">IF(COUNTA(A258:D258)=0,"",IF(OR(C258="",D258="",C258&gt;=D258),"INVALID TIME RANGE",IF(SUMPRODUCT(($A$2:$A$500=A258)*($B$2:$B$500=B258)*($C$2:$C$500&lt;D258)*($D$2:$D$500&gt;C258))&gt;1,"OVERLAPPING UNAVAILABILITY","OK")))</f>
        <v/>
      </c>
    </row>
    <row r="259" spans="1:5" ht="14.25" customHeight="1" x14ac:dyDescent="0.3">
      <c r="A259" s="7"/>
      <c r="B259" s="7"/>
      <c r="C259" s="7"/>
      <c r="D259" s="7"/>
      <c r="E259" s="3" t="str">
        <f t="shared" si="4"/>
        <v/>
      </c>
    </row>
    <row r="260" spans="1:5" ht="14.25" customHeight="1" x14ac:dyDescent="0.3">
      <c r="A260" s="7"/>
      <c r="B260" s="7"/>
      <c r="C260" s="7"/>
      <c r="D260" s="7"/>
      <c r="E260" s="3" t="str">
        <f t="shared" si="4"/>
        <v/>
      </c>
    </row>
    <row r="261" spans="1:5" ht="14.25" customHeight="1" x14ac:dyDescent="0.3">
      <c r="A261" s="7"/>
      <c r="B261" s="7"/>
      <c r="C261" s="7"/>
      <c r="D261" s="7"/>
      <c r="E261" s="3" t="str">
        <f t="shared" si="4"/>
        <v/>
      </c>
    </row>
    <row r="262" spans="1:5" ht="14.25" customHeight="1" x14ac:dyDescent="0.3">
      <c r="A262" s="7"/>
      <c r="B262" s="7"/>
      <c r="C262" s="7"/>
      <c r="D262" s="7"/>
      <c r="E262" s="3" t="str">
        <f t="shared" si="4"/>
        <v/>
      </c>
    </row>
    <row r="263" spans="1:5" ht="14.25" customHeight="1" x14ac:dyDescent="0.3">
      <c r="A263" s="7"/>
      <c r="B263" s="7"/>
      <c r="C263" s="7"/>
      <c r="D263" s="7"/>
      <c r="E263" s="3" t="str">
        <f t="shared" si="4"/>
        <v/>
      </c>
    </row>
    <row r="264" spans="1:5" ht="14.25" customHeight="1" x14ac:dyDescent="0.3">
      <c r="A264" s="7"/>
      <c r="B264" s="7"/>
      <c r="C264" s="7"/>
      <c r="D264" s="7"/>
      <c r="E264" s="3" t="str">
        <f t="shared" si="4"/>
        <v/>
      </c>
    </row>
    <row r="265" spans="1:5" ht="14.25" customHeight="1" x14ac:dyDescent="0.3">
      <c r="A265" s="7"/>
      <c r="B265" s="7"/>
      <c r="C265" s="7"/>
      <c r="D265" s="7"/>
      <c r="E265" s="3" t="str">
        <f t="shared" si="4"/>
        <v/>
      </c>
    </row>
    <row r="266" spans="1:5" ht="14.25" customHeight="1" x14ac:dyDescent="0.3">
      <c r="A266" s="7"/>
      <c r="B266" s="7"/>
      <c r="C266" s="7"/>
      <c r="D266" s="7"/>
      <c r="E266" s="3" t="str">
        <f t="shared" si="4"/>
        <v/>
      </c>
    </row>
    <row r="267" spans="1:5" ht="14.25" customHeight="1" x14ac:dyDescent="0.3">
      <c r="A267" s="7"/>
      <c r="B267" s="7"/>
      <c r="C267" s="7"/>
      <c r="D267" s="7"/>
      <c r="E267" s="3" t="str">
        <f t="shared" si="4"/>
        <v/>
      </c>
    </row>
    <row r="268" spans="1:5" ht="14.25" customHeight="1" x14ac:dyDescent="0.3">
      <c r="A268" s="7"/>
      <c r="B268" s="7"/>
      <c r="C268" s="7"/>
      <c r="D268" s="7"/>
      <c r="E268" s="3" t="str">
        <f t="shared" si="4"/>
        <v/>
      </c>
    </row>
    <row r="269" spans="1:5" ht="14.25" customHeight="1" x14ac:dyDescent="0.3">
      <c r="A269" s="7"/>
      <c r="B269" s="7"/>
      <c r="C269" s="7"/>
      <c r="D269" s="7"/>
      <c r="E269" s="3" t="str">
        <f t="shared" si="4"/>
        <v/>
      </c>
    </row>
    <row r="270" spans="1:5" ht="14.25" customHeight="1" x14ac:dyDescent="0.3">
      <c r="A270" s="7"/>
      <c r="B270" s="7"/>
      <c r="C270" s="7"/>
      <c r="D270" s="7"/>
      <c r="E270" s="3" t="str">
        <f t="shared" si="4"/>
        <v/>
      </c>
    </row>
    <row r="271" spans="1:5" ht="14.25" customHeight="1" x14ac:dyDescent="0.3">
      <c r="A271" s="7"/>
      <c r="B271" s="7"/>
      <c r="C271" s="7"/>
      <c r="D271" s="7"/>
      <c r="E271" s="3" t="str">
        <f t="shared" si="4"/>
        <v/>
      </c>
    </row>
    <row r="272" spans="1:5" ht="14.25" customHeight="1" x14ac:dyDescent="0.3">
      <c r="A272" s="7"/>
      <c r="B272" s="7"/>
      <c r="C272" s="7"/>
      <c r="D272" s="7"/>
      <c r="E272" s="3" t="str">
        <f t="shared" si="4"/>
        <v/>
      </c>
    </row>
    <row r="273" spans="1:5" ht="14.25" customHeight="1" x14ac:dyDescent="0.3">
      <c r="A273" s="7"/>
      <c r="B273" s="7"/>
      <c r="C273" s="7"/>
      <c r="D273" s="7"/>
      <c r="E273" s="3" t="str">
        <f t="shared" si="4"/>
        <v/>
      </c>
    </row>
    <row r="274" spans="1:5" ht="14.25" customHeight="1" x14ac:dyDescent="0.3">
      <c r="A274" s="7"/>
      <c r="B274" s="7"/>
      <c r="C274" s="7"/>
      <c r="D274" s="7"/>
      <c r="E274" s="3" t="str">
        <f t="shared" si="4"/>
        <v/>
      </c>
    </row>
    <row r="275" spans="1:5" ht="14.25" customHeight="1" x14ac:dyDescent="0.3">
      <c r="A275" s="7"/>
      <c r="B275" s="7"/>
      <c r="C275" s="7"/>
      <c r="D275" s="7"/>
      <c r="E275" s="3" t="str">
        <f t="shared" si="4"/>
        <v/>
      </c>
    </row>
    <row r="276" spans="1:5" ht="14.25" customHeight="1" x14ac:dyDescent="0.3">
      <c r="A276" s="7"/>
      <c r="B276" s="7"/>
      <c r="C276" s="7"/>
      <c r="D276" s="7"/>
      <c r="E276" s="3" t="str">
        <f t="shared" si="4"/>
        <v/>
      </c>
    </row>
    <row r="277" spans="1:5" ht="14.25" customHeight="1" x14ac:dyDescent="0.3">
      <c r="A277" s="7"/>
      <c r="B277" s="7"/>
      <c r="C277" s="7"/>
      <c r="D277" s="7"/>
      <c r="E277" s="3" t="str">
        <f t="shared" si="4"/>
        <v/>
      </c>
    </row>
    <row r="278" spans="1:5" ht="14.25" customHeight="1" x14ac:dyDescent="0.3">
      <c r="A278" s="7"/>
      <c r="B278" s="7"/>
      <c r="C278" s="7"/>
      <c r="D278" s="7"/>
      <c r="E278" s="3" t="str">
        <f t="shared" si="4"/>
        <v/>
      </c>
    </row>
    <row r="279" spans="1:5" ht="14.25" customHeight="1" x14ac:dyDescent="0.3">
      <c r="A279" s="7"/>
      <c r="B279" s="7"/>
      <c r="C279" s="7"/>
      <c r="D279" s="7"/>
      <c r="E279" s="3" t="str">
        <f t="shared" si="4"/>
        <v/>
      </c>
    </row>
    <row r="280" spans="1:5" ht="14.25" customHeight="1" x14ac:dyDescent="0.3">
      <c r="A280" s="7"/>
      <c r="B280" s="7"/>
      <c r="C280" s="7"/>
      <c r="D280" s="7"/>
      <c r="E280" s="3" t="str">
        <f t="shared" si="4"/>
        <v/>
      </c>
    </row>
    <row r="281" spans="1:5" ht="14.25" customHeight="1" x14ac:dyDescent="0.3">
      <c r="A281" s="7"/>
      <c r="B281" s="7"/>
      <c r="C281" s="7"/>
      <c r="D281" s="7"/>
      <c r="E281" s="3" t="str">
        <f t="shared" si="4"/>
        <v/>
      </c>
    </row>
    <row r="282" spans="1:5" ht="14.25" customHeight="1" x14ac:dyDescent="0.3">
      <c r="A282" s="7"/>
      <c r="B282" s="7"/>
      <c r="C282" s="7"/>
      <c r="D282" s="7"/>
      <c r="E282" s="3" t="str">
        <f t="shared" si="4"/>
        <v/>
      </c>
    </row>
    <row r="283" spans="1:5" ht="14.25" customHeight="1" x14ac:dyDescent="0.3">
      <c r="A283" s="7"/>
      <c r="B283" s="7"/>
      <c r="C283" s="7"/>
      <c r="D283" s="7"/>
      <c r="E283" s="3" t="str">
        <f t="shared" si="4"/>
        <v/>
      </c>
    </row>
    <row r="284" spans="1:5" ht="14.25" customHeight="1" x14ac:dyDescent="0.3">
      <c r="A284" s="7"/>
      <c r="B284" s="7"/>
      <c r="C284" s="7"/>
      <c r="D284" s="7"/>
      <c r="E284" s="3" t="str">
        <f t="shared" si="4"/>
        <v/>
      </c>
    </row>
    <row r="285" spans="1:5" ht="14.25" customHeight="1" x14ac:dyDescent="0.3">
      <c r="A285" s="7"/>
      <c r="B285" s="7"/>
      <c r="C285" s="7"/>
      <c r="D285" s="7"/>
      <c r="E285" s="3" t="str">
        <f t="shared" si="4"/>
        <v/>
      </c>
    </row>
    <row r="286" spans="1:5" ht="14.25" customHeight="1" x14ac:dyDescent="0.3">
      <c r="A286" s="7"/>
      <c r="B286" s="7"/>
      <c r="C286" s="7"/>
      <c r="D286" s="7"/>
      <c r="E286" s="3" t="str">
        <f t="shared" si="4"/>
        <v/>
      </c>
    </row>
    <row r="287" spans="1:5" ht="14.25" customHeight="1" x14ac:dyDescent="0.3">
      <c r="A287" s="7"/>
      <c r="B287" s="7"/>
      <c r="C287" s="7"/>
      <c r="D287" s="7"/>
      <c r="E287" s="3" t="str">
        <f t="shared" si="4"/>
        <v/>
      </c>
    </row>
    <row r="288" spans="1:5" ht="14.25" customHeight="1" x14ac:dyDescent="0.3">
      <c r="A288" s="7"/>
      <c r="B288" s="7"/>
      <c r="C288" s="7"/>
      <c r="D288" s="7"/>
      <c r="E288" s="3" t="str">
        <f t="shared" si="4"/>
        <v/>
      </c>
    </row>
    <row r="289" spans="1:5" ht="14.25" customHeight="1" x14ac:dyDescent="0.3">
      <c r="A289" s="7"/>
      <c r="B289" s="7"/>
      <c r="C289" s="7"/>
      <c r="D289" s="7"/>
      <c r="E289" s="3" t="str">
        <f t="shared" si="4"/>
        <v/>
      </c>
    </row>
    <row r="290" spans="1:5" ht="14.25" customHeight="1" x14ac:dyDescent="0.3">
      <c r="A290" s="7"/>
      <c r="B290" s="7"/>
      <c r="C290" s="7"/>
      <c r="D290" s="7"/>
      <c r="E290" s="3" t="str">
        <f t="shared" si="4"/>
        <v/>
      </c>
    </row>
    <row r="291" spans="1:5" ht="14.25" customHeight="1" x14ac:dyDescent="0.3">
      <c r="A291" s="7"/>
      <c r="B291" s="7"/>
      <c r="C291" s="7"/>
      <c r="D291" s="7"/>
      <c r="E291" s="3" t="str">
        <f t="shared" si="4"/>
        <v/>
      </c>
    </row>
    <row r="292" spans="1:5" ht="14.25" customHeight="1" x14ac:dyDescent="0.3">
      <c r="A292" s="7"/>
      <c r="B292" s="7"/>
      <c r="C292" s="7"/>
      <c r="D292" s="7"/>
      <c r="E292" s="3" t="str">
        <f t="shared" si="4"/>
        <v/>
      </c>
    </row>
    <row r="293" spans="1:5" ht="14.25" customHeight="1" x14ac:dyDescent="0.3">
      <c r="A293" s="7"/>
      <c r="B293" s="7"/>
      <c r="C293" s="7"/>
      <c r="D293" s="7"/>
      <c r="E293" s="3" t="str">
        <f t="shared" si="4"/>
        <v/>
      </c>
    </row>
    <row r="294" spans="1:5" ht="14.25" customHeight="1" x14ac:dyDescent="0.3">
      <c r="A294" s="7"/>
      <c r="B294" s="7"/>
      <c r="C294" s="7"/>
      <c r="D294" s="7"/>
      <c r="E294" s="3" t="str">
        <f t="shared" si="4"/>
        <v/>
      </c>
    </row>
    <row r="295" spans="1:5" ht="14.25" customHeight="1" x14ac:dyDescent="0.3">
      <c r="A295" s="7"/>
      <c r="B295" s="7"/>
      <c r="C295" s="7"/>
      <c r="D295" s="7"/>
      <c r="E295" s="3" t="str">
        <f t="shared" si="4"/>
        <v/>
      </c>
    </row>
    <row r="296" spans="1:5" ht="14.25" customHeight="1" x14ac:dyDescent="0.3">
      <c r="A296" s="7"/>
      <c r="B296" s="7"/>
      <c r="C296" s="7"/>
      <c r="D296" s="7"/>
      <c r="E296" s="3" t="str">
        <f t="shared" si="4"/>
        <v/>
      </c>
    </row>
    <row r="297" spans="1:5" ht="14.25" customHeight="1" x14ac:dyDescent="0.3">
      <c r="A297" s="7"/>
      <c r="B297" s="7"/>
      <c r="C297" s="7"/>
      <c r="D297" s="7"/>
      <c r="E297" s="3" t="str">
        <f t="shared" si="4"/>
        <v/>
      </c>
    </row>
    <row r="298" spans="1:5" ht="14.25" customHeight="1" x14ac:dyDescent="0.3">
      <c r="A298" s="7"/>
      <c r="B298" s="7"/>
      <c r="C298" s="7"/>
      <c r="D298" s="7"/>
      <c r="E298" s="3" t="str">
        <f t="shared" si="4"/>
        <v/>
      </c>
    </row>
    <row r="299" spans="1:5" ht="14.25" customHeight="1" x14ac:dyDescent="0.3">
      <c r="A299" s="7"/>
      <c r="B299" s="7"/>
      <c r="C299" s="7"/>
      <c r="D299" s="7"/>
      <c r="E299" s="3" t="str">
        <f t="shared" si="4"/>
        <v/>
      </c>
    </row>
    <row r="300" spans="1:5" ht="14.25" customHeight="1" x14ac:dyDescent="0.3">
      <c r="A300" s="7"/>
      <c r="B300" s="7"/>
      <c r="C300" s="7"/>
      <c r="D300" s="7"/>
      <c r="E300" s="3" t="str">
        <f t="shared" si="4"/>
        <v/>
      </c>
    </row>
    <row r="301" spans="1:5" ht="14.25" customHeight="1" x14ac:dyDescent="0.3">
      <c r="A301" s="7"/>
      <c r="B301" s="7"/>
      <c r="C301" s="7"/>
      <c r="D301" s="7"/>
      <c r="E301" s="3" t="str">
        <f t="shared" si="4"/>
        <v/>
      </c>
    </row>
    <row r="302" spans="1:5" ht="14.25" customHeight="1" x14ac:dyDescent="0.3">
      <c r="A302" s="7"/>
      <c r="B302" s="7"/>
      <c r="C302" s="7"/>
      <c r="D302" s="7"/>
      <c r="E302" s="3" t="str">
        <f t="shared" si="4"/>
        <v/>
      </c>
    </row>
    <row r="303" spans="1:5" ht="14.25" customHeight="1" x14ac:dyDescent="0.3">
      <c r="A303" s="7"/>
      <c r="B303" s="7"/>
      <c r="C303" s="7"/>
      <c r="D303" s="7"/>
      <c r="E303" s="3" t="str">
        <f t="shared" si="4"/>
        <v/>
      </c>
    </row>
    <row r="304" spans="1:5" ht="14.25" customHeight="1" x14ac:dyDescent="0.3">
      <c r="A304" s="7"/>
      <c r="B304" s="7"/>
      <c r="C304" s="7"/>
      <c r="D304" s="7"/>
      <c r="E304" s="3" t="str">
        <f t="shared" si="4"/>
        <v/>
      </c>
    </row>
    <row r="305" spans="1:5" ht="14.25" customHeight="1" x14ac:dyDescent="0.3">
      <c r="A305" s="7"/>
      <c r="B305" s="7"/>
      <c r="C305" s="7"/>
      <c r="D305" s="7"/>
      <c r="E305" s="3" t="str">
        <f t="shared" si="4"/>
        <v/>
      </c>
    </row>
    <row r="306" spans="1:5" ht="14.25" customHeight="1" x14ac:dyDescent="0.3">
      <c r="A306" s="7"/>
      <c r="B306" s="7"/>
      <c r="C306" s="7"/>
      <c r="D306" s="7"/>
      <c r="E306" s="3" t="str">
        <f t="shared" si="4"/>
        <v/>
      </c>
    </row>
    <row r="307" spans="1:5" ht="14.25" customHeight="1" x14ac:dyDescent="0.3">
      <c r="A307" s="7"/>
      <c r="B307" s="7"/>
      <c r="C307" s="7"/>
      <c r="D307" s="7"/>
      <c r="E307" s="3" t="str">
        <f t="shared" si="4"/>
        <v/>
      </c>
    </row>
    <row r="308" spans="1:5" ht="14.25" customHeight="1" x14ac:dyDescent="0.3">
      <c r="A308" s="7"/>
      <c r="B308" s="7"/>
      <c r="C308" s="7"/>
      <c r="D308" s="7"/>
      <c r="E308" s="3" t="str">
        <f t="shared" si="4"/>
        <v/>
      </c>
    </row>
    <row r="309" spans="1:5" ht="14.25" customHeight="1" x14ac:dyDescent="0.3">
      <c r="A309" s="7"/>
      <c r="B309" s="7"/>
      <c r="C309" s="7"/>
      <c r="D309" s="7"/>
      <c r="E309" s="3" t="str">
        <f t="shared" si="4"/>
        <v/>
      </c>
    </row>
    <row r="310" spans="1:5" ht="14.25" customHeight="1" x14ac:dyDescent="0.3">
      <c r="A310" s="7"/>
      <c r="B310" s="7"/>
      <c r="C310" s="7"/>
      <c r="D310" s="7"/>
      <c r="E310" s="3" t="str">
        <f t="shared" si="4"/>
        <v/>
      </c>
    </row>
    <row r="311" spans="1:5" ht="14.25" customHeight="1" x14ac:dyDescent="0.3">
      <c r="A311" s="7"/>
      <c r="B311" s="7"/>
      <c r="C311" s="7"/>
      <c r="D311" s="7"/>
      <c r="E311" s="3" t="str">
        <f t="shared" si="4"/>
        <v/>
      </c>
    </row>
    <row r="312" spans="1:5" ht="14.25" customHeight="1" x14ac:dyDescent="0.3">
      <c r="A312" s="7"/>
      <c r="B312" s="7"/>
      <c r="C312" s="7"/>
      <c r="D312" s="7"/>
      <c r="E312" s="3" t="str">
        <f t="shared" si="4"/>
        <v/>
      </c>
    </row>
    <row r="313" spans="1:5" ht="14.25" customHeight="1" x14ac:dyDescent="0.3">
      <c r="A313" s="7"/>
      <c r="B313" s="7"/>
      <c r="C313" s="7"/>
      <c r="D313" s="7"/>
      <c r="E313" s="3" t="str">
        <f t="shared" si="4"/>
        <v/>
      </c>
    </row>
    <row r="314" spans="1:5" ht="14.25" customHeight="1" x14ac:dyDescent="0.3">
      <c r="A314" s="7"/>
      <c r="B314" s="7"/>
      <c r="C314" s="7"/>
      <c r="D314" s="7"/>
      <c r="E314" s="3" t="str">
        <f t="shared" si="4"/>
        <v/>
      </c>
    </row>
    <row r="315" spans="1:5" ht="14.25" customHeight="1" x14ac:dyDescent="0.3">
      <c r="A315" s="7"/>
      <c r="B315" s="7"/>
      <c r="C315" s="7"/>
      <c r="D315" s="7"/>
      <c r="E315" s="3" t="str">
        <f t="shared" si="4"/>
        <v/>
      </c>
    </row>
    <row r="316" spans="1:5" ht="14.25" customHeight="1" x14ac:dyDescent="0.3">
      <c r="A316" s="7"/>
      <c r="B316" s="7"/>
      <c r="C316" s="7"/>
      <c r="D316" s="7"/>
      <c r="E316" s="3" t="str">
        <f t="shared" si="4"/>
        <v/>
      </c>
    </row>
    <row r="317" spans="1:5" ht="14.25" customHeight="1" x14ac:dyDescent="0.3">
      <c r="A317" s="7"/>
      <c r="B317" s="7"/>
      <c r="C317" s="7"/>
      <c r="D317" s="7"/>
      <c r="E317" s="3" t="str">
        <f t="shared" si="4"/>
        <v/>
      </c>
    </row>
    <row r="318" spans="1:5" ht="14.25" customHeight="1" x14ac:dyDescent="0.3">
      <c r="A318" s="7"/>
      <c r="B318" s="7"/>
      <c r="C318" s="7"/>
      <c r="D318" s="7"/>
      <c r="E318" s="3" t="str">
        <f t="shared" si="4"/>
        <v/>
      </c>
    </row>
    <row r="319" spans="1:5" ht="14.25" customHeight="1" x14ac:dyDescent="0.3">
      <c r="A319" s="7"/>
      <c r="B319" s="7"/>
      <c r="C319" s="7"/>
      <c r="D319" s="7"/>
      <c r="E319" s="3" t="str">
        <f t="shared" si="4"/>
        <v/>
      </c>
    </row>
    <row r="320" spans="1:5" ht="14.25" customHeight="1" x14ac:dyDescent="0.3">
      <c r="A320" s="7"/>
      <c r="B320" s="7"/>
      <c r="C320" s="7"/>
      <c r="D320" s="7"/>
      <c r="E320" s="3" t="str">
        <f t="shared" si="4"/>
        <v/>
      </c>
    </row>
    <row r="321" spans="1:5" ht="14.25" customHeight="1" x14ac:dyDescent="0.3">
      <c r="A321" s="7"/>
      <c r="B321" s="7"/>
      <c r="C321" s="7"/>
      <c r="D321" s="7"/>
      <c r="E321" s="3" t="str">
        <f t="shared" si="4"/>
        <v/>
      </c>
    </row>
    <row r="322" spans="1:5" ht="14.25" customHeight="1" x14ac:dyDescent="0.3">
      <c r="A322" s="7"/>
      <c r="B322" s="7"/>
      <c r="C322" s="7"/>
      <c r="D322" s="7"/>
      <c r="E322" s="3" t="str">
        <f t="shared" ref="E322:E385" si="5">IF(COUNTA(A322:D322)=0,"",IF(OR(C322="",D322="",C322&gt;=D322),"INVALID TIME RANGE",IF(SUMPRODUCT(($A$2:$A$500=A322)*($B$2:$B$500=B322)*($C$2:$C$500&lt;D322)*($D$2:$D$500&gt;C322))&gt;1,"OVERLAPPING UNAVAILABILITY","OK")))</f>
        <v/>
      </c>
    </row>
    <row r="323" spans="1:5" ht="14.25" customHeight="1" x14ac:dyDescent="0.3">
      <c r="A323" s="7"/>
      <c r="B323" s="7"/>
      <c r="C323" s="7"/>
      <c r="D323" s="7"/>
      <c r="E323" s="3" t="str">
        <f t="shared" si="5"/>
        <v/>
      </c>
    </row>
    <row r="324" spans="1:5" ht="14.25" customHeight="1" x14ac:dyDescent="0.3">
      <c r="A324" s="7"/>
      <c r="B324" s="7"/>
      <c r="C324" s="7"/>
      <c r="D324" s="7"/>
      <c r="E324" s="3" t="str">
        <f t="shared" si="5"/>
        <v/>
      </c>
    </row>
    <row r="325" spans="1:5" ht="14.25" customHeight="1" x14ac:dyDescent="0.3">
      <c r="A325" s="7"/>
      <c r="B325" s="7"/>
      <c r="C325" s="7"/>
      <c r="D325" s="7"/>
      <c r="E325" s="3" t="str">
        <f t="shared" si="5"/>
        <v/>
      </c>
    </row>
    <row r="326" spans="1:5" ht="14.25" customHeight="1" x14ac:dyDescent="0.3">
      <c r="A326" s="7"/>
      <c r="B326" s="7"/>
      <c r="C326" s="7"/>
      <c r="D326" s="7"/>
      <c r="E326" s="3" t="str">
        <f t="shared" si="5"/>
        <v/>
      </c>
    </row>
    <row r="327" spans="1:5" ht="14.25" customHeight="1" x14ac:dyDescent="0.3">
      <c r="A327" s="7"/>
      <c r="B327" s="7"/>
      <c r="C327" s="7"/>
      <c r="D327" s="7"/>
      <c r="E327" s="3" t="str">
        <f t="shared" si="5"/>
        <v/>
      </c>
    </row>
    <row r="328" spans="1:5" ht="14.25" customHeight="1" x14ac:dyDescent="0.3">
      <c r="A328" s="7"/>
      <c r="B328" s="7"/>
      <c r="C328" s="7"/>
      <c r="D328" s="7"/>
      <c r="E328" s="3" t="str">
        <f t="shared" si="5"/>
        <v/>
      </c>
    </row>
    <row r="329" spans="1:5" ht="14.25" customHeight="1" x14ac:dyDescent="0.3">
      <c r="A329" s="7"/>
      <c r="B329" s="7"/>
      <c r="C329" s="7"/>
      <c r="D329" s="7"/>
      <c r="E329" s="3" t="str">
        <f t="shared" si="5"/>
        <v/>
      </c>
    </row>
    <row r="330" spans="1:5" ht="14.25" customHeight="1" x14ac:dyDescent="0.3">
      <c r="A330" s="7"/>
      <c r="B330" s="7"/>
      <c r="C330" s="7"/>
      <c r="D330" s="7"/>
      <c r="E330" s="3" t="str">
        <f t="shared" si="5"/>
        <v/>
      </c>
    </row>
    <row r="331" spans="1:5" ht="14.25" customHeight="1" x14ac:dyDescent="0.3">
      <c r="A331" s="7"/>
      <c r="B331" s="7"/>
      <c r="C331" s="7"/>
      <c r="D331" s="7"/>
      <c r="E331" s="3" t="str">
        <f t="shared" si="5"/>
        <v/>
      </c>
    </row>
    <row r="332" spans="1:5" ht="14.25" customHeight="1" x14ac:dyDescent="0.3">
      <c r="A332" s="7"/>
      <c r="B332" s="7"/>
      <c r="C332" s="7"/>
      <c r="D332" s="7"/>
      <c r="E332" s="3" t="str">
        <f t="shared" si="5"/>
        <v/>
      </c>
    </row>
    <row r="333" spans="1:5" ht="14.25" customHeight="1" x14ac:dyDescent="0.3">
      <c r="A333" s="7"/>
      <c r="B333" s="7"/>
      <c r="C333" s="7"/>
      <c r="D333" s="7"/>
      <c r="E333" s="3" t="str">
        <f t="shared" si="5"/>
        <v/>
      </c>
    </row>
    <row r="334" spans="1:5" ht="14.25" customHeight="1" x14ac:dyDescent="0.3">
      <c r="A334" s="7"/>
      <c r="B334" s="7"/>
      <c r="C334" s="7"/>
      <c r="D334" s="7"/>
      <c r="E334" s="3" t="str">
        <f t="shared" si="5"/>
        <v/>
      </c>
    </row>
    <row r="335" spans="1:5" ht="14.25" customHeight="1" x14ac:dyDescent="0.3">
      <c r="A335" s="7"/>
      <c r="B335" s="7"/>
      <c r="C335" s="7"/>
      <c r="D335" s="7"/>
      <c r="E335" s="3" t="str">
        <f t="shared" si="5"/>
        <v/>
      </c>
    </row>
    <row r="336" spans="1:5" ht="14.25" customHeight="1" x14ac:dyDescent="0.3">
      <c r="A336" s="7"/>
      <c r="B336" s="7"/>
      <c r="C336" s="7"/>
      <c r="D336" s="7"/>
      <c r="E336" s="3" t="str">
        <f t="shared" si="5"/>
        <v/>
      </c>
    </row>
    <row r="337" spans="1:5" ht="14.25" customHeight="1" x14ac:dyDescent="0.3">
      <c r="A337" s="7"/>
      <c r="B337" s="7"/>
      <c r="C337" s="7"/>
      <c r="D337" s="7"/>
      <c r="E337" s="3" t="str">
        <f t="shared" si="5"/>
        <v/>
      </c>
    </row>
    <row r="338" spans="1:5" ht="14.25" customHeight="1" x14ac:dyDescent="0.3">
      <c r="A338" s="7"/>
      <c r="B338" s="7"/>
      <c r="C338" s="7"/>
      <c r="D338" s="7"/>
      <c r="E338" s="3" t="str">
        <f t="shared" si="5"/>
        <v/>
      </c>
    </row>
    <row r="339" spans="1:5" ht="14.25" customHeight="1" x14ac:dyDescent="0.3">
      <c r="A339" s="7"/>
      <c r="B339" s="7"/>
      <c r="C339" s="7"/>
      <c r="D339" s="7"/>
      <c r="E339" s="3" t="str">
        <f t="shared" si="5"/>
        <v/>
      </c>
    </row>
    <row r="340" spans="1:5" ht="14.25" customHeight="1" x14ac:dyDescent="0.3">
      <c r="A340" s="7"/>
      <c r="B340" s="7"/>
      <c r="C340" s="7"/>
      <c r="D340" s="7"/>
      <c r="E340" s="3" t="str">
        <f t="shared" si="5"/>
        <v/>
      </c>
    </row>
    <row r="341" spans="1:5" ht="14.25" customHeight="1" x14ac:dyDescent="0.3">
      <c r="A341" s="7"/>
      <c r="B341" s="7"/>
      <c r="C341" s="7"/>
      <c r="D341" s="7"/>
      <c r="E341" s="3" t="str">
        <f t="shared" si="5"/>
        <v/>
      </c>
    </row>
    <row r="342" spans="1:5" ht="14.25" customHeight="1" x14ac:dyDescent="0.3">
      <c r="A342" s="7"/>
      <c r="B342" s="7"/>
      <c r="C342" s="7"/>
      <c r="D342" s="7"/>
      <c r="E342" s="3" t="str">
        <f t="shared" si="5"/>
        <v/>
      </c>
    </row>
    <row r="343" spans="1:5" ht="14.25" customHeight="1" x14ac:dyDescent="0.3">
      <c r="A343" s="7"/>
      <c r="B343" s="7"/>
      <c r="C343" s="7"/>
      <c r="D343" s="7"/>
      <c r="E343" s="3" t="str">
        <f t="shared" si="5"/>
        <v/>
      </c>
    </row>
    <row r="344" spans="1:5" ht="14.25" customHeight="1" x14ac:dyDescent="0.3">
      <c r="A344" s="7"/>
      <c r="B344" s="7"/>
      <c r="C344" s="7"/>
      <c r="D344" s="7"/>
      <c r="E344" s="3" t="str">
        <f t="shared" si="5"/>
        <v/>
      </c>
    </row>
    <row r="345" spans="1:5" ht="14.25" customHeight="1" x14ac:dyDescent="0.3">
      <c r="A345" s="7"/>
      <c r="B345" s="7"/>
      <c r="C345" s="7"/>
      <c r="D345" s="7"/>
      <c r="E345" s="3" t="str">
        <f t="shared" si="5"/>
        <v/>
      </c>
    </row>
    <row r="346" spans="1:5" ht="14.25" customHeight="1" x14ac:dyDescent="0.3">
      <c r="A346" s="7"/>
      <c r="B346" s="7"/>
      <c r="C346" s="7"/>
      <c r="D346" s="7"/>
      <c r="E346" s="3" t="str">
        <f t="shared" si="5"/>
        <v/>
      </c>
    </row>
    <row r="347" spans="1:5" ht="14.25" customHeight="1" x14ac:dyDescent="0.3">
      <c r="A347" s="7"/>
      <c r="B347" s="7"/>
      <c r="C347" s="7"/>
      <c r="D347" s="7"/>
      <c r="E347" s="3" t="str">
        <f t="shared" si="5"/>
        <v/>
      </c>
    </row>
    <row r="348" spans="1:5" ht="14.25" customHeight="1" x14ac:dyDescent="0.3">
      <c r="A348" s="7"/>
      <c r="B348" s="7"/>
      <c r="C348" s="7"/>
      <c r="D348" s="7"/>
      <c r="E348" s="3" t="str">
        <f t="shared" si="5"/>
        <v/>
      </c>
    </row>
    <row r="349" spans="1:5" ht="14.25" customHeight="1" x14ac:dyDescent="0.3">
      <c r="A349" s="7"/>
      <c r="B349" s="7"/>
      <c r="C349" s="7"/>
      <c r="D349" s="7"/>
      <c r="E349" s="3" t="str">
        <f t="shared" si="5"/>
        <v/>
      </c>
    </row>
    <row r="350" spans="1:5" ht="14.25" customHeight="1" x14ac:dyDescent="0.3">
      <c r="A350" s="7"/>
      <c r="B350" s="7"/>
      <c r="C350" s="7"/>
      <c r="D350" s="7"/>
      <c r="E350" s="3" t="str">
        <f t="shared" si="5"/>
        <v/>
      </c>
    </row>
    <row r="351" spans="1:5" ht="14.25" customHeight="1" x14ac:dyDescent="0.3">
      <c r="A351" s="7"/>
      <c r="B351" s="7"/>
      <c r="C351" s="7"/>
      <c r="D351" s="7"/>
      <c r="E351" s="3" t="str">
        <f t="shared" si="5"/>
        <v/>
      </c>
    </row>
    <row r="352" spans="1:5" ht="14.25" customHeight="1" x14ac:dyDescent="0.3">
      <c r="A352" s="7"/>
      <c r="B352" s="7"/>
      <c r="C352" s="7"/>
      <c r="D352" s="7"/>
      <c r="E352" s="3" t="str">
        <f t="shared" si="5"/>
        <v/>
      </c>
    </row>
    <row r="353" spans="1:5" ht="14.25" customHeight="1" x14ac:dyDescent="0.3">
      <c r="A353" s="7"/>
      <c r="B353" s="7"/>
      <c r="C353" s="7"/>
      <c r="D353" s="7"/>
      <c r="E353" s="3" t="str">
        <f t="shared" si="5"/>
        <v/>
      </c>
    </row>
    <row r="354" spans="1:5" ht="14.25" customHeight="1" x14ac:dyDescent="0.3">
      <c r="A354" s="7"/>
      <c r="B354" s="7"/>
      <c r="C354" s="7"/>
      <c r="D354" s="7"/>
      <c r="E354" s="3" t="str">
        <f t="shared" si="5"/>
        <v/>
      </c>
    </row>
    <row r="355" spans="1:5" ht="14.25" customHeight="1" x14ac:dyDescent="0.3">
      <c r="A355" s="7"/>
      <c r="B355" s="7"/>
      <c r="C355" s="7"/>
      <c r="D355" s="7"/>
      <c r="E355" s="3" t="str">
        <f t="shared" si="5"/>
        <v/>
      </c>
    </row>
    <row r="356" spans="1:5" ht="14.25" customHeight="1" x14ac:dyDescent="0.3">
      <c r="A356" s="7"/>
      <c r="B356" s="7"/>
      <c r="C356" s="7"/>
      <c r="D356" s="7"/>
      <c r="E356" s="3" t="str">
        <f t="shared" si="5"/>
        <v/>
      </c>
    </row>
    <row r="357" spans="1:5" ht="14.25" customHeight="1" x14ac:dyDescent="0.3">
      <c r="A357" s="7"/>
      <c r="B357" s="7"/>
      <c r="C357" s="7"/>
      <c r="D357" s="7"/>
      <c r="E357" s="3" t="str">
        <f t="shared" si="5"/>
        <v/>
      </c>
    </row>
    <row r="358" spans="1:5" ht="14.25" customHeight="1" x14ac:dyDescent="0.3">
      <c r="A358" s="7"/>
      <c r="B358" s="7"/>
      <c r="C358" s="7"/>
      <c r="D358" s="7"/>
      <c r="E358" s="3" t="str">
        <f t="shared" si="5"/>
        <v/>
      </c>
    </row>
    <row r="359" spans="1:5" ht="14.25" customHeight="1" x14ac:dyDescent="0.3">
      <c r="A359" s="7"/>
      <c r="B359" s="7"/>
      <c r="C359" s="7"/>
      <c r="D359" s="7"/>
      <c r="E359" s="3" t="str">
        <f t="shared" si="5"/>
        <v/>
      </c>
    </row>
    <row r="360" spans="1:5" ht="14.25" customHeight="1" x14ac:dyDescent="0.3">
      <c r="A360" s="7"/>
      <c r="B360" s="7"/>
      <c r="C360" s="7"/>
      <c r="D360" s="7"/>
      <c r="E360" s="3" t="str">
        <f t="shared" si="5"/>
        <v/>
      </c>
    </row>
    <row r="361" spans="1:5" ht="14.25" customHeight="1" x14ac:dyDescent="0.3">
      <c r="A361" s="7"/>
      <c r="B361" s="7"/>
      <c r="C361" s="7"/>
      <c r="D361" s="7"/>
      <c r="E361" s="3" t="str">
        <f t="shared" si="5"/>
        <v/>
      </c>
    </row>
    <row r="362" spans="1:5" ht="14.25" customHeight="1" x14ac:dyDescent="0.3">
      <c r="A362" s="7"/>
      <c r="B362" s="7"/>
      <c r="C362" s="7"/>
      <c r="D362" s="7"/>
      <c r="E362" s="3" t="str">
        <f t="shared" si="5"/>
        <v/>
      </c>
    </row>
    <row r="363" spans="1:5" ht="14.25" customHeight="1" x14ac:dyDescent="0.3">
      <c r="A363" s="7"/>
      <c r="B363" s="7"/>
      <c r="C363" s="7"/>
      <c r="D363" s="7"/>
      <c r="E363" s="3" t="str">
        <f t="shared" si="5"/>
        <v/>
      </c>
    </row>
    <row r="364" spans="1:5" ht="14.25" customHeight="1" x14ac:dyDescent="0.3">
      <c r="A364" s="7"/>
      <c r="B364" s="7"/>
      <c r="C364" s="7"/>
      <c r="D364" s="7"/>
      <c r="E364" s="3" t="str">
        <f t="shared" si="5"/>
        <v/>
      </c>
    </row>
    <row r="365" spans="1:5" ht="14.25" customHeight="1" x14ac:dyDescent="0.3">
      <c r="A365" s="7"/>
      <c r="B365" s="7"/>
      <c r="C365" s="7"/>
      <c r="D365" s="7"/>
      <c r="E365" s="3" t="str">
        <f t="shared" si="5"/>
        <v/>
      </c>
    </row>
    <row r="366" spans="1:5" ht="14.25" customHeight="1" x14ac:dyDescent="0.3">
      <c r="A366" s="7"/>
      <c r="B366" s="7"/>
      <c r="C366" s="7"/>
      <c r="D366" s="7"/>
      <c r="E366" s="3" t="str">
        <f t="shared" si="5"/>
        <v/>
      </c>
    </row>
    <row r="367" spans="1:5" ht="14.25" customHeight="1" x14ac:dyDescent="0.3">
      <c r="A367" s="7"/>
      <c r="B367" s="7"/>
      <c r="C367" s="7"/>
      <c r="D367" s="7"/>
      <c r="E367" s="3" t="str">
        <f t="shared" si="5"/>
        <v/>
      </c>
    </row>
    <row r="368" spans="1:5" ht="14.25" customHeight="1" x14ac:dyDescent="0.3">
      <c r="A368" s="7"/>
      <c r="B368" s="7"/>
      <c r="C368" s="7"/>
      <c r="D368" s="7"/>
      <c r="E368" s="3" t="str">
        <f t="shared" si="5"/>
        <v/>
      </c>
    </row>
    <row r="369" spans="1:5" ht="14.25" customHeight="1" x14ac:dyDescent="0.3">
      <c r="A369" s="7"/>
      <c r="B369" s="7"/>
      <c r="C369" s="7"/>
      <c r="D369" s="7"/>
      <c r="E369" s="3" t="str">
        <f t="shared" si="5"/>
        <v/>
      </c>
    </row>
    <row r="370" spans="1:5" ht="14.25" customHeight="1" x14ac:dyDescent="0.3">
      <c r="A370" s="7"/>
      <c r="B370" s="7"/>
      <c r="C370" s="7"/>
      <c r="D370" s="7"/>
      <c r="E370" s="3" t="str">
        <f t="shared" si="5"/>
        <v/>
      </c>
    </row>
    <row r="371" spans="1:5" ht="14.25" customHeight="1" x14ac:dyDescent="0.3">
      <c r="A371" s="7"/>
      <c r="B371" s="7"/>
      <c r="C371" s="7"/>
      <c r="D371" s="7"/>
      <c r="E371" s="3" t="str">
        <f t="shared" si="5"/>
        <v/>
      </c>
    </row>
    <row r="372" spans="1:5" ht="14.25" customHeight="1" x14ac:dyDescent="0.3">
      <c r="A372" s="7"/>
      <c r="B372" s="7"/>
      <c r="C372" s="7"/>
      <c r="D372" s="7"/>
      <c r="E372" s="3" t="str">
        <f t="shared" si="5"/>
        <v/>
      </c>
    </row>
    <row r="373" spans="1:5" ht="14.25" customHeight="1" x14ac:dyDescent="0.3">
      <c r="A373" s="7"/>
      <c r="B373" s="7"/>
      <c r="C373" s="7"/>
      <c r="D373" s="7"/>
      <c r="E373" s="3" t="str">
        <f t="shared" si="5"/>
        <v/>
      </c>
    </row>
    <row r="374" spans="1:5" ht="14.25" customHeight="1" x14ac:dyDescent="0.3">
      <c r="A374" s="7"/>
      <c r="B374" s="7"/>
      <c r="C374" s="7"/>
      <c r="D374" s="7"/>
      <c r="E374" s="3" t="str">
        <f t="shared" si="5"/>
        <v/>
      </c>
    </row>
    <row r="375" spans="1:5" ht="14.25" customHeight="1" x14ac:dyDescent="0.3">
      <c r="A375" s="7"/>
      <c r="B375" s="7"/>
      <c r="C375" s="7"/>
      <c r="D375" s="7"/>
      <c r="E375" s="3" t="str">
        <f t="shared" si="5"/>
        <v/>
      </c>
    </row>
    <row r="376" spans="1:5" ht="14.25" customHeight="1" x14ac:dyDescent="0.3">
      <c r="A376" s="7"/>
      <c r="B376" s="7"/>
      <c r="C376" s="7"/>
      <c r="D376" s="7"/>
      <c r="E376" s="3" t="str">
        <f t="shared" si="5"/>
        <v/>
      </c>
    </row>
    <row r="377" spans="1:5" ht="14.25" customHeight="1" x14ac:dyDescent="0.3">
      <c r="A377" s="7"/>
      <c r="B377" s="7"/>
      <c r="C377" s="7"/>
      <c r="D377" s="7"/>
      <c r="E377" s="3" t="str">
        <f t="shared" si="5"/>
        <v/>
      </c>
    </row>
    <row r="378" spans="1:5" ht="14.25" customHeight="1" x14ac:dyDescent="0.3">
      <c r="A378" s="7"/>
      <c r="B378" s="7"/>
      <c r="C378" s="7"/>
      <c r="D378" s="7"/>
      <c r="E378" s="3" t="str">
        <f t="shared" si="5"/>
        <v/>
      </c>
    </row>
    <row r="379" spans="1:5" ht="14.25" customHeight="1" x14ac:dyDescent="0.3">
      <c r="A379" s="7"/>
      <c r="B379" s="7"/>
      <c r="C379" s="7"/>
      <c r="D379" s="7"/>
      <c r="E379" s="3" t="str">
        <f t="shared" si="5"/>
        <v/>
      </c>
    </row>
    <row r="380" spans="1:5" ht="14.25" customHeight="1" x14ac:dyDescent="0.3">
      <c r="A380" s="7"/>
      <c r="B380" s="7"/>
      <c r="C380" s="7"/>
      <c r="D380" s="7"/>
      <c r="E380" s="3" t="str">
        <f t="shared" si="5"/>
        <v/>
      </c>
    </row>
    <row r="381" spans="1:5" ht="14.25" customHeight="1" x14ac:dyDescent="0.3">
      <c r="A381" s="7"/>
      <c r="B381" s="7"/>
      <c r="C381" s="7"/>
      <c r="D381" s="7"/>
      <c r="E381" s="3" t="str">
        <f t="shared" si="5"/>
        <v/>
      </c>
    </row>
    <row r="382" spans="1:5" ht="14.25" customHeight="1" x14ac:dyDescent="0.3">
      <c r="A382" s="7"/>
      <c r="B382" s="7"/>
      <c r="C382" s="7"/>
      <c r="D382" s="7"/>
      <c r="E382" s="3" t="str">
        <f t="shared" si="5"/>
        <v/>
      </c>
    </row>
    <row r="383" spans="1:5" ht="14.25" customHeight="1" x14ac:dyDescent="0.3">
      <c r="A383" s="7"/>
      <c r="B383" s="7"/>
      <c r="C383" s="7"/>
      <c r="D383" s="7"/>
      <c r="E383" s="3" t="str">
        <f t="shared" si="5"/>
        <v/>
      </c>
    </row>
    <row r="384" spans="1:5" ht="14.25" customHeight="1" x14ac:dyDescent="0.3">
      <c r="A384" s="7"/>
      <c r="B384" s="7"/>
      <c r="C384" s="7"/>
      <c r="D384" s="7"/>
      <c r="E384" s="3" t="str">
        <f t="shared" si="5"/>
        <v/>
      </c>
    </row>
    <row r="385" spans="1:5" ht="14.25" customHeight="1" x14ac:dyDescent="0.3">
      <c r="A385" s="7"/>
      <c r="B385" s="7"/>
      <c r="C385" s="7"/>
      <c r="D385" s="7"/>
      <c r="E385" s="3" t="str">
        <f t="shared" si="5"/>
        <v/>
      </c>
    </row>
    <row r="386" spans="1:5" ht="14.25" customHeight="1" x14ac:dyDescent="0.3">
      <c r="A386" s="7"/>
      <c r="B386" s="7"/>
      <c r="C386" s="7"/>
      <c r="D386" s="7"/>
      <c r="E386" s="3" t="str">
        <f t="shared" ref="E386:E449" si="6">IF(COUNTA(A386:D386)=0,"",IF(OR(C386="",D386="",C386&gt;=D386),"INVALID TIME RANGE",IF(SUMPRODUCT(($A$2:$A$500=A386)*($B$2:$B$500=B386)*($C$2:$C$500&lt;D386)*($D$2:$D$500&gt;C386))&gt;1,"OVERLAPPING UNAVAILABILITY","OK")))</f>
        <v/>
      </c>
    </row>
    <row r="387" spans="1:5" ht="14.25" customHeight="1" x14ac:dyDescent="0.3">
      <c r="A387" s="7"/>
      <c r="B387" s="7"/>
      <c r="C387" s="7"/>
      <c r="D387" s="7"/>
      <c r="E387" s="3" t="str">
        <f t="shared" si="6"/>
        <v/>
      </c>
    </row>
    <row r="388" spans="1:5" ht="14.25" customHeight="1" x14ac:dyDescent="0.3">
      <c r="A388" s="7"/>
      <c r="B388" s="7"/>
      <c r="C388" s="7"/>
      <c r="D388" s="7"/>
      <c r="E388" s="3" t="str">
        <f t="shared" si="6"/>
        <v/>
      </c>
    </row>
    <row r="389" spans="1:5" ht="14.25" customHeight="1" x14ac:dyDescent="0.3">
      <c r="A389" s="7"/>
      <c r="B389" s="7"/>
      <c r="C389" s="7"/>
      <c r="D389" s="7"/>
      <c r="E389" s="3" t="str">
        <f t="shared" si="6"/>
        <v/>
      </c>
    </row>
    <row r="390" spans="1:5" ht="14.25" customHeight="1" x14ac:dyDescent="0.3">
      <c r="A390" s="7"/>
      <c r="B390" s="7"/>
      <c r="C390" s="7"/>
      <c r="D390" s="7"/>
      <c r="E390" s="3" t="str">
        <f t="shared" si="6"/>
        <v/>
      </c>
    </row>
    <row r="391" spans="1:5" ht="14.25" customHeight="1" x14ac:dyDescent="0.3">
      <c r="A391" s="7"/>
      <c r="B391" s="7"/>
      <c r="C391" s="7"/>
      <c r="D391" s="7"/>
      <c r="E391" s="3" t="str">
        <f t="shared" si="6"/>
        <v/>
      </c>
    </row>
    <row r="392" spans="1:5" ht="14.25" customHeight="1" x14ac:dyDescent="0.3">
      <c r="A392" s="7"/>
      <c r="B392" s="7"/>
      <c r="C392" s="7"/>
      <c r="D392" s="7"/>
      <c r="E392" s="3" t="str">
        <f t="shared" si="6"/>
        <v/>
      </c>
    </row>
    <row r="393" spans="1:5" ht="14.25" customHeight="1" x14ac:dyDescent="0.3">
      <c r="A393" s="7"/>
      <c r="B393" s="7"/>
      <c r="C393" s="7"/>
      <c r="D393" s="7"/>
      <c r="E393" s="3" t="str">
        <f t="shared" si="6"/>
        <v/>
      </c>
    </row>
    <row r="394" spans="1:5" ht="14.25" customHeight="1" x14ac:dyDescent="0.3">
      <c r="A394" s="7"/>
      <c r="B394" s="7"/>
      <c r="C394" s="7"/>
      <c r="D394" s="7"/>
      <c r="E394" s="3" t="str">
        <f t="shared" si="6"/>
        <v/>
      </c>
    </row>
    <row r="395" spans="1:5" ht="14.25" customHeight="1" x14ac:dyDescent="0.3">
      <c r="A395" s="7"/>
      <c r="B395" s="7"/>
      <c r="C395" s="7"/>
      <c r="D395" s="7"/>
      <c r="E395" s="3" t="str">
        <f t="shared" si="6"/>
        <v/>
      </c>
    </row>
    <row r="396" spans="1:5" ht="14.25" customHeight="1" x14ac:dyDescent="0.3">
      <c r="A396" s="7"/>
      <c r="B396" s="7"/>
      <c r="C396" s="7"/>
      <c r="D396" s="7"/>
      <c r="E396" s="3" t="str">
        <f t="shared" si="6"/>
        <v/>
      </c>
    </row>
    <row r="397" spans="1:5" ht="14.25" customHeight="1" x14ac:dyDescent="0.3">
      <c r="A397" s="7"/>
      <c r="B397" s="7"/>
      <c r="C397" s="7"/>
      <c r="D397" s="7"/>
      <c r="E397" s="3" t="str">
        <f t="shared" si="6"/>
        <v/>
      </c>
    </row>
    <row r="398" spans="1:5" ht="14.25" customHeight="1" x14ac:dyDescent="0.3">
      <c r="A398" s="7"/>
      <c r="B398" s="7"/>
      <c r="C398" s="7"/>
      <c r="D398" s="7"/>
      <c r="E398" s="3" t="str">
        <f t="shared" si="6"/>
        <v/>
      </c>
    </row>
    <row r="399" spans="1:5" ht="14.25" customHeight="1" x14ac:dyDescent="0.3">
      <c r="A399" s="7"/>
      <c r="B399" s="7"/>
      <c r="C399" s="7"/>
      <c r="D399" s="7"/>
      <c r="E399" s="3" t="str">
        <f t="shared" si="6"/>
        <v/>
      </c>
    </row>
    <row r="400" spans="1:5" ht="14.25" customHeight="1" x14ac:dyDescent="0.3">
      <c r="A400" s="7"/>
      <c r="B400" s="7"/>
      <c r="C400" s="7"/>
      <c r="D400" s="7"/>
      <c r="E400" s="3" t="str">
        <f t="shared" si="6"/>
        <v/>
      </c>
    </row>
    <row r="401" spans="1:5" ht="14.25" customHeight="1" x14ac:dyDescent="0.3">
      <c r="A401" s="7"/>
      <c r="B401" s="7"/>
      <c r="C401" s="7"/>
      <c r="D401" s="7"/>
      <c r="E401" s="3" t="str">
        <f t="shared" si="6"/>
        <v/>
      </c>
    </row>
    <row r="402" spans="1:5" ht="14.25" customHeight="1" x14ac:dyDescent="0.3">
      <c r="A402" s="7"/>
      <c r="B402" s="7"/>
      <c r="C402" s="7"/>
      <c r="D402" s="7"/>
      <c r="E402" s="3" t="str">
        <f t="shared" si="6"/>
        <v/>
      </c>
    </row>
    <row r="403" spans="1:5" ht="14.25" customHeight="1" x14ac:dyDescent="0.3">
      <c r="A403" s="7"/>
      <c r="B403" s="7"/>
      <c r="C403" s="7"/>
      <c r="D403" s="7"/>
      <c r="E403" s="3" t="str">
        <f t="shared" si="6"/>
        <v/>
      </c>
    </row>
    <row r="404" spans="1:5" ht="14.25" customHeight="1" x14ac:dyDescent="0.3">
      <c r="A404" s="7"/>
      <c r="B404" s="7"/>
      <c r="C404" s="7"/>
      <c r="D404" s="7"/>
      <c r="E404" s="3" t="str">
        <f t="shared" si="6"/>
        <v/>
      </c>
    </row>
    <row r="405" spans="1:5" ht="14.25" customHeight="1" x14ac:dyDescent="0.3">
      <c r="A405" s="7"/>
      <c r="B405" s="7"/>
      <c r="C405" s="7"/>
      <c r="D405" s="7"/>
      <c r="E405" s="3" t="str">
        <f t="shared" si="6"/>
        <v/>
      </c>
    </row>
    <row r="406" spans="1:5" ht="14.25" customHeight="1" x14ac:dyDescent="0.3">
      <c r="A406" s="7"/>
      <c r="B406" s="7"/>
      <c r="C406" s="7"/>
      <c r="D406" s="7"/>
      <c r="E406" s="3" t="str">
        <f t="shared" si="6"/>
        <v/>
      </c>
    </row>
    <row r="407" spans="1:5" ht="14.25" customHeight="1" x14ac:dyDescent="0.3">
      <c r="A407" s="7"/>
      <c r="B407" s="7"/>
      <c r="C407" s="7"/>
      <c r="D407" s="7"/>
      <c r="E407" s="3" t="str">
        <f t="shared" si="6"/>
        <v/>
      </c>
    </row>
    <row r="408" spans="1:5" ht="14.25" customHeight="1" x14ac:dyDescent="0.3">
      <c r="A408" s="7"/>
      <c r="B408" s="7"/>
      <c r="C408" s="7"/>
      <c r="D408" s="7"/>
      <c r="E408" s="3" t="str">
        <f t="shared" si="6"/>
        <v/>
      </c>
    </row>
    <row r="409" spans="1:5" ht="14.25" customHeight="1" x14ac:dyDescent="0.3">
      <c r="A409" s="7"/>
      <c r="B409" s="7"/>
      <c r="C409" s="7"/>
      <c r="D409" s="7"/>
      <c r="E409" s="3" t="str">
        <f t="shared" si="6"/>
        <v/>
      </c>
    </row>
    <row r="410" spans="1:5" ht="14.25" customHeight="1" x14ac:dyDescent="0.3">
      <c r="A410" s="7"/>
      <c r="B410" s="7"/>
      <c r="C410" s="7"/>
      <c r="D410" s="7"/>
      <c r="E410" s="3" t="str">
        <f t="shared" si="6"/>
        <v/>
      </c>
    </row>
    <row r="411" spans="1:5" ht="14.25" customHeight="1" x14ac:dyDescent="0.3">
      <c r="A411" s="7"/>
      <c r="B411" s="7"/>
      <c r="C411" s="7"/>
      <c r="D411" s="7"/>
      <c r="E411" s="3" t="str">
        <f t="shared" si="6"/>
        <v/>
      </c>
    </row>
    <row r="412" spans="1:5" ht="14.25" customHeight="1" x14ac:dyDescent="0.3">
      <c r="A412" s="7"/>
      <c r="B412" s="7"/>
      <c r="C412" s="7"/>
      <c r="D412" s="7"/>
      <c r="E412" s="3" t="str">
        <f t="shared" si="6"/>
        <v/>
      </c>
    </row>
    <row r="413" spans="1:5" ht="14.25" customHeight="1" x14ac:dyDescent="0.3">
      <c r="A413" s="7"/>
      <c r="B413" s="7"/>
      <c r="C413" s="7"/>
      <c r="D413" s="7"/>
      <c r="E413" s="3" t="str">
        <f t="shared" si="6"/>
        <v/>
      </c>
    </row>
    <row r="414" spans="1:5" ht="14.25" customHeight="1" x14ac:dyDescent="0.3">
      <c r="A414" s="7"/>
      <c r="B414" s="7"/>
      <c r="C414" s="7"/>
      <c r="D414" s="7"/>
      <c r="E414" s="3" t="str">
        <f t="shared" si="6"/>
        <v/>
      </c>
    </row>
    <row r="415" spans="1:5" ht="14.25" customHeight="1" x14ac:dyDescent="0.3">
      <c r="A415" s="7"/>
      <c r="B415" s="7"/>
      <c r="C415" s="7"/>
      <c r="D415" s="7"/>
      <c r="E415" s="3" t="str">
        <f t="shared" si="6"/>
        <v/>
      </c>
    </row>
    <row r="416" spans="1:5" ht="14.25" customHeight="1" x14ac:dyDescent="0.3">
      <c r="A416" s="7"/>
      <c r="B416" s="7"/>
      <c r="C416" s="7"/>
      <c r="D416" s="7"/>
      <c r="E416" s="3" t="str">
        <f t="shared" si="6"/>
        <v/>
      </c>
    </row>
    <row r="417" spans="1:5" ht="14.25" customHeight="1" x14ac:dyDescent="0.3">
      <c r="A417" s="7"/>
      <c r="B417" s="7"/>
      <c r="C417" s="7"/>
      <c r="D417" s="7"/>
      <c r="E417" s="3" t="str">
        <f t="shared" si="6"/>
        <v/>
      </c>
    </row>
    <row r="418" spans="1:5" ht="14.25" customHeight="1" x14ac:dyDescent="0.3">
      <c r="A418" s="7"/>
      <c r="B418" s="7"/>
      <c r="C418" s="7"/>
      <c r="D418" s="7"/>
      <c r="E418" s="3" t="str">
        <f t="shared" si="6"/>
        <v/>
      </c>
    </row>
    <row r="419" spans="1:5" ht="14.25" customHeight="1" x14ac:dyDescent="0.3">
      <c r="A419" s="7"/>
      <c r="B419" s="7"/>
      <c r="C419" s="7"/>
      <c r="D419" s="7"/>
      <c r="E419" s="3" t="str">
        <f t="shared" si="6"/>
        <v/>
      </c>
    </row>
    <row r="420" spans="1:5" ht="14.25" customHeight="1" x14ac:dyDescent="0.3">
      <c r="A420" s="7"/>
      <c r="B420" s="7"/>
      <c r="C420" s="7"/>
      <c r="D420" s="7"/>
      <c r="E420" s="3" t="str">
        <f t="shared" si="6"/>
        <v/>
      </c>
    </row>
    <row r="421" spans="1:5" ht="14.25" customHeight="1" x14ac:dyDescent="0.3">
      <c r="A421" s="7"/>
      <c r="B421" s="7"/>
      <c r="C421" s="7"/>
      <c r="D421" s="7"/>
      <c r="E421" s="3" t="str">
        <f t="shared" si="6"/>
        <v/>
      </c>
    </row>
    <row r="422" spans="1:5" ht="14.25" customHeight="1" x14ac:dyDescent="0.3">
      <c r="A422" s="7"/>
      <c r="B422" s="7"/>
      <c r="C422" s="7"/>
      <c r="D422" s="7"/>
      <c r="E422" s="3" t="str">
        <f t="shared" si="6"/>
        <v/>
      </c>
    </row>
    <row r="423" spans="1:5" ht="14.25" customHeight="1" x14ac:dyDescent="0.3">
      <c r="A423" s="7"/>
      <c r="B423" s="7"/>
      <c r="C423" s="7"/>
      <c r="D423" s="7"/>
      <c r="E423" s="3" t="str">
        <f t="shared" si="6"/>
        <v/>
      </c>
    </row>
    <row r="424" spans="1:5" ht="14.25" customHeight="1" x14ac:dyDescent="0.3">
      <c r="A424" s="7"/>
      <c r="B424" s="7"/>
      <c r="C424" s="7"/>
      <c r="D424" s="7"/>
      <c r="E424" s="3" t="str">
        <f t="shared" si="6"/>
        <v/>
      </c>
    </row>
    <row r="425" spans="1:5" ht="14.25" customHeight="1" x14ac:dyDescent="0.3">
      <c r="A425" s="7"/>
      <c r="B425" s="7"/>
      <c r="C425" s="7"/>
      <c r="D425" s="7"/>
      <c r="E425" s="3" t="str">
        <f t="shared" si="6"/>
        <v/>
      </c>
    </row>
    <row r="426" spans="1:5" ht="14.25" customHeight="1" x14ac:dyDescent="0.3">
      <c r="A426" s="7"/>
      <c r="B426" s="7"/>
      <c r="C426" s="7"/>
      <c r="D426" s="7"/>
      <c r="E426" s="3" t="str">
        <f t="shared" si="6"/>
        <v/>
      </c>
    </row>
    <row r="427" spans="1:5" ht="14.25" customHeight="1" x14ac:dyDescent="0.3">
      <c r="A427" s="7"/>
      <c r="B427" s="7"/>
      <c r="C427" s="7"/>
      <c r="D427" s="7"/>
      <c r="E427" s="3" t="str">
        <f t="shared" si="6"/>
        <v/>
      </c>
    </row>
    <row r="428" spans="1:5" ht="14.25" customHeight="1" x14ac:dyDescent="0.3">
      <c r="A428" s="7"/>
      <c r="B428" s="7"/>
      <c r="C428" s="7"/>
      <c r="D428" s="7"/>
      <c r="E428" s="3" t="str">
        <f t="shared" si="6"/>
        <v/>
      </c>
    </row>
    <row r="429" spans="1:5" ht="14.25" customHeight="1" x14ac:dyDescent="0.3">
      <c r="A429" s="7"/>
      <c r="B429" s="7"/>
      <c r="C429" s="7"/>
      <c r="D429" s="7"/>
      <c r="E429" s="3" t="str">
        <f t="shared" si="6"/>
        <v/>
      </c>
    </row>
    <row r="430" spans="1:5" ht="14.25" customHeight="1" x14ac:dyDescent="0.3">
      <c r="A430" s="7"/>
      <c r="B430" s="7"/>
      <c r="C430" s="7"/>
      <c r="D430" s="7"/>
      <c r="E430" s="3" t="str">
        <f t="shared" si="6"/>
        <v/>
      </c>
    </row>
    <row r="431" spans="1:5" ht="14.25" customHeight="1" x14ac:dyDescent="0.3">
      <c r="A431" s="7"/>
      <c r="B431" s="7"/>
      <c r="C431" s="7"/>
      <c r="D431" s="7"/>
      <c r="E431" s="3" t="str">
        <f t="shared" si="6"/>
        <v/>
      </c>
    </row>
    <row r="432" spans="1:5" ht="14.25" customHeight="1" x14ac:dyDescent="0.3">
      <c r="A432" s="7"/>
      <c r="B432" s="7"/>
      <c r="C432" s="7"/>
      <c r="D432" s="7"/>
      <c r="E432" s="3" t="str">
        <f t="shared" si="6"/>
        <v/>
      </c>
    </row>
    <row r="433" spans="1:5" ht="14.25" customHeight="1" x14ac:dyDescent="0.3">
      <c r="A433" s="7"/>
      <c r="B433" s="7"/>
      <c r="C433" s="7"/>
      <c r="D433" s="7"/>
      <c r="E433" s="3" t="str">
        <f t="shared" si="6"/>
        <v/>
      </c>
    </row>
    <row r="434" spans="1:5" ht="14.25" customHeight="1" x14ac:dyDescent="0.3">
      <c r="A434" s="7"/>
      <c r="B434" s="7"/>
      <c r="C434" s="7"/>
      <c r="D434" s="7"/>
      <c r="E434" s="3" t="str">
        <f t="shared" si="6"/>
        <v/>
      </c>
    </row>
    <row r="435" spans="1:5" ht="14.25" customHeight="1" x14ac:dyDescent="0.3">
      <c r="A435" s="7"/>
      <c r="B435" s="7"/>
      <c r="C435" s="7"/>
      <c r="D435" s="7"/>
      <c r="E435" s="3" t="str">
        <f t="shared" si="6"/>
        <v/>
      </c>
    </row>
    <row r="436" spans="1:5" ht="14.25" customHeight="1" x14ac:dyDescent="0.3">
      <c r="A436" s="7"/>
      <c r="B436" s="7"/>
      <c r="C436" s="7"/>
      <c r="D436" s="7"/>
      <c r="E436" s="3" t="str">
        <f t="shared" si="6"/>
        <v/>
      </c>
    </row>
    <row r="437" spans="1:5" ht="14.25" customHeight="1" x14ac:dyDescent="0.3">
      <c r="A437" s="7"/>
      <c r="B437" s="7"/>
      <c r="C437" s="7"/>
      <c r="D437" s="7"/>
      <c r="E437" s="3" t="str">
        <f t="shared" si="6"/>
        <v/>
      </c>
    </row>
    <row r="438" spans="1:5" ht="14.25" customHeight="1" x14ac:dyDescent="0.3">
      <c r="A438" s="7"/>
      <c r="B438" s="7"/>
      <c r="C438" s="7"/>
      <c r="D438" s="7"/>
      <c r="E438" s="3" t="str">
        <f t="shared" si="6"/>
        <v/>
      </c>
    </row>
    <row r="439" spans="1:5" ht="14.25" customHeight="1" x14ac:dyDescent="0.3">
      <c r="A439" s="7"/>
      <c r="B439" s="7"/>
      <c r="C439" s="7"/>
      <c r="D439" s="7"/>
      <c r="E439" s="3" t="str">
        <f t="shared" si="6"/>
        <v/>
      </c>
    </row>
    <row r="440" spans="1:5" ht="14.25" customHeight="1" x14ac:dyDescent="0.3">
      <c r="A440" s="7"/>
      <c r="B440" s="7"/>
      <c r="C440" s="7"/>
      <c r="D440" s="7"/>
      <c r="E440" s="3" t="str">
        <f t="shared" si="6"/>
        <v/>
      </c>
    </row>
    <row r="441" spans="1:5" ht="14.25" customHeight="1" x14ac:dyDescent="0.3">
      <c r="A441" s="7"/>
      <c r="B441" s="7"/>
      <c r="C441" s="7"/>
      <c r="D441" s="7"/>
      <c r="E441" s="3" t="str">
        <f t="shared" si="6"/>
        <v/>
      </c>
    </row>
    <row r="442" spans="1:5" ht="14.25" customHeight="1" x14ac:dyDescent="0.3">
      <c r="A442" s="7"/>
      <c r="B442" s="7"/>
      <c r="C442" s="7"/>
      <c r="D442" s="7"/>
      <c r="E442" s="3" t="str">
        <f t="shared" si="6"/>
        <v/>
      </c>
    </row>
    <row r="443" spans="1:5" ht="14.25" customHeight="1" x14ac:dyDescent="0.3">
      <c r="A443" s="7"/>
      <c r="B443" s="7"/>
      <c r="C443" s="7"/>
      <c r="D443" s="7"/>
      <c r="E443" s="3" t="str">
        <f t="shared" si="6"/>
        <v/>
      </c>
    </row>
    <row r="444" spans="1:5" ht="14.25" customHeight="1" x14ac:dyDescent="0.3">
      <c r="A444" s="7"/>
      <c r="B444" s="7"/>
      <c r="C444" s="7"/>
      <c r="D444" s="7"/>
      <c r="E444" s="3" t="str">
        <f t="shared" si="6"/>
        <v/>
      </c>
    </row>
    <row r="445" spans="1:5" ht="14.25" customHeight="1" x14ac:dyDescent="0.3">
      <c r="A445" s="7"/>
      <c r="B445" s="7"/>
      <c r="C445" s="7"/>
      <c r="D445" s="7"/>
      <c r="E445" s="3" t="str">
        <f t="shared" si="6"/>
        <v/>
      </c>
    </row>
    <row r="446" spans="1:5" ht="14.25" customHeight="1" x14ac:dyDescent="0.3">
      <c r="A446" s="7"/>
      <c r="B446" s="7"/>
      <c r="C446" s="7"/>
      <c r="D446" s="7"/>
      <c r="E446" s="3" t="str">
        <f t="shared" si="6"/>
        <v/>
      </c>
    </row>
    <row r="447" spans="1:5" ht="14.25" customHeight="1" x14ac:dyDescent="0.3">
      <c r="A447" s="7"/>
      <c r="B447" s="7"/>
      <c r="C447" s="7"/>
      <c r="D447" s="7"/>
      <c r="E447" s="3" t="str">
        <f t="shared" si="6"/>
        <v/>
      </c>
    </row>
    <row r="448" spans="1:5" ht="14.25" customHeight="1" x14ac:dyDescent="0.3">
      <c r="A448" s="7"/>
      <c r="B448" s="7"/>
      <c r="C448" s="7"/>
      <c r="D448" s="7"/>
      <c r="E448" s="3" t="str">
        <f t="shared" si="6"/>
        <v/>
      </c>
    </row>
    <row r="449" spans="1:5" ht="14.25" customHeight="1" x14ac:dyDescent="0.3">
      <c r="A449" s="7"/>
      <c r="B449" s="7"/>
      <c r="C449" s="7"/>
      <c r="D449" s="7"/>
      <c r="E449" s="3" t="str">
        <f t="shared" si="6"/>
        <v/>
      </c>
    </row>
    <row r="450" spans="1:5" ht="14.25" customHeight="1" x14ac:dyDescent="0.3">
      <c r="A450" s="7"/>
      <c r="B450" s="7"/>
      <c r="C450" s="7"/>
      <c r="D450" s="7"/>
      <c r="E450" s="3" t="str">
        <f t="shared" ref="E450:E500" si="7">IF(COUNTA(A450:D450)=0,"",IF(OR(C450="",D450="",C450&gt;=D450),"INVALID TIME RANGE",IF(SUMPRODUCT(($A$2:$A$500=A450)*($B$2:$B$500=B450)*($C$2:$C$500&lt;D450)*($D$2:$D$500&gt;C450))&gt;1,"OVERLAPPING UNAVAILABILITY","OK")))</f>
        <v/>
      </c>
    </row>
    <row r="451" spans="1:5" ht="14.25" customHeight="1" x14ac:dyDescent="0.3">
      <c r="A451" s="7"/>
      <c r="B451" s="7"/>
      <c r="C451" s="7"/>
      <c r="D451" s="7"/>
      <c r="E451" s="3" t="str">
        <f t="shared" si="7"/>
        <v/>
      </c>
    </row>
    <row r="452" spans="1:5" ht="14.25" customHeight="1" x14ac:dyDescent="0.3">
      <c r="A452" s="7"/>
      <c r="B452" s="7"/>
      <c r="C452" s="7"/>
      <c r="D452" s="7"/>
      <c r="E452" s="3" t="str">
        <f t="shared" si="7"/>
        <v/>
      </c>
    </row>
    <row r="453" spans="1:5" ht="14.25" customHeight="1" x14ac:dyDescent="0.3">
      <c r="A453" s="7"/>
      <c r="B453" s="7"/>
      <c r="C453" s="7"/>
      <c r="D453" s="7"/>
      <c r="E453" s="3" t="str">
        <f t="shared" si="7"/>
        <v/>
      </c>
    </row>
    <row r="454" spans="1:5" ht="14.25" customHeight="1" x14ac:dyDescent="0.3">
      <c r="A454" s="7"/>
      <c r="B454" s="7"/>
      <c r="C454" s="7"/>
      <c r="D454" s="7"/>
      <c r="E454" s="3" t="str">
        <f t="shared" si="7"/>
        <v/>
      </c>
    </row>
    <row r="455" spans="1:5" ht="14.25" customHeight="1" x14ac:dyDescent="0.3">
      <c r="A455" s="7"/>
      <c r="B455" s="7"/>
      <c r="C455" s="7"/>
      <c r="D455" s="7"/>
      <c r="E455" s="3" t="str">
        <f t="shared" si="7"/>
        <v/>
      </c>
    </row>
    <row r="456" spans="1:5" ht="14.25" customHeight="1" x14ac:dyDescent="0.3">
      <c r="A456" s="7"/>
      <c r="B456" s="7"/>
      <c r="C456" s="7"/>
      <c r="D456" s="7"/>
      <c r="E456" s="3" t="str">
        <f t="shared" si="7"/>
        <v/>
      </c>
    </row>
    <row r="457" spans="1:5" ht="14.25" customHeight="1" x14ac:dyDescent="0.3">
      <c r="A457" s="7"/>
      <c r="B457" s="7"/>
      <c r="C457" s="7"/>
      <c r="D457" s="7"/>
      <c r="E457" s="3" t="str">
        <f t="shared" si="7"/>
        <v/>
      </c>
    </row>
    <row r="458" spans="1:5" ht="14.25" customHeight="1" x14ac:dyDescent="0.3">
      <c r="A458" s="7"/>
      <c r="B458" s="7"/>
      <c r="C458" s="7"/>
      <c r="D458" s="7"/>
      <c r="E458" s="3" t="str">
        <f t="shared" si="7"/>
        <v/>
      </c>
    </row>
    <row r="459" spans="1:5" ht="14.25" customHeight="1" x14ac:dyDescent="0.3">
      <c r="A459" s="7"/>
      <c r="B459" s="7"/>
      <c r="C459" s="7"/>
      <c r="D459" s="7"/>
      <c r="E459" s="3" t="str">
        <f t="shared" si="7"/>
        <v/>
      </c>
    </row>
    <row r="460" spans="1:5" ht="14.25" customHeight="1" x14ac:dyDescent="0.3">
      <c r="A460" s="7"/>
      <c r="B460" s="7"/>
      <c r="C460" s="7"/>
      <c r="D460" s="7"/>
      <c r="E460" s="3" t="str">
        <f t="shared" si="7"/>
        <v/>
      </c>
    </row>
    <row r="461" spans="1:5" ht="14.25" customHeight="1" x14ac:dyDescent="0.3">
      <c r="A461" s="7"/>
      <c r="B461" s="7"/>
      <c r="C461" s="7"/>
      <c r="D461" s="7"/>
      <c r="E461" s="3" t="str">
        <f t="shared" si="7"/>
        <v/>
      </c>
    </row>
    <row r="462" spans="1:5" ht="14.25" customHeight="1" x14ac:dyDescent="0.3">
      <c r="A462" s="7"/>
      <c r="B462" s="7"/>
      <c r="C462" s="7"/>
      <c r="D462" s="7"/>
      <c r="E462" s="3" t="str">
        <f t="shared" si="7"/>
        <v/>
      </c>
    </row>
    <row r="463" spans="1:5" ht="14.25" customHeight="1" x14ac:dyDescent="0.3">
      <c r="A463" s="7"/>
      <c r="B463" s="7"/>
      <c r="C463" s="7"/>
      <c r="D463" s="7"/>
      <c r="E463" s="3" t="str">
        <f t="shared" si="7"/>
        <v/>
      </c>
    </row>
    <row r="464" spans="1:5" ht="14.25" customHeight="1" x14ac:dyDescent="0.3">
      <c r="A464" s="7"/>
      <c r="B464" s="7"/>
      <c r="C464" s="7"/>
      <c r="D464" s="7"/>
      <c r="E464" s="3" t="str">
        <f t="shared" si="7"/>
        <v/>
      </c>
    </row>
    <row r="465" spans="1:5" ht="14.25" customHeight="1" x14ac:dyDescent="0.3">
      <c r="A465" s="7"/>
      <c r="B465" s="7"/>
      <c r="C465" s="7"/>
      <c r="D465" s="7"/>
      <c r="E465" s="3" t="str">
        <f t="shared" si="7"/>
        <v/>
      </c>
    </row>
    <row r="466" spans="1:5" ht="14.25" customHeight="1" x14ac:dyDescent="0.3">
      <c r="A466" s="7"/>
      <c r="B466" s="7"/>
      <c r="C466" s="7"/>
      <c r="D466" s="7"/>
      <c r="E466" s="3" t="str">
        <f t="shared" si="7"/>
        <v/>
      </c>
    </row>
    <row r="467" spans="1:5" ht="14.25" customHeight="1" x14ac:dyDescent="0.3">
      <c r="A467" s="7"/>
      <c r="B467" s="7"/>
      <c r="C467" s="7"/>
      <c r="D467" s="7"/>
      <c r="E467" s="3" t="str">
        <f t="shared" si="7"/>
        <v/>
      </c>
    </row>
    <row r="468" spans="1:5" ht="14.25" customHeight="1" x14ac:dyDescent="0.3">
      <c r="A468" s="7"/>
      <c r="B468" s="7"/>
      <c r="C468" s="7"/>
      <c r="D468" s="7"/>
      <c r="E468" s="3" t="str">
        <f t="shared" si="7"/>
        <v/>
      </c>
    </row>
    <row r="469" spans="1:5" ht="14.25" customHeight="1" x14ac:dyDescent="0.3">
      <c r="A469" s="7"/>
      <c r="B469" s="7"/>
      <c r="C469" s="7"/>
      <c r="D469" s="7"/>
      <c r="E469" s="3" t="str">
        <f t="shared" si="7"/>
        <v/>
      </c>
    </row>
    <row r="470" spans="1:5" ht="14.25" customHeight="1" x14ac:dyDescent="0.3">
      <c r="A470" s="7"/>
      <c r="B470" s="7"/>
      <c r="C470" s="7"/>
      <c r="D470" s="7"/>
      <c r="E470" s="3" t="str">
        <f t="shared" si="7"/>
        <v/>
      </c>
    </row>
    <row r="471" spans="1:5" ht="14.25" customHeight="1" x14ac:dyDescent="0.3">
      <c r="A471" s="7"/>
      <c r="B471" s="7"/>
      <c r="C471" s="7"/>
      <c r="D471" s="7"/>
      <c r="E471" s="3" t="str">
        <f t="shared" si="7"/>
        <v/>
      </c>
    </row>
    <row r="472" spans="1:5" ht="14.25" customHeight="1" x14ac:dyDescent="0.3">
      <c r="A472" s="7"/>
      <c r="B472" s="7"/>
      <c r="C472" s="7"/>
      <c r="D472" s="7"/>
      <c r="E472" s="3" t="str">
        <f t="shared" si="7"/>
        <v/>
      </c>
    </row>
    <row r="473" spans="1:5" ht="14.25" customHeight="1" x14ac:dyDescent="0.3">
      <c r="A473" s="7"/>
      <c r="B473" s="7"/>
      <c r="C473" s="7"/>
      <c r="D473" s="7"/>
      <c r="E473" s="3" t="str">
        <f t="shared" si="7"/>
        <v/>
      </c>
    </row>
    <row r="474" spans="1:5" ht="14.25" customHeight="1" x14ac:dyDescent="0.3">
      <c r="A474" s="7"/>
      <c r="B474" s="7"/>
      <c r="C474" s="7"/>
      <c r="D474" s="7"/>
      <c r="E474" s="3" t="str">
        <f t="shared" si="7"/>
        <v/>
      </c>
    </row>
    <row r="475" spans="1:5" ht="14.25" customHeight="1" x14ac:dyDescent="0.3">
      <c r="A475" s="7"/>
      <c r="B475" s="7"/>
      <c r="C475" s="7"/>
      <c r="D475" s="7"/>
      <c r="E475" s="3" t="str">
        <f t="shared" si="7"/>
        <v/>
      </c>
    </row>
    <row r="476" spans="1:5" ht="14.25" customHeight="1" x14ac:dyDescent="0.3">
      <c r="A476" s="7"/>
      <c r="B476" s="7"/>
      <c r="C476" s="7"/>
      <c r="D476" s="7"/>
      <c r="E476" s="3" t="str">
        <f t="shared" si="7"/>
        <v/>
      </c>
    </row>
    <row r="477" spans="1:5" ht="14.25" customHeight="1" x14ac:dyDescent="0.3">
      <c r="A477" s="7"/>
      <c r="B477" s="7"/>
      <c r="C477" s="7"/>
      <c r="D477" s="7"/>
      <c r="E477" s="3" t="str">
        <f t="shared" si="7"/>
        <v/>
      </c>
    </row>
    <row r="478" spans="1:5" ht="14.25" customHeight="1" x14ac:dyDescent="0.3">
      <c r="A478" s="7"/>
      <c r="B478" s="7"/>
      <c r="C478" s="7"/>
      <c r="D478" s="7"/>
      <c r="E478" s="3" t="str">
        <f t="shared" si="7"/>
        <v/>
      </c>
    </row>
    <row r="479" spans="1:5" ht="14.25" customHeight="1" x14ac:dyDescent="0.3">
      <c r="A479" s="7"/>
      <c r="B479" s="7"/>
      <c r="C479" s="7"/>
      <c r="D479" s="7"/>
      <c r="E479" s="3" t="str">
        <f t="shared" si="7"/>
        <v/>
      </c>
    </row>
    <row r="480" spans="1:5" ht="14.25" customHeight="1" x14ac:dyDescent="0.3">
      <c r="A480" s="7"/>
      <c r="B480" s="7"/>
      <c r="C480" s="7"/>
      <c r="D480" s="7"/>
      <c r="E480" s="3" t="str">
        <f t="shared" si="7"/>
        <v/>
      </c>
    </row>
    <row r="481" spans="1:5" ht="14.25" customHeight="1" x14ac:dyDescent="0.3">
      <c r="A481" s="7"/>
      <c r="B481" s="7"/>
      <c r="C481" s="7"/>
      <c r="D481" s="7"/>
      <c r="E481" s="3" t="str">
        <f t="shared" si="7"/>
        <v/>
      </c>
    </row>
    <row r="482" spans="1:5" ht="14.25" customHeight="1" x14ac:dyDescent="0.3">
      <c r="A482" s="7"/>
      <c r="B482" s="7"/>
      <c r="C482" s="7"/>
      <c r="D482" s="7"/>
      <c r="E482" s="3" t="str">
        <f t="shared" si="7"/>
        <v/>
      </c>
    </row>
    <row r="483" spans="1:5" ht="14.25" customHeight="1" x14ac:dyDescent="0.3">
      <c r="A483" s="7"/>
      <c r="B483" s="7"/>
      <c r="C483" s="7"/>
      <c r="D483" s="7"/>
      <c r="E483" s="3" t="str">
        <f t="shared" si="7"/>
        <v/>
      </c>
    </row>
    <row r="484" spans="1:5" ht="14.25" customHeight="1" x14ac:dyDescent="0.3">
      <c r="A484" s="7"/>
      <c r="B484" s="7"/>
      <c r="C484" s="7"/>
      <c r="D484" s="7"/>
      <c r="E484" s="3" t="str">
        <f t="shared" si="7"/>
        <v/>
      </c>
    </row>
    <row r="485" spans="1:5" ht="14.25" customHeight="1" x14ac:dyDescent="0.3">
      <c r="A485" s="7"/>
      <c r="B485" s="7"/>
      <c r="C485" s="7"/>
      <c r="D485" s="7"/>
      <c r="E485" s="3" t="str">
        <f t="shared" si="7"/>
        <v/>
      </c>
    </row>
    <row r="486" spans="1:5" ht="14.25" customHeight="1" x14ac:dyDescent="0.3">
      <c r="A486" s="7"/>
      <c r="B486" s="7"/>
      <c r="C486" s="7"/>
      <c r="D486" s="7"/>
      <c r="E486" s="3" t="str">
        <f t="shared" si="7"/>
        <v/>
      </c>
    </row>
    <row r="487" spans="1:5" ht="14.25" customHeight="1" x14ac:dyDescent="0.3">
      <c r="A487" s="7"/>
      <c r="B487" s="7"/>
      <c r="C487" s="7"/>
      <c r="D487" s="7"/>
      <c r="E487" s="3" t="str">
        <f t="shared" si="7"/>
        <v/>
      </c>
    </row>
    <row r="488" spans="1:5" ht="14.25" customHeight="1" x14ac:dyDescent="0.3">
      <c r="A488" s="7"/>
      <c r="B488" s="7"/>
      <c r="C488" s="7"/>
      <c r="D488" s="7"/>
      <c r="E488" s="3" t="str">
        <f t="shared" si="7"/>
        <v/>
      </c>
    </row>
    <row r="489" spans="1:5" ht="14.25" customHeight="1" x14ac:dyDescent="0.3">
      <c r="A489" s="7"/>
      <c r="B489" s="7"/>
      <c r="C489" s="7"/>
      <c r="D489" s="7"/>
      <c r="E489" s="3" t="str">
        <f t="shared" si="7"/>
        <v/>
      </c>
    </row>
    <row r="490" spans="1:5" ht="14.25" customHeight="1" x14ac:dyDescent="0.3">
      <c r="A490" s="7"/>
      <c r="B490" s="7"/>
      <c r="C490" s="7"/>
      <c r="D490" s="7"/>
      <c r="E490" s="3" t="str">
        <f t="shared" si="7"/>
        <v/>
      </c>
    </row>
    <row r="491" spans="1:5" ht="14.25" customHeight="1" x14ac:dyDescent="0.3">
      <c r="A491" s="7"/>
      <c r="B491" s="7"/>
      <c r="C491" s="7"/>
      <c r="D491" s="7"/>
      <c r="E491" s="3" t="str">
        <f t="shared" si="7"/>
        <v/>
      </c>
    </row>
    <row r="492" spans="1:5" ht="14.25" customHeight="1" x14ac:dyDescent="0.3">
      <c r="A492" s="7"/>
      <c r="B492" s="7"/>
      <c r="C492" s="7"/>
      <c r="D492" s="7"/>
      <c r="E492" s="3" t="str">
        <f t="shared" si="7"/>
        <v/>
      </c>
    </row>
    <row r="493" spans="1:5" ht="14.25" customHeight="1" x14ac:dyDescent="0.3">
      <c r="A493" s="7"/>
      <c r="B493" s="7"/>
      <c r="C493" s="7"/>
      <c r="D493" s="7"/>
      <c r="E493" s="3" t="str">
        <f t="shared" si="7"/>
        <v/>
      </c>
    </row>
    <row r="494" spans="1:5" ht="14.25" customHeight="1" x14ac:dyDescent="0.3">
      <c r="A494" s="7"/>
      <c r="B494" s="7"/>
      <c r="C494" s="7"/>
      <c r="D494" s="7"/>
      <c r="E494" s="3" t="str">
        <f t="shared" si="7"/>
        <v/>
      </c>
    </row>
    <row r="495" spans="1:5" ht="14.25" customHeight="1" x14ac:dyDescent="0.3">
      <c r="A495" s="7"/>
      <c r="B495" s="7"/>
      <c r="C495" s="7"/>
      <c r="D495" s="7"/>
      <c r="E495" s="3" t="str">
        <f t="shared" si="7"/>
        <v/>
      </c>
    </row>
    <row r="496" spans="1:5" ht="14.25" customHeight="1" x14ac:dyDescent="0.3">
      <c r="A496" s="7"/>
      <c r="B496" s="7"/>
      <c r="C496" s="7"/>
      <c r="D496" s="7"/>
      <c r="E496" s="3" t="str">
        <f t="shared" si="7"/>
        <v/>
      </c>
    </row>
    <row r="497" spans="1:5" ht="14.25" customHeight="1" x14ac:dyDescent="0.3">
      <c r="A497" s="7"/>
      <c r="B497" s="7"/>
      <c r="C497" s="7"/>
      <c r="D497" s="7"/>
      <c r="E497" s="3" t="str">
        <f t="shared" si="7"/>
        <v/>
      </c>
    </row>
    <row r="498" spans="1:5" ht="14.25" customHeight="1" x14ac:dyDescent="0.3">
      <c r="A498" s="7"/>
      <c r="B498" s="7"/>
      <c r="C498" s="7"/>
      <c r="D498" s="7"/>
      <c r="E498" s="3" t="str">
        <f t="shared" si="7"/>
        <v/>
      </c>
    </row>
    <row r="499" spans="1:5" ht="14.25" customHeight="1" x14ac:dyDescent="0.3">
      <c r="A499" s="7"/>
      <c r="B499" s="7"/>
      <c r="C499" s="7"/>
      <c r="D499" s="7"/>
      <c r="E499" s="3" t="str">
        <f t="shared" si="7"/>
        <v/>
      </c>
    </row>
    <row r="500" spans="1:5" ht="14.25" customHeight="1" x14ac:dyDescent="0.3">
      <c r="A500" s="7"/>
      <c r="B500" s="7"/>
      <c r="C500" s="7"/>
      <c r="D500" s="7"/>
      <c r="E500" s="3" t="str">
        <f t="shared" si="7"/>
        <v/>
      </c>
    </row>
    <row r="501" spans="1:5" ht="14.25" customHeight="1" x14ac:dyDescent="0.3">
      <c r="A501" s="15"/>
      <c r="B501" s="15"/>
      <c r="C501" s="15"/>
      <c r="D501" s="15"/>
      <c r="E501" s="14"/>
    </row>
    <row r="502" spans="1:5" ht="14.25" customHeight="1" x14ac:dyDescent="0.3">
      <c r="A502" s="15"/>
      <c r="B502" s="15"/>
      <c r="C502" s="15"/>
      <c r="D502" s="15"/>
      <c r="E502" s="14"/>
    </row>
    <row r="503" spans="1:5" ht="14.25" customHeight="1" x14ac:dyDescent="0.3">
      <c r="A503" s="15"/>
      <c r="B503" s="15"/>
      <c r="C503" s="15"/>
      <c r="D503" s="15"/>
      <c r="E503" s="14"/>
    </row>
    <row r="504" spans="1:5" ht="14.25" customHeight="1" x14ac:dyDescent="0.3">
      <c r="A504" s="15"/>
      <c r="B504" s="15"/>
      <c r="C504" s="15"/>
      <c r="D504" s="15"/>
      <c r="E504" s="14"/>
    </row>
    <row r="505" spans="1:5" ht="14.25" customHeight="1" x14ac:dyDescent="0.3">
      <c r="A505" s="15"/>
      <c r="B505" s="15"/>
      <c r="C505" s="15"/>
      <c r="D505" s="15"/>
      <c r="E505" s="14"/>
    </row>
    <row r="506" spans="1:5" ht="14.25" customHeight="1" x14ac:dyDescent="0.3">
      <c r="A506" s="15"/>
      <c r="B506" s="15"/>
      <c r="C506" s="15"/>
      <c r="D506" s="15"/>
      <c r="E506" s="14"/>
    </row>
    <row r="507" spans="1:5" ht="14.25" customHeight="1" x14ac:dyDescent="0.3">
      <c r="A507" s="15"/>
      <c r="B507" s="15"/>
      <c r="C507" s="15"/>
      <c r="D507" s="15"/>
      <c r="E507" s="14"/>
    </row>
    <row r="508" spans="1:5" ht="14.25" customHeight="1" x14ac:dyDescent="0.3">
      <c r="A508" s="15"/>
      <c r="B508" s="15"/>
      <c r="C508" s="15"/>
      <c r="D508" s="15"/>
      <c r="E508" s="14"/>
    </row>
    <row r="509" spans="1:5" ht="14.25" customHeight="1" x14ac:dyDescent="0.3">
      <c r="A509" s="15"/>
      <c r="B509" s="15"/>
      <c r="C509" s="15"/>
      <c r="D509" s="15"/>
      <c r="E509" s="14"/>
    </row>
    <row r="510" spans="1:5" ht="14.25" customHeight="1" x14ac:dyDescent="0.3">
      <c r="A510" s="15"/>
      <c r="B510" s="15"/>
      <c r="C510" s="15"/>
      <c r="D510" s="15"/>
      <c r="E510" s="14"/>
    </row>
    <row r="511" spans="1:5" ht="14.25" customHeight="1" x14ac:dyDescent="0.3">
      <c r="A511" s="15"/>
      <c r="B511" s="15"/>
      <c r="C511" s="15"/>
      <c r="D511" s="15"/>
      <c r="E511" s="14"/>
    </row>
    <row r="512" spans="1:5" ht="14.25" customHeight="1" x14ac:dyDescent="0.3">
      <c r="A512" s="15"/>
      <c r="B512" s="15"/>
      <c r="C512" s="15"/>
      <c r="D512" s="15"/>
      <c r="E512" s="14"/>
    </row>
    <row r="513" spans="1:5" ht="14.25" customHeight="1" x14ac:dyDescent="0.3">
      <c r="A513" s="15"/>
      <c r="B513" s="15"/>
      <c r="C513" s="15"/>
      <c r="D513" s="15"/>
      <c r="E513" s="14"/>
    </row>
    <row r="514" spans="1:5" ht="14.25" customHeight="1" x14ac:dyDescent="0.3">
      <c r="A514" s="15"/>
      <c r="B514" s="15"/>
      <c r="C514" s="15"/>
      <c r="D514" s="15"/>
      <c r="E514" s="14"/>
    </row>
    <row r="515" spans="1:5" ht="14.25" customHeight="1" x14ac:dyDescent="0.3">
      <c r="A515" s="15"/>
      <c r="B515" s="15"/>
      <c r="C515" s="15"/>
      <c r="D515" s="15"/>
      <c r="E515" s="14"/>
    </row>
    <row r="516" spans="1:5" ht="14.25" customHeight="1" x14ac:dyDescent="0.3">
      <c r="A516" s="15"/>
      <c r="B516" s="15"/>
      <c r="C516" s="15"/>
      <c r="D516" s="15"/>
      <c r="E516" s="14"/>
    </row>
    <row r="517" spans="1:5" ht="14.25" customHeight="1" x14ac:dyDescent="0.3">
      <c r="A517" s="15"/>
      <c r="B517" s="15"/>
      <c r="C517" s="15"/>
      <c r="D517" s="15"/>
      <c r="E517" s="14"/>
    </row>
    <row r="518" spans="1:5" ht="14.25" customHeight="1" x14ac:dyDescent="0.3">
      <c r="A518" s="15"/>
      <c r="B518" s="15"/>
      <c r="C518" s="15"/>
      <c r="D518" s="15"/>
      <c r="E518" s="14"/>
    </row>
    <row r="519" spans="1:5" ht="14.25" customHeight="1" x14ac:dyDescent="0.3">
      <c r="A519" s="15"/>
      <c r="B519" s="15"/>
      <c r="C519" s="15"/>
      <c r="D519" s="15"/>
      <c r="E519" s="14"/>
    </row>
    <row r="520" spans="1:5" ht="14.25" customHeight="1" x14ac:dyDescent="0.3">
      <c r="A520" s="15"/>
      <c r="B520" s="15"/>
      <c r="C520" s="15"/>
      <c r="D520" s="15"/>
      <c r="E520" s="14"/>
    </row>
    <row r="521" spans="1:5" ht="14.25" customHeight="1" x14ac:dyDescent="0.3">
      <c r="A521" s="15"/>
      <c r="B521" s="15"/>
      <c r="C521" s="15"/>
      <c r="D521" s="15"/>
      <c r="E521" s="14"/>
    </row>
    <row r="522" spans="1:5" ht="14.25" customHeight="1" x14ac:dyDescent="0.3">
      <c r="A522" s="15"/>
      <c r="B522" s="15"/>
      <c r="C522" s="15"/>
      <c r="D522" s="15"/>
      <c r="E522" s="14"/>
    </row>
    <row r="523" spans="1:5" ht="14.25" customHeight="1" x14ac:dyDescent="0.3">
      <c r="A523" s="15"/>
      <c r="B523" s="15"/>
      <c r="C523" s="15"/>
      <c r="D523" s="15"/>
      <c r="E523" s="14"/>
    </row>
    <row r="524" spans="1:5" ht="14.25" customHeight="1" x14ac:dyDescent="0.3">
      <c r="A524" s="15"/>
      <c r="B524" s="15"/>
      <c r="C524" s="15"/>
      <c r="D524" s="15"/>
      <c r="E524" s="14"/>
    </row>
    <row r="525" spans="1:5" ht="14.25" customHeight="1" x14ac:dyDescent="0.3">
      <c r="A525" s="15"/>
      <c r="B525" s="15"/>
      <c r="C525" s="15"/>
      <c r="D525" s="15"/>
      <c r="E525" s="14"/>
    </row>
    <row r="526" spans="1:5" ht="14.25" customHeight="1" x14ac:dyDescent="0.3">
      <c r="A526" s="15"/>
      <c r="B526" s="15"/>
      <c r="C526" s="15"/>
      <c r="D526" s="15"/>
      <c r="E526" s="14"/>
    </row>
    <row r="527" spans="1:5" ht="14.25" customHeight="1" x14ac:dyDescent="0.3">
      <c r="A527" s="15"/>
      <c r="B527" s="15"/>
      <c r="C527" s="15"/>
      <c r="D527" s="15"/>
      <c r="E527" s="14"/>
    </row>
    <row r="528" spans="1:5" ht="14.25" customHeight="1" x14ac:dyDescent="0.3">
      <c r="A528" s="15"/>
      <c r="B528" s="15"/>
      <c r="C528" s="15"/>
      <c r="D528" s="15"/>
      <c r="E528" s="14"/>
    </row>
    <row r="529" spans="1:5" ht="14.25" customHeight="1" x14ac:dyDescent="0.3">
      <c r="A529" s="15"/>
      <c r="B529" s="15"/>
      <c r="C529" s="15"/>
      <c r="D529" s="15"/>
      <c r="E529" s="14"/>
    </row>
    <row r="530" spans="1:5" ht="14.25" customHeight="1" x14ac:dyDescent="0.3">
      <c r="A530" s="15"/>
      <c r="B530" s="15"/>
      <c r="C530" s="15"/>
      <c r="D530" s="15"/>
      <c r="E530" s="14"/>
    </row>
    <row r="531" spans="1:5" ht="14.25" customHeight="1" x14ac:dyDescent="0.3">
      <c r="A531" s="15"/>
      <c r="B531" s="15"/>
      <c r="C531" s="15"/>
      <c r="D531" s="15"/>
      <c r="E531" s="14"/>
    </row>
    <row r="532" spans="1:5" ht="14.25" customHeight="1" x14ac:dyDescent="0.3">
      <c r="A532" s="15"/>
      <c r="B532" s="15"/>
      <c r="C532" s="15"/>
      <c r="D532" s="15"/>
      <c r="E532" s="14"/>
    </row>
    <row r="533" spans="1:5" ht="14.25" customHeight="1" x14ac:dyDescent="0.3">
      <c r="A533" s="15"/>
      <c r="B533" s="15"/>
      <c r="C533" s="15"/>
      <c r="D533" s="15"/>
      <c r="E533" s="14"/>
    </row>
    <row r="534" spans="1:5" ht="14.25" customHeight="1" x14ac:dyDescent="0.3">
      <c r="A534" s="15"/>
      <c r="B534" s="15"/>
      <c r="C534" s="15"/>
      <c r="D534" s="15"/>
      <c r="E534" s="14"/>
    </row>
    <row r="535" spans="1:5" ht="14.25" customHeight="1" x14ac:dyDescent="0.3">
      <c r="A535" s="15"/>
      <c r="B535" s="15"/>
      <c r="C535" s="15"/>
      <c r="D535" s="15"/>
      <c r="E535" s="14"/>
    </row>
    <row r="536" spans="1:5" ht="14.25" customHeight="1" x14ac:dyDescent="0.3">
      <c r="A536" s="15"/>
      <c r="B536" s="15"/>
      <c r="C536" s="15"/>
      <c r="D536" s="15"/>
      <c r="E536" s="14"/>
    </row>
    <row r="537" spans="1:5" ht="14.25" customHeight="1" x14ac:dyDescent="0.3">
      <c r="A537" s="15"/>
      <c r="B537" s="15"/>
      <c r="C537" s="15"/>
      <c r="D537" s="15"/>
      <c r="E537" s="14"/>
    </row>
    <row r="538" spans="1:5" ht="14.25" customHeight="1" x14ac:dyDescent="0.3">
      <c r="A538" s="15"/>
      <c r="B538" s="15"/>
      <c r="C538" s="15"/>
      <c r="D538" s="15"/>
      <c r="E538" s="14"/>
    </row>
    <row r="539" spans="1:5" ht="14.25" customHeight="1" x14ac:dyDescent="0.3">
      <c r="A539" s="15"/>
      <c r="B539" s="15"/>
      <c r="C539" s="15"/>
      <c r="D539" s="15"/>
      <c r="E539" s="14"/>
    </row>
    <row r="540" spans="1:5" ht="14.25" customHeight="1" x14ac:dyDescent="0.3">
      <c r="A540" s="15"/>
      <c r="B540" s="15"/>
      <c r="C540" s="15"/>
      <c r="D540" s="15"/>
      <c r="E540" s="14"/>
    </row>
    <row r="541" spans="1:5" ht="14.25" customHeight="1" x14ac:dyDescent="0.3">
      <c r="A541" s="15"/>
      <c r="B541" s="15"/>
      <c r="C541" s="15"/>
      <c r="D541" s="15"/>
      <c r="E541" s="14"/>
    </row>
    <row r="542" spans="1:5" ht="14.25" customHeight="1" x14ac:dyDescent="0.3">
      <c r="A542" s="15"/>
      <c r="B542" s="15"/>
      <c r="C542" s="15"/>
      <c r="D542" s="15"/>
      <c r="E542" s="14"/>
    </row>
    <row r="543" spans="1:5" ht="14.25" customHeight="1" x14ac:dyDescent="0.3">
      <c r="A543" s="15"/>
      <c r="B543" s="15"/>
      <c r="C543" s="15"/>
      <c r="D543" s="15"/>
      <c r="E543" s="14"/>
    </row>
    <row r="544" spans="1:5" ht="14.25" customHeight="1" x14ac:dyDescent="0.3">
      <c r="A544" s="15"/>
      <c r="B544" s="15"/>
      <c r="C544" s="15"/>
      <c r="D544" s="15"/>
      <c r="E544" s="14"/>
    </row>
    <row r="545" spans="1:5" ht="14.25" customHeight="1" x14ac:dyDescent="0.3">
      <c r="A545" s="15"/>
      <c r="B545" s="15"/>
      <c r="C545" s="15"/>
      <c r="D545" s="15"/>
      <c r="E545" s="14"/>
    </row>
    <row r="546" spans="1:5" ht="14.25" customHeight="1" x14ac:dyDescent="0.3">
      <c r="A546" s="15"/>
      <c r="B546" s="15"/>
      <c r="C546" s="15"/>
      <c r="D546" s="15"/>
      <c r="E546" s="14"/>
    </row>
    <row r="547" spans="1:5" ht="14.25" customHeight="1" x14ac:dyDescent="0.3">
      <c r="A547" s="15"/>
      <c r="B547" s="15"/>
      <c r="C547" s="15"/>
      <c r="D547" s="15"/>
      <c r="E547" s="14"/>
    </row>
    <row r="548" spans="1:5" ht="14.25" customHeight="1" x14ac:dyDescent="0.3">
      <c r="A548" s="15"/>
      <c r="B548" s="15"/>
      <c r="C548" s="15"/>
      <c r="D548" s="15"/>
      <c r="E548" s="14"/>
    </row>
    <row r="549" spans="1:5" ht="14.25" customHeight="1" x14ac:dyDescent="0.3">
      <c r="A549" s="15"/>
      <c r="B549" s="15"/>
      <c r="C549" s="15"/>
      <c r="D549" s="15"/>
      <c r="E549" s="14"/>
    </row>
    <row r="550" spans="1:5" ht="14.25" customHeight="1" x14ac:dyDescent="0.3">
      <c r="A550" s="15"/>
      <c r="B550" s="15"/>
      <c r="C550" s="15"/>
      <c r="D550" s="15"/>
      <c r="E550" s="14"/>
    </row>
    <row r="551" spans="1:5" ht="14.25" customHeight="1" x14ac:dyDescent="0.3">
      <c r="A551" s="15"/>
      <c r="B551" s="15"/>
      <c r="C551" s="15"/>
      <c r="D551" s="15"/>
      <c r="E551" s="14"/>
    </row>
    <row r="552" spans="1:5" ht="14.25" customHeight="1" x14ac:dyDescent="0.3">
      <c r="A552" s="15"/>
      <c r="B552" s="15"/>
      <c r="C552" s="15"/>
      <c r="D552" s="15"/>
      <c r="E552" s="14"/>
    </row>
    <row r="553" spans="1:5" ht="14.25" customHeight="1" x14ac:dyDescent="0.3">
      <c r="A553" s="15"/>
      <c r="B553" s="15"/>
      <c r="C553" s="15"/>
      <c r="D553" s="15"/>
      <c r="E553" s="14"/>
    </row>
    <row r="554" spans="1:5" ht="14.25" customHeight="1" x14ac:dyDescent="0.3">
      <c r="A554" s="15"/>
      <c r="B554" s="15"/>
      <c r="C554" s="15"/>
      <c r="D554" s="15"/>
      <c r="E554" s="14"/>
    </row>
    <row r="555" spans="1:5" ht="14.25" customHeight="1" x14ac:dyDescent="0.3">
      <c r="A555" s="15"/>
      <c r="B555" s="15"/>
      <c r="C555" s="15"/>
      <c r="D555" s="15"/>
      <c r="E555" s="14"/>
    </row>
    <row r="556" spans="1:5" ht="14.25" customHeight="1" x14ac:dyDescent="0.3">
      <c r="A556" s="15"/>
      <c r="B556" s="15"/>
      <c r="C556" s="15"/>
      <c r="D556" s="15"/>
      <c r="E556" s="14"/>
    </row>
    <row r="557" spans="1:5" ht="14.25" customHeight="1" x14ac:dyDescent="0.3">
      <c r="A557" s="15"/>
      <c r="B557" s="15"/>
      <c r="C557" s="15"/>
      <c r="D557" s="15"/>
      <c r="E557" s="14"/>
    </row>
    <row r="558" spans="1:5" ht="14.25" customHeight="1" x14ac:dyDescent="0.3">
      <c r="A558" s="15"/>
      <c r="B558" s="15"/>
      <c r="C558" s="15"/>
      <c r="D558" s="15"/>
      <c r="E558" s="14"/>
    </row>
    <row r="559" spans="1:5" ht="14.25" customHeight="1" x14ac:dyDescent="0.3">
      <c r="A559" s="15"/>
      <c r="B559" s="15"/>
      <c r="C559" s="15"/>
      <c r="D559" s="15"/>
      <c r="E559" s="14"/>
    </row>
    <row r="560" spans="1:5" ht="14.25" customHeight="1" x14ac:dyDescent="0.3">
      <c r="A560" s="15"/>
      <c r="B560" s="15"/>
      <c r="C560" s="15"/>
      <c r="D560" s="15"/>
      <c r="E560" s="14"/>
    </row>
    <row r="561" spans="1:5" ht="14.25" customHeight="1" x14ac:dyDescent="0.3">
      <c r="A561" s="15"/>
      <c r="B561" s="15"/>
      <c r="C561" s="15"/>
      <c r="D561" s="15"/>
      <c r="E561" s="14"/>
    </row>
    <row r="562" spans="1:5" ht="14.25" customHeight="1" x14ac:dyDescent="0.3">
      <c r="A562" s="15"/>
      <c r="B562" s="15"/>
      <c r="C562" s="15"/>
      <c r="D562" s="15"/>
      <c r="E562" s="14"/>
    </row>
    <row r="563" spans="1:5" ht="14.25" customHeight="1" x14ac:dyDescent="0.3">
      <c r="A563" s="15"/>
      <c r="B563" s="15"/>
      <c r="C563" s="15"/>
      <c r="D563" s="15"/>
      <c r="E563" s="14"/>
    </row>
    <row r="564" spans="1:5" ht="14.25" customHeight="1" x14ac:dyDescent="0.3">
      <c r="A564" s="15"/>
      <c r="B564" s="15"/>
      <c r="C564" s="15"/>
      <c r="D564" s="15"/>
      <c r="E564" s="14"/>
    </row>
    <row r="565" spans="1:5" ht="14.25" customHeight="1" x14ac:dyDescent="0.3">
      <c r="A565" s="15"/>
      <c r="B565" s="15"/>
      <c r="C565" s="15"/>
      <c r="D565" s="15"/>
      <c r="E565" s="14"/>
    </row>
    <row r="566" spans="1:5" ht="14.25" customHeight="1" x14ac:dyDescent="0.3">
      <c r="A566" s="15"/>
      <c r="B566" s="15"/>
      <c r="C566" s="15"/>
      <c r="D566" s="15"/>
      <c r="E566" s="14"/>
    </row>
    <row r="567" spans="1:5" ht="14.25" customHeight="1" x14ac:dyDescent="0.3">
      <c r="A567" s="15"/>
      <c r="B567" s="15"/>
      <c r="C567" s="15"/>
      <c r="D567" s="15"/>
      <c r="E567" s="14"/>
    </row>
    <row r="568" spans="1:5" ht="14.25" customHeight="1" x14ac:dyDescent="0.3">
      <c r="A568" s="15"/>
      <c r="B568" s="15"/>
      <c r="C568" s="15"/>
      <c r="D568" s="15"/>
      <c r="E568" s="14"/>
    </row>
    <row r="569" spans="1:5" ht="14.25" customHeight="1" x14ac:dyDescent="0.3">
      <c r="A569" s="15"/>
      <c r="B569" s="15"/>
      <c r="C569" s="15"/>
      <c r="D569" s="15"/>
      <c r="E569" s="14"/>
    </row>
    <row r="570" spans="1:5" ht="14.25" customHeight="1" x14ac:dyDescent="0.3">
      <c r="A570" s="15"/>
      <c r="B570" s="15"/>
      <c r="C570" s="15"/>
      <c r="D570" s="15"/>
      <c r="E570" s="14"/>
    </row>
    <row r="571" spans="1:5" ht="14.25" customHeight="1" x14ac:dyDescent="0.3">
      <c r="A571" s="15"/>
      <c r="B571" s="15"/>
      <c r="C571" s="15"/>
      <c r="D571" s="15"/>
      <c r="E571" s="14"/>
    </row>
    <row r="572" spans="1:5" ht="14.25" customHeight="1" x14ac:dyDescent="0.3">
      <c r="A572" s="15"/>
      <c r="B572" s="15"/>
      <c r="C572" s="15"/>
      <c r="D572" s="15"/>
      <c r="E572" s="14"/>
    </row>
    <row r="573" spans="1:5" ht="14.25" customHeight="1" x14ac:dyDescent="0.3">
      <c r="A573" s="15"/>
      <c r="B573" s="15"/>
      <c r="C573" s="15"/>
      <c r="D573" s="15"/>
      <c r="E573" s="14"/>
    </row>
    <row r="574" spans="1:5" ht="14.25" customHeight="1" x14ac:dyDescent="0.3">
      <c r="A574" s="15"/>
      <c r="B574" s="15"/>
      <c r="C574" s="15"/>
      <c r="D574" s="15"/>
      <c r="E574" s="14"/>
    </row>
    <row r="575" spans="1:5" ht="14.25" customHeight="1" x14ac:dyDescent="0.3">
      <c r="A575" s="15"/>
      <c r="B575" s="15"/>
      <c r="C575" s="15"/>
      <c r="D575" s="15"/>
      <c r="E575" s="14"/>
    </row>
    <row r="576" spans="1:5" ht="14.25" customHeight="1" x14ac:dyDescent="0.3">
      <c r="A576" s="15"/>
      <c r="B576" s="15"/>
      <c r="C576" s="15"/>
      <c r="D576" s="15"/>
      <c r="E576" s="14"/>
    </row>
    <row r="577" spans="1:5" ht="14.25" customHeight="1" x14ac:dyDescent="0.3">
      <c r="A577" s="15"/>
      <c r="B577" s="15"/>
      <c r="C577" s="15"/>
      <c r="D577" s="15"/>
      <c r="E577" s="14"/>
    </row>
    <row r="578" spans="1:5" ht="14.25" customHeight="1" x14ac:dyDescent="0.3">
      <c r="A578" s="15"/>
      <c r="B578" s="15"/>
      <c r="C578" s="15"/>
      <c r="D578" s="15"/>
      <c r="E578" s="14"/>
    </row>
    <row r="579" spans="1:5" ht="14.25" customHeight="1" x14ac:dyDescent="0.3">
      <c r="A579" s="15"/>
      <c r="B579" s="15"/>
      <c r="C579" s="15"/>
      <c r="D579" s="15"/>
      <c r="E579" s="14"/>
    </row>
    <row r="580" spans="1:5" ht="14.25" customHeight="1" x14ac:dyDescent="0.3">
      <c r="A580" s="15"/>
      <c r="B580" s="15"/>
      <c r="C580" s="15"/>
      <c r="D580" s="15"/>
      <c r="E580" s="14"/>
    </row>
    <row r="581" spans="1:5" ht="14.25" customHeight="1" x14ac:dyDescent="0.3">
      <c r="A581" s="15"/>
      <c r="B581" s="15"/>
      <c r="C581" s="15"/>
      <c r="D581" s="15"/>
      <c r="E581" s="14"/>
    </row>
    <row r="582" spans="1:5" ht="14.25" customHeight="1" x14ac:dyDescent="0.3">
      <c r="A582" s="15"/>
      <c r="B582" s="15"/>
      <c r="C582" s="15"/>
      <c r="D582" s="15"/>
      <c r="E582" s="14"/>
    </row>
    <row r="583" spans="1:5" ht="14.25" customHeight="1" x14ac:dyDescent="0.3">
      <c r="A583" s="15"/>
      <c r="B583" s="15"/>
      <c r="C583" s="15"/>
      <c r="D583" s="15"/>
      <c r="E583" s="14"/>
    </row>
    <row r="584" spans="1:5" ht="14.25" customHeight="1" x14ac:dyDescent="0.3">
      <c r="A584" s="15"/>
      <c r="B584" s="15"/>
      <c r="C584" s="15"/>
      <c r="D584" s="15"/>
      <c r="E584" s="14"/>
    </row>
    <row r="585" spans="1:5" ht="14.25" customHeight="1" x14ac:dyDescent="0.3">
      <c r="A585" s="15"/>
      <c r="B585" s="15"/>
      <c r="C585" s="15"/>
      <c r="D585" s="15"/>
      <c r="E585" s="14"/>
    </row>
    <row r="586" spans="1:5" ht="14.25" customHeight="1" x14ac:dyDescent="0.3">
      <c r="A586" s="15"/>
      <c r="B586" s="15"/>
      <c r="C586" s="15"/>
      <c r="D586" s="15"/>
      <c r="E586" s="14"/>
    </row>
    <row r="587" spans="1:5" ht="14.25" customHeight="1" x14ac:dyDescent="0.3">
      <c r="A587" s="15"/>
      <c r="B587" s="15"/>
      <c r="C587" s="15"/>
      <c r="D587" s="15"/>
      <c r="E587" s="14"/>
    </row>
    <row r="588" spans="1:5" ht="14.25" customHeight="1" x14ac:dyDescent="0.3">
      <c r="A588" s="15"/>
      <c r="B588" s="15"/>
      <c r="C588" s="15"/>
      <c r="D588" s="15"/>
      <c r="E588" s="14"/>
    </row>
    <row r="589" spans="1:5" ht="14.25" customHeight="1" x14ac:dyDescent="0.3">
      <c r="A589" s="15"/>
      <c r="B589" s="15"/>
      <c r="C589" s="15"/>
      <c r="D589" s="15"/>
      <c r="E589" s="14"/>
    </row>
    <row r="590" spans="1:5" ht="14.25" customHeight="1" x14ac:dyDescent="0.3">
      <c r="A590" s="15"/>
      <c r="B590" s="15"/>
      <c r="C590" s="15"/>
      <c r="D590" s="15"/>
      <c r="E590" s="14"/>
    </row>
    <row r="591" spans="1:5" ht="14.25" customHeight="1" x14ac:dyDescent="0.3">
      <c r="A591" s="15"/>
      <c r="B591" s="15"/>
      <c r="C591" s="15"/>
      <c r="D591" s="15"/>
      <c r="E591" s="14"/>
    </row>
    <row r="592" spans="1:5" ht="14.25" customHeight="1" x14ac:dyDescent="0.3">
      <c r="A592" s="15"/>
      <c r="B592" s="15"/>
      <c r="C592" s="15"/>
      <c r="D592" s="15"/>
      <c r="E592" s="14"/>
    </row>
    <row r="593" spans="1:5" ht="14.25" customHeight="1" x14ac:dyDescent="0.3">
      <c r="A593" s="15"/>
      <c r="B593" s="15"/>
      <c r="C593" s="15"/>
      <c r="D593" s="15"/>
      <c r="E593" s="14"/>
    </row>
    <row r="594" spans="1:5" ht="14.25" customHeight="1" x14ac:dyDescent="0.3">
      <c r="A594" s="15"/>
      <c r="B594" s="15"/>
      <c r="C594" s="15"/>
      <c r="D594" s="15"/>
      <c r="E594" s="14"/>
    </row>
    <row r="595" spans="1:5" ht="14.25" customHeight="1" x14ac:dyDescent="0.3">
      <c r="A595" s="15"/>
      <c r="B595" s="15"/>
      <c r="C595" s="15"/>
      <c r="D595" s="15"/>
      <c r="E595" s="14"/>
    </row>
    <row r="596" spans="1:5" ht="14.25" customHeight="1" x14ac:dyDescent="0.3">
      <c r="A596" s="15"/>
      <c r="B596" s="15"/>
      <c r="C596" s="15"/>
      <c r="D596" s="15"/>
      <c r="E596" s="14"/>
    </row>
    <row r="597" spans="1:5" ht="14.25" customHeight="1" x14ac:dyDescent="0.3">
      <c r="A597" s="15"/>
      <c r="B597" s="15"/>
      <c r="C597" s="15"/>
      <c r="D597" s="15"/>
      <c r="E597" s="14"/>
    </row>
    <row r="598" spans="1:5" ht="14.25" customHeight="1" x14ac:dyDescent="0.3">
      <c r="A598" s="15"/>
      <c r="B598" s="15"/>
      <c r="C598" s="15"/>
      <c r="D598" s="15"/>
      <c r="E598" s="14"/>
    </row>
    <row r="599" spans="1:5" ht="14.25" customHeight="1" x14ac:dyDescent="0.3">
      <c r="A599" s="15"/>
      <c r="B599" s="15"/>
      <c r="C599" s="15"/>
      <c r="D599" s="15"/>
      <c r="E599" s="14"/>
    </row>
    <row r="600" spans="1:5" ht="14.25" customHeight="1" x14ac:dyDescent="0.3">
      <c r="A600" s="15"/>
      <c r="B600" s="15"/>
      <c r="C600" s="15"/>
      <c r="D600" s="15"/>
      <c r="E600" s="14"/>
    </row>
    <row r="601" spans="1:5" ht="14.25" customHeight="1" x14ac:dyDescent="0.3">
      <c r="A601" s="15"/>
      <c r="B601" s="15"/>
      <c r="C601" s="15"/>
      <c r="D601" s="15"/>
      <c r="E601" s="14"/>
    </row>
    <row r="602" spans="1:5" ht="14.25" customHeight="1" x14ac:dyDescent="0.3">
      <c r="A602" s="15"/>
      <c r="B602" s="15"/>
      <c r="C602" s="15"/>
      <c r="D602" s="15"/>
      <c r="E602" s="14"/>
    </row>
    <row r="603" spans="1:5" ht="14.25" customHeight="1" x14ac:dyDescent="0.3">
      <c r="A603" s="15"/>
      <c r="B603" s="15"/>
      <c r="C603" s="15"/>
      <c r="D603" s="15"/>
      <c r="E603" s="14"/>
    </row>
    <row r="604" spans="1:5" ht="14.25" customHeight="1" x14ac:dyDescent="0.3">
      <c r="A604" s="15"/>
      <c r="B604" s="15"/>
      <c r="C604" s="15"/>
      <c r="D604" s="15"/>
      <c r="E604" s="14"/>
    </row>
    <row r="605" spans="1:5" ht="14.25" customHeight="1" x14ac:dyDescent="0.3">
      <c r="A605" s="15"/>
      <c r="B605" s="15"/>
      <c r="C605" s="15"/>
      <c r="D605" s="15"/>
      <c r="E605" s="14"/>
    </row>
    <row r="606" spans="1:5" ht="14.25" customHeight="1" x14ac:dyDescent="0.3">
      <c r="A606" s="15"/>
      <c r="B606" s="15"/>
      <c r="C606" s="15"/>
      <c r="D606" s="15"/>
      <c r="E606" s="14"/>
    </row>
    <row r="607" spans="1:5" ht="14.25" customHeight="1" x14ac:dyDescent="0.3">
      <c r="A607" s="15"/>
      <c r="B607" s="15"/>
      <c r="C607" s="15"/>
      <c r="D607" s="15"/>
      <c r="E607" s="14"/>
    </row>
    <row r="608" spans="1:5" ht="14.25" customHeight="1" x14ac:dyDescent="0.3">
      <c r="A608" s="15"/>
      <c r="B608" s="15"/>
      <c r="C608" s="15"/>
      <c r="D608" s="15"/>
      <c r="E608" s="14"/>
    </row>
    <row r="609" spans="1:5" ht="14.25" customHeight="1" x14ac:dyDescent="0.3">
      <c r="A609" s="15"/>
      <c r="B609" s="15"/>
      <c r="C609" s="15"/>
      <c r="D609" s="15"/>
      <c r="E609" s="14"/>
    </row>
    <row r="610" spans="1:5" ht="14.25" customHeight="1" x14ac:dyDescent="0.3">
      <c r="A610" s="15"/>
      <c r="B610" s="15"/>
      <c r="C610" s="15"/>
      <c r="D610" s="15"/>
      <c r="E610" s="14"/>
    </row>
    <row r="611" spans="1:5" ht="14.25" customHeight="1" x14ac:dyDescent="0.3">
      <c r="A611" s="15"/>
      <c r="B611" s="15"/>
      <c r="C611" s="15"/>
      <c r="D611" s="15"/>
      <c r="E611" s="14"/>
    </row>
    <row r="612" spans="1:5" ht="14.25" customHeight="1" x14ac:dyDescent="0.3">
      <c r="A612" s="15"/>
      <c r="B612" s="15"/>
      <c r="C612" s="15"/>
      <c r="D612" s="15"/>
      <c r="E612" s="14"/>
    </row>
    <row r="613" spans="1:5" ht="14.25" customHeight="1" x14ac:dyDescent="0.3">
      <c r="A613" s="15"/>
      <c r="B613" s="15"/>
      <c r="C613" s="15"/>
      <c r="D613" s="15"/>
      <c r="E613" s="14"/>
    </row>
    <row r="614" spans="1:5" ht="14.25" customHeight="1" x14ac:dyDescent="0.3">
      <c r="A614" s="15"/>
      <c r="B614" s="15"/>
      <c r="C614" s="15"/>
      <c r="D614" s="15"/>
      <c r="E614" s="14"/>
    </row>
    <row r="615" spans="1:5" ht="14.25" customHeight="1" x14ac:dyDescent="0.3">
      <c r="A615" s="15"/>
      <c r="B615" s="15"/>
      <c r="C615" s="15"/>
      <c r="D615" s="15"/>
      <c r="E615" s="14"/>
    </row>
    <row r="616" spans="1:5" ht="14.25" customHeight="1" x14ac:dyDescent="0.3">
      <c r="A616" s="15"/>
      <c r="B616" s="15"/>
      <c r="C616" s="15"/>
      <c r="D616" s="15"/>
      <c r="E616" s="14"/>
    </row>
    <row r="617" spans="1:5" ht="14.25" customHeight="1" x14ac:dyDescent="0.3">
      <c r="A617" s="15"/>
      <c r="B617" s="15"/>
      <c r="C617" s="15"/>
      <c r="D617" s="15"/>
      <c r="E617" s="14"/>
    </row>
    <row r="618" spans="1:5" ht="14.25" customHeight="1" x14ac:dyDescent="0.3">
      <c r="A618" s="15"/>
      <c r="B618" s="15"/>
      <c r="C618" s="15"/>
      <c r="D618" s="15"/>
      <c r="E618" s="14"/>
    </row>
    <row r="619" spans="1:5" ht="14.25" customHeight="1" x14ac:dyDescent="0.3">
      <c r="A619" s="15"/>
      <c r="B619" s="15"/>
      <c r="C619" s="15"/>
      <c r="D619" s="15"/>
      <c r="E619" s="14"/>
    </row>
    <row r="620" spans="1:5" ht="14.25" customHeight="1" x14ac:dyDescent="0.3">
      <c r="A620" s="15"/>
      <c r="B620" s="15"/>
      <c r="C620" s="15"/>
      <c r="D620" s="15"/>
      <c r="E620" s="14"/>
    </row>
    <row r="621" spans="1:5" ht="14.25" customHeight="1" x14ac:dyDescent="0.3">
      <c r="A621" s="15"/>
      <c r="B621" s="15"/>
      <c r="C621" s="15"/>
      <c r="D621" s="15"/>
      <c r="E621" s="14"/>
    </row>
    <row r="622" spans="1:5" ht="14.25" customHeight="1" x14ac:dyDescent="0.3">
      <c r="A622" s="15"/>
      <c r="B622" s="15"/>
      <c r="C622" s="15"/>
      <c r="D622" s="15"/>
      <c r="E622" s="14"/>
    </row>
    <row r="623" spans="1:5" ht="14.25" customHeight="1" x14ac:dyDescent="0.3">
      <c r="A623" s="15"/>
      <c r="B623" s="15"/>
      <c r="C623" s="15"/>
      <c r="D623" s="15"/>
      <c r="E623" s="14"/>
    </row>
    <row r="624" spans="1:5" ht="14.25" customHeight="1" x14ac:dyDescent="0.3">
      <c r="A624" s="15"/>
      <c r="B624" s="15"/>
      <c r="C624" s="15"/>
      <c r="D624" s="15"/>
      <c r="E624" s="14"/>
    </row>
    <row r="625" spans="1:5" ht="14.25" customHeight="1" x14ac:dyDescent="0.3">
      <c r="A625" s="15"/>
      <c r="B625" s="15"/>
      <c r="C625" s="15"/>
      <c r="D625" s="15"/>
      <c r="E625" s="14"/>
    </row>
    <row r="626" spans="1:5" ht="14.25" customHeight="1" x14ac:dyDescent="0.3">
      <c r="A626" s="15"/>
      <c r="B626" s="15"/>
      <c r="C626" s="15"/>
      <c r="D626" s="15"/>
      <c r="E626" s="14"/>
    </row>
    <row r="627" spans="1:5" ht="14.25" customHeight="1" x14ac:dyDescent="0.3">
      <c r="A627" s="15"/>
      <c r="B627" s="15"/>
      <c r="C627" s="15"/>
      <c r="D627" s="15"/>
      <c r="E627" s="14"/>
    </row>
    <row r="628" spans="1:5" ht="14.25" customHeight="1" x14ac:dyDescent="0.3">
      <c r="A628" s="15"/>
      <c r="B628" s="15"/>
      <c r="C628" s="15"/>
      <c r="D628" s="15"/>
      <c r="E628" s="14"/>
    </row>
    <row r="629" spans="1:5" ht="14.25" customHeight="1" x14ac:dyDescent="0.3">
      <c r="A629" s="15"/>
      <c r="B629" s="15"/>
      <c r="C629" s="15"/>
      <c r="D629" s="15"/>
      <c r="E629" s="14"/>
    </row>
    <row r="630" spans="1:5" ht="14.25" customHeight="1" x14ac:dyDescent="0.3">
      <c r="A630" s="15"/>
      <c r="B630" s="15"/>
      <c r="C630" s="15"/>
      <c r="D630" s="15"/>
      <c r="E630" s="14"/>
    </row>
    <row r="631" spans="1:5" ht="14.25" customHeight="1" x14ac:dyDescent="0.3">
      <c r="A631" s="15"/>
      <c r="B631" s="15"/>
      <c r="C631" s="15"/>
      <c r="D631" s="15"/>
      <c r="E631" s="14"/>
    </row>
    <row r="632" spans="1:5" ht="14.25" customHeight="1" x14ac:dyDescent="0.3">
      <c r="A632" s="15"/>
      <c r="B632" s="15"/>
      <c r="C632" s="15"/>
      <c r="D632" s="15"/>
      <c r="E632" s="14"/>
    </row>
    <row r="633" spans="1:5" ht="14.25" customHeight="1" x14ac:dyDescent="0.3">
      <c r="A633" s="15"/>
      <c r="B633" s="15"/>
      <c r="C633" s="15"/>
      <c r="D633" s="15"/>
      <c r="E633" s="14"/>
    </row>
    <row r="634" spans="1:5" ht="14.25" customHeight="1" x14ac:dyDescent="0.3">
      <c r="A634" s="15"/>
      <c r="B634" s="15"/>
      <c r="C634" s="15"/>
      <c r="D634" s="15"/>
      <c r="E634" s="14"/>
    </row>
    <row r="635" spans="1:5" ht="14.25" customHeight="1" x14ac:dyDescent="0.3">
      <c r="A635" s="15"/>
      <c r="B635" s="15"/>
      <c r="C635" s="15"/>
      <c r="D635" s="15"/>
      <c r="E635" s="14"/>
    </row>
    <row r="636" spans="1:5" ht="14.25" customHeight="1" x14ac:dyDescent="0.3">
      <c r="A636" s="15"/>
      <c r="B636" s="15"/>
      <c r="C636" s="15"/>
      <c r="D636" s="15"/>
      <c r="E636" s="14"/>
    </row>
    <row r="637" spans="1:5" ht="14.25" customHeight="1" x14ac:dyDescent="0.3">
      <c r="A637" s="15"/>
      <c r="B637" s="15"/>
      <c r="C637" s="15"/>
      <c r="D637" s="15"/>
      <c r="E637" s="14"/>
    </row>
    <row r="638" spans="1:5" ht="14.25" customHeight="1" x14ac:dyDescent="0.3">
      <c r="A638" s="15"/>
      <c r="B638" s="15"/>
      <c r="C638" s="15"/>
      <c r="D638" s="15"/>
      <c r="E638" s="14"/>
    </row>
    <row r="639" spans="1:5" ht="14.25" customHeight="1" x14ac:dyDescent="0.3">
      <c r="A639" s="15"/>
      <c r="B639" s="15"/>
      <c r="C639" s="15"/>
      <c r="D639" s="15"/>
      <c r="E639" s="14"/>
    </row>
    <row r="640" spans="1:5" ht="14.25" customHeight="1" x14ac:dyDescent="0.3">
      <c r="A640" s="15"/>
      <c r="B640" s="15"/>
      <c r="C640" s="15"/>
      <c r="D640" s="15"/>
      <c r="E640" s="14"/>
    </row>
    <row r="641" spans="1:5" ht="14.25" customHeight="1" x14ac:dyDescent="0.3">
      <c r="A641" s="15"/>
      <c r="B641" s="15"/>
      <c r="C641" s="15"/>
      <c r="D641" s="15"/>
      <c r="E641" s="14"/>
    </row>
    <row r="642" spans="1:5" ht="14.25" customHeight="1" x14ac:dyDescent="0.3">
      <c r="A642" s="15"/>
      <c r="B642" s="15"/>
      <c r="C642" s="15"/>
      <c r="D642" s="15"/>
      <c r="E642" s="14"/>
    </row>
    <row r="643" spans="1:5" ht="14.25" customHeight="1" x14ac:dyDescent="0.3">
      <c r="A643" s="15"/>
      <c r="B643" s="15"/>
      <c r="C643" s="15"/>
      <c r="D643" s="15"/>
      <c r="E643" s="14"/>
    </row>
    <row r="644" spans="1:5" ht="14.25" customHeight="1" x14ac:dyDescent="0.3">
      <c r="A644" s="15"/>
      <c r="B644" s="15"/>
      <c r="C644" s="15"/>
      <c r="D644" s="15"/>
      <c r="E644" s="14"/>
    </row>
    <row r="645" spans="1:5" ht="14.25" customHeight="1" x14ac:dyDescent="0.3">
      <c r="A645" s="15"/>
      <c r="B645" s="15"/>
      <c r="C645" s="15"/>
      <c r="D645" s="15"/>
      <c r="E645" s="14"/>
    </row>
    <row r="646" spans="1:5" ht="14.25" customHeight="1" x14ac:dyDescent="0.3">
      <c r="A646" s="15"/>
      <c r="B646" s="15"/>
      <c r="C646" s="15"/>
      <c r="D646" s="15"/>
      <c r="E646" s="14"/>
    </row>
    <row r="647" spans="1:5" ht="14.25" customHeight="1" x14ac:dyDescent="0.3">
      <c r="A647" s="15"/>
      <c r="B647" s="15"/>
      <c r="C647" s="15"/>
      <c r="D647" s="15"/>
      <c r="E647" s="14"/>
    </row>
    <row r="648" spans="1:5" ht="14.25" customHeight="1" x14ac:dyDescent="0.3">
      <c r="A648" s="15"/>
      <c r="B648" s="15"/>
      <c r="C648" s="15"/>
      <c r="D648" s="15"/>
      <c r="E648" s="14"/>
    </row>
    <row r="649" spans="1:5" ht="14.25" customHeight="1" x14ac:dyDescent="0.3">
      <c r="A649" s="15"/>
      <c r="B649" s="15"/>
      <c r="C649" s="15"/>
      <c r="D649" s="15"/>
      <c r="E649" s="14"/>
    </row>
    <row r="650" spans="1:5" ht="14.25" customHeight="1" x14ac:dyDescent="0.3">
      <c r="A650" s="15"/>
      <c r="B650" s="15"/>
      <c r="C650" s="15"/>
      <c r="D650" s="15"/>
      <c r="E650" s="14"/>
    </row>
    <row r="651" spans="1:5" ht="14.25" customHeight="1" x14ac:dyDescent="0.3">
      <c r="A651" s="15"/>
      <c r="B651" s="15"/>
      <c r="C651" s="15"/>
      <c r="D651" s="15"/>
      <c r="E651" s="14"/>
    </row>
    <row r="652" spans="1:5" ht="14.25" customHeight="1" x14ac:dyDescent="0.3">
      <c r="A652" s="15"/>
      <c r="B652" s="15"/>
      <c r="C652" s="15"/>
      <c r="D652" s="15"/>
      <c r="E652" s="14"/>
    </row>
    <row r="653" spans="1:5" ht="14.25" customHeight="1" x14ac:dyDescent="0.3">
      <c r="A653" s="15"/>
      <c r="B653" s="15"/>
      <c r="C653" s="15"/>
      <c r="D653" s="15"/>
      <c r="E653" s="14"/>
    </row>
    <row r="654" spans="1:5" ht="14.25" customHeight="1" x14ac:dyDescent="0.3">
      <c r="A654" s="15"/>
      <c r="B654" s="15"/>
      <c r="C654" s="15"/>
      <c r="D654" s="15"/>
      <c r="E654" s="14"/>
    </row>
    <row r="655" spans="1:5" ht="14.25" customHeight="1" x14ac:dyDescent="0.3">
      <c r="A655" s="15"/>
      <c r="B655" s="15"/>
      <c r="C655" s="15"/>
      <c r="D655" s="15"/>
      <c r="E655" s="14"/>
    </row>
    <row r="656" spans="1:5" ht="14.25" customHeight="1" x14ac:dyDescent="0.3">
      <c r="A656" s="15"/>
      <c r="B656" s="15"/>
      <c r="C656" s="15"/>
      <c r="D656" s="15"/>
      <c r="E656" s="14"/>
    </row>
    <row r="657" spans="1:5" ht="14.25" customHeight="1" x14ac:dyDescent="0.3">
      <c r="A657" s="15"/>
      <c r="B657" s="15"/>
      <c r="C657" s="15"/>
      <c r="D657" s="15"/>
      <c r="E657" s="14"/>
    </row>
    <row r="658" spans="1:5" ht="14.25" customHeight="1" x14ac:dyDescent="0.3">
      <c r="A658" s="15"/>
      <c r="B658" s="15"/>
      <c r="C658" s="15"/>
      <c r="D658" s="15"/>
      <c r="E658" s="14"/>
    </row>
    <row r="659" spans="1:5" ht="14.25" customHeight="1" x14ac:dyDescent="0.3">
      <c r="A659" s="15"/>
      <c r="B659" s="15"/>
      <c r="C659" s="15"/>
      <c r="D659" s="15"/>
      <c r="E659" s="14"/>
    </row>
    <row r="660" spans="1:5" ht="14.25" customHeight="1" x14ac:dyDescent="0.3">
      <c r="A660" s="15"/>
      <c r="B660" s="15"/>
      <c r="C660" s="15"/>
      <c r="D660" s="15"/>
      <c r="E660" s="14"/>
    </row>
    <row r="661" spans="1:5" ht="14.25" customHeight="1" x14ac:dyDescent="0.3">
      <c r="A661" s="15"/>
      <c r="B661" s="15"/>
      <c r="C661" s="15"/>
      <c r="D661" s="15"/>
      <c r="E661" s="14"/>
    </row>
    <row r="662" spans="1:5" ht="14.25" customHeight="1" x14ac:dyDescent="0.3">
      <c r="A662" s="15"/>
      <c r="B662" s="15"/>
      <c r="C662" s="15"/>
      <c r="D662" s="15"/>
      <c r="E662" s="14"/>
    </row>
    <row r="663" spans="1:5" ht="14.25" customHeight="1" x14ac:dyDescent="0.3">
      <c r="A663" s="15"/>
      <c r="B663" s="15"/>
      <c r="C663" s="15"/>
      <c r="D663" s="15"/>
      <c r="E663" s="14"/>
    </row>
    <row r="664" spans="1:5" ht="14.25" customHeight="1" x14ac:dyDescent="0.3">
      <c r="A664" s="15"/>
      <c r="B664" s="15"/>
      <c r="C664" s="15"/>
      <c r="D664" s="15"/>
      <c r="E664" s="14"/>
    </row>
    <row r="665" spans="1:5" ht="14.25" customHeight="1" x14ac:dyDescent="0.3">
      <c r="A665" s="15"/>
      <c r="B665" s="15"/>
      <c r="C665" s="15"/>
      <c r="D665" s="15"/>
      <c r="E665" s="14"/>
    </row>
    <row r="666" spans="1:5" ht="14.25" customHeight="1" x14ac:dyDescent="0.3">
      <c r="A666" s="15"/>
      <c r="B666" s="15"/>
      <c r="C666" s="15"/>
      <c r="D666" s="15"/>
      <c r="E666" s="14"/>
    </row>
    <row r="667" spans="1:5" ht="14.25" customHeight="1" x14ac:dyDescent="0.3">
      <c r="A667" s="15"/>
      <c r="B667" s="15"/>
      <c r="C667" s="15"/>
      <c r="D667" s="15"/>
      <c r="E667" s="14"/>
    </row>
    <row r="668" spans="1:5" ht="14.25" customHeight="1" x14ac:dyDescent="0.3">
      <c r="A668" s="15"/>
      <c r="B668" s="15"/>
      <c r="C668" s="15"/>
      <c r="D668" s="15"/>
      <c r="E668" s="14"/>
    </row>
    <row r="669" spans="1:5" ht="14.25" customHeight="1" x14ac:dyDescent="0.3">
      <c r="A669" s="15"/>
      <c r="B669" s="15"/>
      <c r="C669" s="15"/>
      <c r="D669" s="15"/>
      <c r="E669" s="14"/>
    </row>
    <row r="670" spans="1:5" ht="14.25" customHeight="1" x14ac:dyDescent="0.3">
      <c r="A670" s="15"/>
      <c r="B670" s="15"/>
      <c r="C670" s="15"/>
      <c r="D670" s="15"/>
      <c r="E670" s="14"/>
    </row>
    <row r="671" spans="1:5" ht="14.25" customHeight="1" x14ac:dyDescent="0.3">
      <c r="A671" s="15"/>
      <c r="B671" s="15"/>
      <c r="C671" s="15"/>
      <c r="D671" s="15"/>
      <c r="E671" s="14"/>
    </row>
    <row r="672" spans="1:5" ht="14.25" customHeight="1" x14ac:dyDescent="0.3">
      <c r="A672" s="15"/>
      <c r="B672" s="15"/>
      <c r="C672" s="15"/>
      <c r="D672" s="15"/>
      <c r="E672" s="14"/>
    </row>
    <row r="673" spans="1:5" ht="14.25" customHeight="1" x14ac:dyDescent="0.3">
      <c r="A673" s="15"/>
      <c r="B673" s="15"/>
      <c r="C673" s="15"/>
      <c r="D673" s="15"/>
      <c r="E673" s="14"/>
    </row>
    <row r="674" spans="1:5" ht="14.25" customHeight="1" x14ac:dyDescent="0.3">
      <c r="A674" s="15"/>
      <c r="B674" s="15"/>
      <c r="C674" s="15"/>
      <c r="D674" s="15"/>
      <c r="E674" s="14"/>
    </row>
    <row r="675" spans="1:5" ht="14.25" customHeight="1" x14ac:dyDescent="0.3">
      <c r="A675" s="15"/>
      <c r="B675" s="15"/>
      <c r="C675" s="15"/>
      <c r="D675" s="15"/>
      <c r="E675" s="14"/>
    </row>
    <row r="676" spans="1:5" ht="14.25" customHeight="1" x14ac:dyDescent="0.3">
      <c r="A676" s="15"/>
      <c r="B676" s="15"/>
      <c r="C676" s="15"/>
      <c r="D676" s="15"/>
      <c r="E676" s="14"/>
    </row>
    <row r="677" spans="1:5" ht="14.25" customHeight="1" x14ac:dyDescent="0.3">
      <c r="A677" s="15"/>
      <c r="B677" s="15"/>
      <c r="C677" s="15"/>
      <c r="D677" s="15"/>
      <c r="E677" s="14"/>
    </row>
    <row r="678" spans="1:5" ht="14.25" customHeight="1" x14ac:dyDescent="0.3">
      <c r="A678" s="15"/>
      <c r="B678" s="15"/>
      <c r="C678" s="15"/>
      <c r="D678" s="15"/>
      <c r="E678" s="14"/>
    </row>
    <row r="679" spans="1:5" ht="14.25" customHeight="1" x14ac:dyDescent="0.3">
      <c r="A679" s="15"/>
      <c r="B679" s="15"/>
      <c r="C679" s="15"/>
      <c r="D679" s="15"/>
      <c r="E679" s="14"/>
    </row>
    <row r="680" spans="1:5" ht="14.25" customHeight="1" x14ac:dyDescent="0.3">
      <c r="A680" s="15"/>
      <c r="B680" s="15"/>
      <c r="C680" s="15"/>
      <c r="D680" s="15"/>
      <c r="E680" s="14"/>
    </row>
    <row r="681" spans="1:5" ht="14.25" customHeight="1" x14ac:dyDescent="0.3">
      <c r="A681" s="15"/>
      <c r="B681" s="15"/>
      <c r="C681" s="15"/>
      <c r="D681" s="15"/>
      <c r="E681" s="14"/>
    </row>
    <row r="682" spans="1:5" ht="14.25" customHeight="1" x14ac:dyDescent="0.3">
      <c r="A682" s="15"/>
      <c r="B682" s="15"/>
      <c r="C682" s="15"/>
      <c r="D682" s="15"/>
      <c r="E682" s="14"/>
    </row>
    <row r="683" spans="1:5" ht="14.25" customHeight="1" x14ac:dyDescent="0.3">
      <c r="A683" s="15"/>
      <c r="B683" s="15"/>
      <c r="C683" s="15"/>
      <c r="D683" s="15"/>
      <c r="E683" s="14"/>
    </row>
    <row r="684" spans="1:5" ht="14.25" customHeight="1" x14ac:dyDescent="0.3">
      <c r="A684" s="15"/>
      <c r="B684" s="15"/>
      <c r="C684" s="15"/>
      <c r="D684" s="15"/>
      <c r="E684" s="14"/>
    </row>
    <row r="685" spans="1:5" ht="14.25" customHeight="1" x14ac:dyDescent="0.3">
      <c r="A685" s="15"/>
      <c r="B685" s="15"/>
      <c r="C685" s="15"/>
      <c r="D685" s="15"/>
      <c r="E685" s="14"/>
    </row>
    <row r="686" spans="1:5" ht="14.25" customHeight="1" x14ac:dyDescent="0.3">
      <c r="A686" s="15"/>
      <c r="B686" s="15"/>
      <c r="C686" s="15"/>
      <c r="D686" s="15"/>
      <c r="E686" s="14"/>
    </row>
    <row r="687" spans="1:5" ht="14.25" customHeight="1" x14ac:dyDescent="0.3">
      <c r="A687" s="15"/>
      <c r="B687" s="15"/>
      <c r="C687" s="15"/>
      <c r="D687" s="15"/>
      <c r="E687" s="14"/>
    </row>
    <row r="688" spans="1:5" ht="14.25" customHeight="1" x14ac:dyDescent="0.3">
      <c r="A688" s="15"/>
      <c r="B688" s="15"/>
      <c r="C688" s="15"/>
      <c r="D688" s="15"/>
      <c r="E688" s="14"/>
    </row>
    <row r="689" spans="1:5" ht="14.25" customHeight="1" x14ac:dyDescent="0.3">
      <c r="A689" s="15"/>
      <c r="B689" s="15"/>
      <c r="C689" s="15"/>
      <c r="D689" s="15"/>
      <c r="E689" s="14"/>
    </row>
    <row r="690" spans="1:5" ht="14.25" customHeight="1" x14ac:dyDescent="0.3">
      <c r="A690" s="15"/>
      <c r="B690" s="15"/>
      <c r="C690" s="15"/>
      <c r="D690" s="15"/>
      <c r="E690" s="14"/>
    </row>
    <row r="691" spans="1:5" ht="14.25" customHeight="1" x14ac:dyDescent="0.3">
      <c r="A691" s="15"/>
      <c r="B691" s="15"/>
      <c r="C691" s="15"/>
      <c r="D691" s="15"/>
      <c r="E691" s="14"/>
    </row>
    <row r="692" spans="1:5" ht="14.25" customHeight="1" x14ac:dyDescent="0.3">
      <c r="A692" s="15"/>
      <c r="B692" s="15"/>
      <c r="C692" s="15"/>
      <c r="D692" s="15"/>
      <c r="E692" s="14"/>
    </row>
    <row r="693" spans="1:5" ht="14.25" customHeight="1" x14ac:dyDescent="0.3">
      <c r="A693" s="15"/>
      <c r="B693" s="15"/>
      <c r="C693" s="15"/>
      <c r="D693" s="15"/>
      <c r="E693" s="14"/>
    </row>
    <row r="694" spans="1:5" ht="14.25" customHeight="1" x14ac:dyDescent="0.3">
      <c r="A694" s="15"/>
      <c r="B694" s="15"/>
      <c r="C694" s="15"/>
      <c r="D694" s="15"/>
      <c r="E694" s="14"/>
    </row>
    <row r="695" spans="1:5" ht="14.25" customHeight="1" x14ac:dyDescent="0.3">
      <c r="A695" s="15"/>
      <c r="B695" s="15"/>
      <c r="C695" s="15"/>
      <c r="D695" s="15"/>
      <c r="E695" s="14"/>
    </row>
    <row r="696" spans="1:5" ht="14.25" customHeight="1" x14ac:dyDescent="0.3">
      <c r="A696" s="15"/>
      <c r="B696" s="15"/>
      <c r="C696" s="15"/>
      <c r="D696" s="15"/>
      <c r="E696" s="14"/>
    </row>
    <row r="697" spans="1:5" ht="14.25" customHeight="1" x14ac:dyDescent="0.3">
      <c r="A697" s="15"/>
      <c r="B697" s="15"/>
      <c r="C697" s="15"/>
      <c r="D697" s="15"/>
      <c r="E697" s="14"/>
    </row>
    <row r="698" spans="1:5" ht="14.25" customHeight="1" x14ac:dyDescent="0.3">
      <c r="A698" s="15"/>
      <c r="B698" s="15"/>
      <c r="C698" s="15"/>
      <c r="D698" s="15"/>
      <c r="E698" s="14"/>
    </row>
    <row r="699" spans="1:5" ht="14.25" customHeight="1" x14ac:dyDescent="0.3">
      <c r="A699" s="15"/>
      <c r="B699" s="15"/>
      <c r="C699" s="15"/>
      <c r="D699" s="15"/>
      <c r="E699" s="14"/>
    </row>
    <row r="700" spans="1:5" ht="14.25" customHeight="1" x14ac:dyDescent="0.3">
      <c r="A700" s="15"/>
      <c r="B700" s="15"/>
      <c r="C700" s="15"/>
      <c r="D700" s="15"/>
      <c r="E700" s="14"/>
    </row>
    <row r="701" spans="1:5" ht="14.25" customHeight="1" x14ac:dyDescent="0.3">
      <c r="A701" s="15"/>
      <c r="B701" s="15"/>
      <c r="C701" s="15"/>
      <c r="D701" s="15"/>
      <c r="E701" s="14"/>
    </row>
    <row r="702" spans="1:5" ht="14.25" customHeight="1" x14ac:dyDescent="0.3">
      <c r="A702" s="15"/>
      <c r="B702" s="15"/>
      <c r="C702" s="15"/>
      <c r="D702" s="15"/>
      <c r="E702" s="14"/>
    </row>
    <row r="703" spans="1:5" ht="14.25" customHeight="1" x14ac:dyDescent="0.3">
      <c r="A703" s="15"/>
      <c r="B703" s="15"/>
      <c r="C703" s="15"/>
      <c r="D703" s="15"/>
      <c r="E703" s="14"/>
    </row>
    <row r="704" spans="1:5" ht="14.25" customHeight="1" x14ac:dyDescent="0.3">
      <c r="A704" s="15"/>
      <c r="B704" s="15"/>
      <c r="C704" s="15"/>
      <c r="D704" s="15"/>
      <c r="E704" s="14"/>
    </row>
    <row r="705" spans="1:5" ht="14.25" customHeight="1" x14ac:dyDescent="0.3">
      <c r="A705" s="15"/>
      <c r="B705" s="15"/>
      <c r="C705" s="15"/>
      <c r="D705" s="15"/>
      <c r="E705" s="14"/>
    </row>
    <row r="706" spans="1:5" ht="14.25" customHeight="1" x14ac:dyDescent="0.3">
      <c r="A706" s="15"/>
      <c r="B706" s="15"/>
      <c r="C706" s="15"/>
      <c r="D706" s="15"/>
      <c r="E706" s="14"/>
    </row>
    <row r="707" spans="1:5" ht="14.25" customHeight="1" x14ac:dyDescent="0.3">
      <c r="A707" s="15"/>
      <c r="B707" s="15"/>
      <c r="C707" s="15"/>
      <c r="D707" s="15"/>
      <c r="E707" s="14"/>
    </row>
    <row r="708" spans="1:5" ht="14.25" customHeight="1" x14ac:dyDescent="0.3">
      <c r="A708" s="15"/>
      <c r="B708" s="15"/>
      <c r="C708" s="15"/>
      <c r="D708" s="15"/>
      <c r="E708" s="14"/>
    </row>
    <row r="709" spans="1:5" ht="14.25" customHeight="1" x14ac:dyDescent="0.3">
      <c r="A709" s="15"/>
      <c r="B709" s="15"/>
      <c r="C709" s="15"/>
      <c r="D709" s="15"/>
      <c r="E709" s="14"/>
    </row>
    <row r="710" spans="1:5" ht="14.25" customHeight="1" x14ac:dyDescent="0.3">
      <c r="A710" s="15"/>
      <c r="B710" s="15"/>
      <c r="C710" s="15"/>
      <c r="D710" s="15"/>
      <c r="E710" s="14"/>
    </row>
    <row r="711" spans="1:5" ht="14.25" customHeight="1" x14ac:dyDescent="0.3">
      <c r="A711" s="15"/>
      <c r="B711" s="15"/>
      <c r="C711" s="15"/>
      <c r="D711" s="15"/>
      <c r="E711" s="14"/>
    </row>
    <row r="712" spans="1:5" ht="14.25" customHeight="1" x14ac:dyDescent="0.3">
      <c r="A712" s="15"/>
      <c r="B712" s="15"/>
      <c r="C712" s="15"/>
      <c r="D712" s="15"/>
      <c r="E712" s="14"/>
    </row>
    <row r="713" spans="1:5" ht="14.25" customHeight="1" x14ac:dyDescent="0.3">
      <c r="A713" s="15"/>
      <c r="B713" s="15"/>
      <c r="C713" s="15"/>
      <c r="D713" s="15"/>
      <c r="E713" s="14"/>
    </row>
    <row r="714" spans="1:5" ht="14.25" customHeight="1" x14ac:dyDescent="0.3">
      <c r="A714" s="15"/>
      <c r="B714" s="15"/>
      <c r="C714" s="15"/>
      <c r="D714" s="15"/>
      <c r="E714" s="14"/>
    </row>
    <row r="715" spans="1:5" ht="14.25" customHeight="1" x14ac:dyDescent="0.3">
      <c r="A715" s="15"/>
      <c r="B715" s="15"/>
      <c r="C715" s="15"/>
      <c r="D715" s="15"/>
      <c r="E715" s="14"/>
    </row>
    <row r="716" spans="1:5" ht="14.25" customHeight="1" x14ac:dyDescent="0.3">
      <c r="A716" s="15"/>
      <c r="B716" s="15"/>
      <c r="C716" s="15"/>
      <c r="D716" s="15"/>
      <c r="E716" s="14"/>
    </row>
    <row r="717" spans="1:5" ht="14.25" customHeight="1" x14ac:dyDescent="0.3">
      <c r="A717" s="15"/>
      <c r="B717" s="15"/>
      <c r="C717" s="15"/>
      <c r="D717" s="15"/>
      <c r="E717" s="14"/>
    </row>
    <row r="718" spans="1:5" ht="14.25" customHeight="1" x14ac:dyDescent="0.3">
      <c r="A718" s="15"/>
      <c r="B718" s="15"/>
      <c r="C718" s="15"/>
      <c r="D718" s="15"/>
      <c r="E718" s="14"/>
    </row>
    <row r="719" spans="1:5" ht="14.25" customHeight="1" x14ac:dyDescent="0.3">
      <c r="A719" s="15"/>
      <c r="B719" s="15"/>
      <c r="C719" s="15"/>
      <c r="D719" s="15"/>
      <c r="E719" s="14"/>
    </row>
    <row r="720" spans="1:5" ht="14.25" customHeight="1" x14ac:dyDescent="0.3">
      <c r="A720" s="15"/>
      <c r="B720" s="15"/>
      <c r="C720" s="15"/>
      <c r="D720" s="15"/>
      <c r="E720" s="14"/>
    </row>
    <row r="721" spans="1:5" ht="14.25" customHeight="1" x14ac:dyDescent="0.3">
      <c r="A721" s="15"/>
      <c r="B721" s="15"/>
      <c r="C721" s="15"/>
      <c r="D721" s="15"/>
      <c r="E721" s="14"/>
    </row>
    <row r="722" spans="1:5" ht="14.25" customHeight="1" x14ac:dyDescent="0.3">
      <c r="A722" s="15"/>
      <c r="B722" s="15"/>
      <c r="C722" s="15"/>
      <c r="D722" s="15"/>
      <c r="E722" s="14"/>
    </row>
    <row r="723" spans="1:5" ht="14.25" customHeight="1" x14ac:dyDescent="0.3">
      <c r="A723" s="15"/>
      <c r="B723" s="15"/>
      <c r="C723" s="15"/>
      <c r="D723" s="15"/>
      <c r="E723" s="14"/>
    </row>
    <row r="724" spans="1:5" ht="14.25" customHeight="1" x14ac:dyDescent="0.3">
      <c r="A724" s="15"/>
      <c r="B724" s="15"/>
      <c r="C724" s="15"/>
      <c r="D724" s="15"/>
      <c r="E724" s="14"/>
    </row>
    <row r="725" spans="1:5" ht="14.25" customHeight="1" x14ac:dyDescent="0.3">
      <c r="A725" s="15"/>
      <c r="B725" s="15"/>
      <c r="C725" s="15"/>
      <c r="D725" s="15"/>
      <c r="E725" s="14"/>
    </row>
    <row r="726" spans="1:5" ht="14.25" customHeight="1" x14ac:dyDescent="0.3">
      <c r="A726" s="15"/>
      <c r="B726" s="15"/>
      <c r="C726" s="15"/>
      <c r="D726" s="15"/>
      <c r="E726" s="14"/>
    </row>
    <row r="727" spans="1:5" ht="14.25" customHeight="1" x14ac:dyDescent="0.3">
      <c r="A727" s="15"/>
      <c r="B727" s="15"/>
      <c r="C727" s="15"/>
      <c r="D727" s="15"/>
      <c r="E727" s="14"/>
    </row>
    <row r="728" spans="1:5" ht="14.25" customHeight="1" x14ac:dyDescent="0.3">
      <c r="A728" s="15"/>
      <c r="B728" s="15"/>
      <c r="C728" s="15"/>
      <c r="D728" s="15"/>
      <c r="E728" s="14"/>
    </row>
    <row r="729" spans="1:5" ht="14.25" customHeight="1" x14ac:dyDescent="0.3">
      <c r="A729" s="15"/>
      <c r="B729" s="15"/>
      <c r="C729" s="15"/>
      <c r="D729" s="15"/>
      <c r="E729" s="14"/>
    </row>
    <row r="730" spans="1:5" ht="14.25" customHeight="1" x14ac:dyDescent="0.3">
      <c r="A730" s="15"/>
      <c r="B730" s="15"/>
      <c r="C730" s="15"/>
      <c r="D730" s="15"/>
      <c r="E730" s="14"/>
    </row>
    <row r="731" spans="1:5" ht="14.25" customHeight="1" x14ac:dyDescent="0.3">
      <c r="A731" s="15"/>
      <c r="B731" s="15"/>
      <c r="C731" s="15"/>
      <c r="D731" s="15"/>
      <c r="E731" s="14"/>
    </row>
    <row r="732" spans="1:5" ht="14.25" customHeight="1" x14ac:dyDescent="0.3">
      <c r="A732" s="15"/>
      <c r="B732" s="15"/>
      <c r="C732" s="15"/>
      <c r="D732" s="15"/>
      <c r="E732" s="14"/>
    </row>
    <row r="733" spans="1:5" ht="14.25" customHeight="1" x14ac:dyDescent="0.3">
      <c r="A733" s="15"/>
      <c r="B733" s="15"/>
      <c r="C733" s="15"/>
      <c r="D733" s="15"/>
      <c r="E733" s="14"/>
    </row>
    <row r="734" spans="1:5" ht="14.25" customHeight="1" x14ac:dyDescent="0.3">
      <c r="A734" s="15"/>
      <c r="B734" s="15"/>
      <c r="C734" s="15"/>
      <c r="D734" s="15"/>
      <c r="E734" s="14"/>
    </row>
    <row r="735" spans="1:5" ht="14.25" customHeight="1" x14ac:dyDescent="0.3">
      <c r="A735" s="15"/>
      <c r="B735" s="15"/>
      <c r="C735" s="15"/>
      <c r="D735" s="15"/>
      <c r="E735" s="14"/>
    </row>
    <row r="736" spans="1:5" ht="14.25" customHeight="1" x14ac:dyDescent="0.3">
      <c r="A736" s="15"/>
      <c r="B736" s="15"/>
      <c r="C736" s="15"/>
      <c r="D736" s="15"/>
      <c r="E736" s="14"/>
    </row>
    <row r="737" spans="1:5" ht="14.25" customHeight="1" x14ac:dyDescent="0.3">
      <c r="A737" s="15"/>
      <c r="B737" s="15"/>
      <c r="C737" s="15"/>
      <c r="D737" s="15"/>
      <c r="E737" s="14"/>
    </row>
    <row r="738" spans="1:5" ht="14.25" customHeight="1" x14ac:dyDescent="0.3">
      <c r="A738" s="15"/>
      <c r="B738" s="15"/>
      <c r="C738" s="15"/>
      <c r="D738" s="15"/>
      <c r="E738" s="14"/>
    </row>
    <row r="739" spans="1:5" ht="14.25" customHeight="1" x14ac:dyDescent="0.3">
      <c r="A739" s="15"/>
      <c r="B739" s="15"/>
      <c r="C739" s="15"/>
      <c r="D739" s="15"/>
      <c r="E739" s="14"/>
    </row>
    <row r="740" spans="1:5" ht="14.25" customHeight="1" x14ac:dyDescent="0.3">
      <c r="A740" s="15"/>
      <c r="B740" s="15"/>
      <c r="C740" s="15"/>
      <c r="D740" s="15"/>
      <c r="E740" s="14"/>
    </row>
    <row r="741" spans="1:5" ht="14.25" customHeight="1" x14ac:dyDescent="0.3">
      <c r="A741" s="15"/>
      <c r="B741" s="15"/>
      <c r="C741" s="15"/>
      <c r="D741" s="15"/>
      <c r="E741" s="14"/>
    </row>
    <row r="742" spans="1:5" ht="14.25" customHeight="1" x14ac:dyDescent="0.3">
      <c r="A742" s="15"/>
      <c r="B742" s="15"/>
      <c r="C742" s="15"/>
      <c r="D742" s="15"/>
      <c r="E742" s="14"/>
    </row>
    <row r="743" spans="1:5" ht="14.25" customHeight="1" x14ac:dyDescent="0.3">
      <c r="A743" s="15"/>
      <c r="B743" s="15"/>
      <c r="C743" s="15"/>
      <c r="D743" s="15"/>
      <c r="E743" s="14"/>
    </row>
    <row r="744" spans="1:5" ht="14.25" customHeight="1" x14ac:dyDescent="0.3">
      <c r="A744" s="15"/>
      <c r="B744" s="15"/>
      <c r="C744" s="15"/>
      <c r="D744" s="15"/>
      <c r="E744" s="14"/>
    </row>
    <row r="745" spans="1:5" ht="14.25" customHeight="1" x14ac:dyDescent="0.3">
      <c r="A745" s="15"/>
      <c r="B745" s="15"/>
      <c r="C745" s="15"/>
      <c r="D745" s="15"/>
      <c r="E745" s="14"/>
    </row>
    <row r="746" spans="1:5" ht="14.25" customHeight="1" x14ac:dyDescent="0.3">
      <c r="A746" s="15"/>
      <c r="B746" s="15"/>
      <c r="C746" s="15"/>
      <c r="D746" s="15"/>
      <c r="E746" s="14"/>
    </row>
    <row r="747" spans="1:5" ht="14.25" customHeight="1" x14ac:dyDescent="0.3">
      <c r="A747" s="15"/>
      <c r="B747" s="15"/>
      <c r="C747" s="15"/>
      <c r="D747" s="15"/>
      <c r="E747" s="14"/>
    </row>
    <row r="748" spans="1:5" ht="14.25" customHeight="1" x14ac:dyDescent="0.3">
      <c r="A748" s="15"/>
      <c r="B748" s="15"/>
      <c r="C748" s="15"/>
      <c r="D748" s="15"/>
      <c r="E748" s="14"/>
    </row>
    <row r="749" spans="1:5" ht="14.25" customHeight="1" x14ac:dyDescent="0.3">
      <c r="A749" s="15"/>
      <c r="B749" s="15"/>
      <c r="C749" s="15"/>
      <c r="D749" s="15"/>
      <c r="E749" s="14"/>
    </row>
    <row r="750" spans="1:5" ht="14.25" customHeight="1" x14ac:dyDescent="0.3">
      <c r="A750" s="15"/>
      <c r="B750" s="15"/>
      <c r="C750" s="15"/>
      <c r="D750" s="15"/>
      <c r="E750" s="14"/>
    </row>
    <row r="751" spans="1:5" ht="14.25" customHeight="1" x14ac:dyDescent="0.3">
      <c r="A751" s="15"/>
      <c r="B751" s="15"/>
      <c r="C751" s="15"/>
      <c r="D751" s="15"/>
      <c r="E751" s="14"/>
    </row>
    <row r="752" spans="1:5" ht="14.25" customHeight="1" x14ac:dyDescent="0.3">
      <c r="A752" s="15"/>
      <c r="B752" s="15"/>
      <c r="C752" s="15"/>
      <c r="D752" s="15"/>
      <c r="E752" s="14"/>
    </row>
    <row r="753" spans="1:5" ht="14.25" customHeight="1" x14ac:dyDescent="0.3">
      <c r="A753" s="15"/>
      <c r="B753" s="15"/>
      <c r="C753" s="15"/>
      <c r="D753" s="15"/>
      <c r="E753" s="14"/>
    </row>
    <row r="754" spans="1:5" ht="14.25" customHeight="1" x14ac:dyDescent="0.3">
      <c r="A754" s="15"/>
      <c r="B754" s="15"/>
      <c r="C754" s="15"/>
      <c r="D754" s="15"/>
      <c r="E754" s="14"/>
    </row>
    <row r="755" spans="1:5" ht="14.25" customHeight="1" x14ac:dyDescent="0.3">
      <c r="A755" s="15"/>
      <c r="B755" s="15"/>
      <c r="C755" s="15"/>
      <c r="D755" s="15"/>
      <c r="E755" s="14"/>
    </row>
    <row r="756" spans="1:5" ht="14.25" customHeight="1" x14ac:dyDescent="0.3">
      <c r="A756" s="15"/>
      <c r="B756" s="15"/>
      <c r="C756" s="15"/>
      <c r="D756" s="15"/>
      <c r="E756" s="14"/>
    </row>
    <row r="757" spans="1:5" ht="14.25" customHeight="1" x14ac:dyDescent="0.3">
      <c r="A757" s="15"/>
      <c r="B757" s="15"/>
      <c r="C757" s="15"/>
      <c r="D757" s="15"/>
      <c r="E757" s="14"/>
    </row>
    <row r="758" spans="1:5" ht="14.25" customHeight="1" x14ac:dyDescent="0.3">
      <c r="A758" s="15"/>
      <c r="B758" s="15"/>
      <c r="C758" s="15"/>
      <c r="D758" s="15"/>
      <c r="E758" s="14"/>
    </row>
    <row r="759" spans="1:5" ht="14.25" customHeight="1" x14ac:dyDescent="0.3">
      <c r="A759" s="15"/>
      <c r="B759" s="15"/>
      <c r="C759" s="15"/>
      <c r="D759" s="15"/>
      <c r="E759" s="14"/>
    </row>
    <row r="760" spans="1:5" ht="14.25" customHeight="1" x14ac:dyDescent="0.3">
      <c r="A760" s="15"/>
      <c r="B760" s="15"/>
      <c r="C760" s="15"/>
      <c r="D760" s="15"/>
      <c r="E760" s="14"/>
    </row>
    <row r="761" spans="1:5" ht="14.25" customHeight="1" x14ac:dyDescent="0.3">
      <c r="A761" s="15"/>
      <c r="B761" s="15"/>
      <c r="C761" s="15"/>
      <c r="D761" s="15"/>
      <c r="E761" s="14"/>
    </row>
    <row r="762" spans="1:5" ht="14.25" customHeight="1" x14ac:dyDescent="0.3">
      <c r="A762" s="15"/>
      <c r="B762" s="15"/>
      <c r="C762" s="15"/>
      <c r="D762" s="15"/>
      <c r="E762" s="14"/>
    </row>
    <row r="763" spans="1:5" ht="14.25" customHeight="1" x14ac:dyDescent="0.3">
      <c r="A763" s="15"/>
      <c r="B763" s="15"/>
      <c r="C763" s="15"/>
      <c r="D763" s="15"/>
      <c r="E763" s="14"/>
    </row>
    <row r="764" spans="1:5" ht="14.25" customHeight="1" x14ac:dyDescent="0.3">
      <c r="A764" s="15"/>
      <c r="B764" s="15"/>
      <c r="C764" s="15"/>
      <c r="D764" s="15"/>
      <c r="E764" s="14"/>
    </row>
    <row r="765" spans="1:5" ht="14.25" customHeight="1" x14ac:dyDescent="0.3">
      <c r="A765" s="15"/>
      <c r="B765" s="15"/>
      <c r="C765" s="15"/>
      <c r="D765" s="15"/>
      <c r="E765" s="14"/>
    </row>
    <row r="766" spans="1:5" ht="14.25" customHeight="1" x14ac:dyDescent="0.3">
      <c r="A766" s="15"/>
      <c r="B766" s="15"/>
      <c r="C766" s="15"/>
      <c r="D766" s="15"/>
      <c r="E766" s="14"/>
    </row>
    <row r="767" spans="1:5" ht="14.25" customHeight="1" x14ac:dyDescent="0.3">
      <c r="A767" s="15"/>
      <c r="B767" s="15"/>
      <c r="C767" s="15"/>
      <c r="D767" s="15"/>
      <c r="E767" s="14"/>
    </row>
    <row r="768" spans="1:5" ht="14.25" customHeight="1" x14ac:dyDescent="0.3">
      <c r="A768" s="15"/>
      <c r="B768" s="15"/>
      <c r="C768" s="15"/>
      <c r="D768" s="15"/>
      <c r="E768" s="14"/>
    </row>
    <row r="769" spans="1:5" ht="14.25" customHeight="1" x14ac:dyDescent="0.3">
      <c r="A769" s="15"/>
      <c r="B769" s="15"/>
      <c r="C769" s="15"/>
      <c r="D769" s="15"/>
      <c r="E769" s="14"/>
    </row>
    <row r="770" spans="1:5" ht="14.25" customHeight="1" x14ac:dyDescent="0.3">
      <c r="A770" s="15"/>
      <c r="B770" s="15"/>
      <c r="C770" s="15"/>
      <c r="D770" s="15"/>
      <c r="E770" s="14"/>
    </row>
    <row r="771" spans="1:5" ht="14.25" customHeight="1" x14ac:dyDescent="0.3">
      <c r="A771" s="15"/>
      <c r="B771" s="15"/>
      <c r="C771" s="15"/>
      <c r="D771" s="15"/>
      <c r="E771" s="14"/>
    </row>
    <row r="772" spans="1:5" ht="14.25" customHeight="1" x14ac:dyDescent="0.3">
      <c r="A772" s="15"/>
      <c r="B772" s="15"/>
      <c r="C772" s="15"/>
      <c r="D772" s="15"/>
      <c r="E772" s="14"/>
    </row>
    <row r="773" spans="1:5" ht="14.25" customHeight="1" x14ac:dyDescent="0.3">
      <c r="A773" s="15"/>
      <c r="B773" s="15"/>
      <c r="C773" s="15"/>
      <c r="D773" s="15"/>
      <c r="E773" s="14"/>
    </row>
    <row r="774" spans="1:5" ht="14.25" customHeight="1" x14ac:dyDescent="0.3">
      <c r="A774" s="15"/>
      <c r="B774" s="15"/>
      <c r="C774" s="15"/>
      <c r="D774" s="15"/>
      <c r="E774" s="14"/>
    </row>
    <row r="775" spans="1:5" ht="14.25" customHeight="1" x14ac:dyDescent="0.3">
      <c r="A775" s="15"/>
      <c r="B775" s="15"/>
      <c r="C775" s="15"/>
      <c r="D775" s="15"/>
      <c r="E775" s="14"/>
    </row>
    <row r="776" spans="1:5" ht="14.25" customHeight="1" x14ac:dyDescent="0.3">
      <c r="A776" s="15"/>
      <c r="B776" s="15"/>
      <c r="C776" s="15"/>
      <c r="D776" s="15"/>
      <c r="E776" s="14"/>
    </row>
    <row r="777" spans="1:5" ht="14.25" customHeight="1" x14ac:dyDescent="0.3">
      <c r="A777" s="15"/>
      <c r="B777" s="15"/>
      <c r="C777" s="15"/>
      <c r="D777" s="15"/>
      <c r="E777" s="14"/>
    </row>
    <row r="778" spans="1:5" ht="14.25" customHeight="1" x14ac:dyDescent="0.3">
      <c r="A778" s="15"/>
      <c r="B778" s="15"/>
      <c r="C778" s="15"/>
      <c r="D778" s="15"/>
      <c r="E778" s="14"/>
    </row>
    <row r="779" spans="1:5" ht="14.25" customHeight="1" x14ac:dyDescent="0.3">
      <c r="A779" s="15"/>
      <c r="B779" s="15"/>
      <c r="C779" s="15"/>
      <c r="D779" s="15"/>
      <c r="E779" s="14"/>
    </row>
    <row r="780" spans="1:5" ht="14.25" customHeight="1" x14ac:dyDescent="0.3">
      <c r="A780" s="15"/>
      <c r="B780" s="15"/>
      <c r="C780" s="15"/>
      <c r="D780" s="15"/>
      <c r="E780" s="14"/>
    </row>
    <row r="781" spans="1:5" ht="14.25" customHeight="1" x14ac:dyDescent="0.3">
      <c r="A781" s="15"/>
      <c r="B781" s="15"/>
      <c r="C781" s="15"/>
      <c r="D781" s="15"/>
      <c r="E781" s="14"/>
    </row>
    <row r="782" spans="1:5" ht="14.25" customHeight="1" x14ac:dyDescent="0.3">
      <c r="A782" s="15"/>
      <c r="B782" s="15"/>
      <c r="C782" s="15"/>
      <c r="D782" s="15"/>
      <c r="E782" s="14"/>
    </row>
    <row r="783" spans="1:5" ht="14.25" customHeight="1" x14ac:dyDescent="0.3">
      <c r="A783" s="15"/>
      <c r="B783" s="15"/>
      <c r="C783" s="15"/>
      <c r="D783" s="15"/>
      <c r="E783" s="14"/>
    </row>
    <row r="784" spans="1:5" ht="14.25" customHeight="1" x14ac:dyDescent="0.3">
      <c r="A784" s="15"/>
      <c r="B784" s="15"/>
      <c r="C784" s="15"/>
      <c r="D784" s="15"/>
      <c r="E784" s="14"/>
    </row>
    <row r="785" spans="1:5" ht="14.25" customHeight="1" x14ac:dyDescent="0.3">
      <c r="A785" s="15"/>
      <c r="B785" s="15"/>
      <c r="C785" s="15"/>
      <c r="D785" s="15"/>
      <c r="E785" s="14"/>
    </row>
    <row r="786" spans="1:5" ht="14.25" customHeight="1" x14ac:dyDescent="0.3">
      <c r="A786" s="15"/>
      <c r="B786" s="15"/>
      <c r="C786" s="15"/>
      <c r="D786" s="15"/>
      <c r="E786" s="14"/>
    </row>
    <row r="787" spans="1:5" ht="14.25" customHeight="1" x14ac:dyDescent="0.3">
      <c r="A787" s="15"/>
      <c r="B787" s="15"/>
      <c r="C787" s="15"/>
      <c r="D787" s="15"/>
      <c r="E787" s="14"/>
    </row>
    <row r="788" spans="1:5" ht="14.25" customHeight="1" x14ac:dyDescent="0.3">
      <c r="A788" s="15"/>
      <c r="B788" s="15"/>
      <c r="C788" s="15"/>
      <c r="D788" s="15"/>
      <c r="E788" s="14"/>
    </row>
    <row r="789" spans="1:5" ht="14.25" customHeight="1" x14ac:dyDescent="0.3">
      <c r="A789" s="15"/>
      <c r="B789" s="15"/>
      <c r="C789" s="15"/>
      <c r="D789" s="15"/>
      <c r="E789" s="14"/>
    </row>
    <row r="790" spans="1:5" ht="14.25" customHeight="1" x14ac:dyDescent="0.3">
      <c r="A790" s="15"/>
      <c r="B790" s="15"/>
      <c r="C790" s="15"/>
      <c r="D790" s="15"/>
      <c r="E790" s="14"/>
    </row>
    <row r="791" spans="1:5" ht="14.25" customHeight="1" x14ac:dyDescent="0.3">
      <c r="A791" s="15"/>
      <c r="B791" s="15"/>
      <c r="C791" s="15"/>
      <c r="D791" s="15"/>
      <c r="E791" s="14"/>
    </row>
    <row r="792" spans="1:5" ht="14.25" customHeight="1" x14ac:dyDescent="0.3">
      <c r="A792" s="15"/>
      <c r="B792" s="15"/>
      <c r="C792" s="15"/>
      <c r="D792" s="15"/>
      <c r="E792" s="14"/>
    </row>
    <row r="793" spans="1:5" ht="14.25" customHeight="1" x14ac:dyDescent="0.3">
      <c r="A793" s="15"/>
      <c r="B793" s="15"/>
      <c r="C793" s="15"/>
      <c r="D793" s="15"/>
      <c r="E793" s="14"/>
    </row>
    <row r="794" spans="1:5" ht="14.25" customHeight="1" x14ac:dyDescent="0.3">
      <c r="A794" s="15"/>
      <c r="B794" s="15"/>
      <c r="C794" s="15"/>
      <c r="D794" s="15"/>
      <c r="E794" s="14"/>
    </row>
    <row r="795" spans="1:5" ht="14.25" customHeight="1" x14ac:dyDescent="0.3">
      <c r="A795" s="15"/>
      <c r="B795" s="15"/>
      <c r="C795" s="15"/>
      <c r="D795" s="15"/>
      <c r="E795" s="14"/>
    </row>
    <row r="796" spans="1:5" ht="14.25" customHeight="1" x14ac:dyDescent="0.3">
      <c r="A796" s="15"/>
      <c r="B796" s="15"/>
      <c r="C796" s="15"/>
      <c r="D796" s="15"/>
      <c r="E796" s="14"/>
    </row>
    <row r="797" spans="1:5" ht="14.25" customHeight="1" x14ac:dyDescent="0.3">
      <c r="A797" s="15"/>
      <c r="B797" s="15"/>
      <c r="C797" s="15"/>
      <c r="D797" s="15"/>
      <c r="E797" s="14"/>
    </row>
    <row r="798" spans="1:5" ht="14.25" customHeight="1" x14ac:dyDescent="0.3">
      <c r="A798" s="15"/>
      <c r="B798" s="15"/>
      <c r="C798" s="15"/>
      <c r="D798" s="15"/>
      <c r="E798" s="14"/>
    </row>
    <row r="799" spans="1:5" ht="14.25" customHeight="1" x14ac:dyDescent="0.3">
      <c r="A799" s="15"/>
      <c r="B799" s="15"/>
      <c r="C799" s="15"/>
      <c r="D799" s="15"/>
      <c r="E799" s="14"/>
    </row>
    <row r="800" spans="1:5" ht="14.25" customHeight="1" x14ac:dyDescent="0.3">
      <c r="A800" s="15"/>
      <c r="B800" s="15"/>
      <c r="C800" s="15"/>
      <c r="D800" s="15"/>
      <c r="E800" s="14"/>
    </row>
    <row r="801" spans="1:5" ht="14.25" customHeight="1" x14ac:dyDescent="0.3">
      <c r="A801" s="15"/>
      <c r="B801" s="15"/>
      <c r="C801" s="15"/>
      <c r="D801" s="15"/>
      <c r="E801" s="14"/>
    </row>
    <row r="802" spans="1:5" ht="14.25" customHeight="1" x14ac:dyDescent="0.3">
      <c r="A802" s="15"/>
      <c r="B802" s="15"/>
      <c r="C802" s="15"/>
      <c r="D802" s="15"/>
      <c r="E802" s="14"/>
    </row>
    <row r="803" spans="1:5" ht="14.25" customHeight="1" x14ac:dyDescent="0.3">
      <c r="A803" s="15"/>
      <c r="B803" s="15"/>
      <c r="C803" s="15"/>
      <c r="D803" s="15"/>
      <c r="E803" s="14"/>
    </row>
    <row r="804" spans="1:5" ht="14.25" customHeight="1" x14ac:dyDescent="0.3">
      <c r="A804" s="15"/>
      <c r="B804" s="15"/>
      <c r="C804" s="15"/>
      <c r="D804" s="15"/>
      <c r="E804" s="14"/>
    </row>
    <row r="805" spans="1:5" ht="14.25" customHeight="1" x14ac:dyDescent="0.3">
      <c r="A805" s="15"/>
      <c r="B805" s="15"/>
      <c r="C805" s="15"/>
      <c r="D805" s="15"/>
      <c r="E805" s="14"/>
    </row>
    <row r="806" spans="1:5" ht="14.25" customHeight="1" x14ac:dyDescent="0.3">
      <c r="A806" s="15"/>
      <c r="B806" s="15"/>
      <c r="C806" s="15"/>
      <c r="D806" s="15"/>
      <c r="E806" s="14"/>
    </row>
    <row r="807" spans="1:5" ht="14.25" customHeight="1" x14ac:dyDescent="0.3">
      <c r="A807" s="15"/>
      <c r="B807" s="15"/>
      <c r="C807" s="15"/>
      <c r="D807" s="15"/>
      <c r="E807" s="14"/>
    </row>
    <row r="808" spans="1:5" ht="14.25" customHeight="1" x14ac:dyDescent="0.3">
      <c r="A808" s="15"/>
      <c r="B808" s="15"/>
      <c r="C808" s="15"/>
      <c r="D808" s="15"/>
      <c r="E808" s="14"/>
    </row>
    <row r="809" spans="1:5" ht="14.25" customHeight="1" x14ac:dyDescent="0.3">
      <c r="A809" s="15"/>
      <c r="B809" s="15"/>
      <c r="C809" s="15"/>
      <c r="D809" s="15"/>
      <c r="E809" s="14"/>
    </row>
    <row r="810" spans="1:5" ht="14.25" customHeight="1" x14ac:dyDescent="0.3">
      <c r="A810" s="15"/>
      <c r="B810" s="15"/>
      <c r="C810" s="15"/>
      <c r="D810" s="15"/>
      <c r="E810" s="14"/>
    </row>
    <row r="811" spans="1:5" ht="14.25" customHeight="1" x14ac:dyDescent="0.3">
      <c r="A811" s="15"/>
      <c r="B811" s="15"/>
      <c r="C811" s="15"/>
      <c r="D811" s="15"/>
      <c r="E811" s="14"/>
    </row>
    <row r="812" spans="1:5" ht="14.25" customHeight="1" x14ac:dyDescent="0.3">
      <c r="A812" s="15"/>
      <c r="B812" s="15"/>
      <c r="C812" s="15"/>
      <c r="D812" s="15"/>
      <c r="E812" s="14"/>
    </row>
    <row r="813" spans="1:5" ht="14.25" customHeight="1" x14ac:dyDescent="0.3">
      <c r="A813" s="15"/>
      <c r="B813" s="15"/>
      <c r="C813" s="15"/>
      <c r="D813" s="15"/>
      <c r="E813" s="14"/>
    </row>
    <row r="814" spans="1:5" ht="14.25" customHeight="1" x14ac:dyDescent="0.3">
      <c r="A814" s="15"/>
      <c r="B814" s="15"/>
      <c r="C814" s="15"/>
      <c r="D814" s="15"/>
      <c r="E814" s="14"/>
    </row>
    <row r="815" spans="1:5" ht="14.25" customHeight="1" x14ac:dyDescent="0.3">
      <c r="A815" s="15"/>
      <c r="B815" s="15"/>
      <c r="C815" s="15"/>
      <c r="D815" s="15"/>
      <c r="E815" s="14"/>
    </row>
    <row r="816" spans="1:5" ht="14.25" customHeight="1" x14ac:dyDescent="0.3">
      <c r="A816" s="15"/>
      <c r="B816" s="15"/>
      <c r="C816" s="15"/>
      <c r="D816" s="15"/>
      <c r="E816" s="14"/>
    </row>
    <row r="817" spans="1:5" ht="14.25" customHeight="1" x14ac:dyDescent="0.3">
      <c r="A817" s="15"/>
      <c r="B817" s="15"/>
      <c r="C817" s="15"/>
      <c r="D817" s="15"/>
      <c r="E817" s="14"/>
    </row>
    <row r="818" spans="1:5" ht="14.25" customHeight="1" x14ac:dyDescent="0.3">
      <c r="A818" s="15"/>
      <c r="B818" s="15"/>
      <c r="C818" s="15"/>
      <c r="D818" s="15"/>
      <c r="E818" s="14"/>
    </row>
    <row r="819" spans="1:5" ht="14.25" customHeight="1" x14ac:dyDescent="0.3">
      <c r="A819" s="15"/>
      <c r="B819" s="15"/>
      <c r="C819" s="15"/>
      <c r="D819" s="15"/>
      <c r="E819" s="14"/>
    </row>
    <row r="820" spans="1:5" ht="14.25" customHeight="1" x14ac:dyDescent="0.3">
      <c r="A820" s="15"/>
      <c r="B820" s="15"/>
      <c r="C820" s="15"/>
      <c r="D820" s="15"/>
      <c r="E820" s="14"/>
    </row>
    <row r="821" spans="1:5" ht="14.25" customHeight="1" x14ac:dyDescent="0.3">
      <c r="A821" s="15"/>
      <c r="B821" s="15"/>
      <c r="C821" s="15"/>
      <c r="D821" s="15"/>
      <c r="E821" s="14"/>
    </row>
    <row r="822" spans="1:5" ht="14.25" customHeight="1" x14ac:dyDescent="0.3">
      <c r="A822" s="15"/>
      <c r="B822" s="15"/>
      <c r="C822" s="15"/>
      <c r="D822" s="15"/>
      <c r="E822" s="14"/>
    </row>
    <row r="823" spans="1:5" ht="14.25" customHeight="1" x14ac:dyDescent="0.3">
      <c r="A823" s="15"/>
      <c r="B823" s="15"/>
      <c r="C823" s="15"/>
      <c r="D823" s="15"/>
      <c r="E823" s="14"/>
    </row>
    <row r="824" spans="1:5" ht="14.25" customHeight="1" x14ac:dyDescent="0.3">
      <c r="A824" s="15"/>
      <c r="B824" s="15"/>
      <c r="C824" s="15"/>
      <c r="D824" s="15"/>
      <c r="E824" s="14"/>
    </row>
    <row r="825" spans="1:5" ht="14.25" customHeight="1" x14ac:dyDescent="0.3">
      <c r="A825" s="15"/>
      <c r="B825" s="15"/>
      <c r="C825" s="15"/>
      <c r="D825" s="15"/>
      <c r="E825" s="14"/>
    </row>
    <row r="826" spans="1:5" ht="14.25" customHeight="1" x14ac:dyDescent="0.3">
      <c r="A826" s="15"/>
      <c r="B826" s="15"/>
      <c r="C826" s="15"/>
      <c r="D826" s="15"/>
      <c r="E826" s="14"/>
    </row>
    <row r="827" spans="1:5" ht="14.25" customHeight="1" x14ac:dyDescent="0.3">
      <c r="A827" s="15"/>
      <c r="B827" s="15"/>
      <c r="C827" s="15"/>
      <c r="D827" s="15"/>
      <c r="E827" s="14"/>
    </row>
    <row r="828" spans="1:5" ht="14.25" customHeight="1" x14ac:dyDescent="0.3">
      <c r="A828" s="15"/>
      <c r="B828" s="15"/>
      <c r="C828" s="15"/>
      <c r="D828" s="15"/>
      <c r="E828" s="14"/>
    </row>
    <row r="829" spans="1:5" ht="14.25" customHeight="1" x14ac:dyDescent="0.3">
      <c r="A829" s="15"/>
      <c r="B829" s="15"/>
      <c r="C829" s="15"/>
      <c r="D829" s="15"/>
      <c r="E829" s="14"/>
    </row>
    <row r="830" spans="1:5" ht="14.25" customHeight="1" x14ac:dyDescent="0.3">
      <c r="A830" s="15"/>
      <c r="B830" s="15"/>
      <c r="C830" s="15"/>
      <c r="D830" s="15"/>
      <c r="E830" s="14"/>
    </row>
    <row r="831" spans="1:5" ht="14.25" customHeight="1" x14ac:dyDescent="0.3">
      <c r="A831" s="15"/>
      <c r="B831" s="15"/>
      <c r="C831" s="15"/>
      <c r="D831" s="15"/>
      <c r="E831" s="14"/>
    </row>
    <row r="832" spans="1:5" ht="14.25" customHeight="1" x14ac:dyDescent="0.3">
      <c r="A832" s="15"/>
      <c r="B832" s="15"/>
      <c r="C832" s="15"/>
      <c r="D832" s="15"/>
      <c r="E832" s="14"/>
    </row>
    <row r="833" spans="1:5" ht="14.25" customHeight="1" x14ac:dyDescent="0.3">
      <c r="A833" s="15"/>
      <c r="B833" s="15"/>
      <c r="C833" s="15"/>
      <c r="D833" s="15"/>
      <c r="E833" s="14"/>
    </row>
    <row r="834" spans="1:5" ht="14.25" customHeight="1" x14ac:dyDescent="0.3">
      <c r="A834" s="15"/>
      <c r="B834" s="15"/>
      <c r="C834" s="15"/>
      <c r="D834" s="15"/>
      <c r="E834" s="14"/>
    </row>
    <row r="835" spans="1:5" ht="14.25" customHeight="1" x14ac:dyDescent="0.3">
      <c r="A835" s="15"/>
      <c r="B835" s="15"/>
      <c r="C835" s="15"/>
      <c r="D835" s="15"/>
      <c r="E835" s="14"/>
    </row>
    <row r="836" spans="1:5" ht="14.25" customHeight="1" x14ac:dyDescent="0.3">
      <c r="A836" s="15"/>
      <c r="B836" s="15"/>
      <c r="C836" s="15"/>
      <c r="D836" s="15"/>
      <c r="E836" s="14"/>
    </row>
    <row r="837" spans="1:5" ht="14.25" customHeight="1" x14ac:dyDescent="0.3">
      <c r="A837" s="15"/>
      <c r="B837" s="15"/>
      <c r="C837" s="15"/>
      <c r="D837" s="15"/>
      <c r="E837" s="14"/>
    </row>
    <row r="838" spans="1:5" ht="14.25" customHeight="1" x14ac:dyDescent="0.3">
      <c r="A838" s="15"/>
      <c r="B838" s="15"/>
      <c r="C838" s="15"/>
      <c r="D838" s="15"/>
      <c r="E838" s="14"/>
    </row>
    <row r="839" spans="1:5" ht="14.25" customHeight="1" x14ac:dyDescent="0.3">
      <c r="A839" s="15"/>
      <c r="B839" s="15"/>
      <c r="C839" s="15"/>
      <c r="D839" s="15"/>
      <c r="E839" s="14"/>
    </row>
    <row r="840" spans="1:5" ht="14.25" customHeight="1" x14ac:dyDescent="0.3">
      <c r="A840" s="15"/>
      <c r="B840" s="15"/>
      <c r="C840" s="15"/>
      <c r="D840" s="15"/>
      <c r="E840" s="14"/>
    </row>
    <row r="841" spans="1:5" ht="14.25" customHeight="1" x14ac:dyDescent="0.3">
      <c r="A841" s="15"/>
      <c r="B841" s="15"/>
      <c r="C841" s="15"/>
      <c r="D841" s="15"/>
      <c r="E841" s="14"/>
    </row>
    <row r="842" spans="1:5" ht="14.25" customHeight="1" x14ac:dyDescent="0.3">
      <c r="A842" s="15"/>
      <c r="B842" s="15"/>
      <c r="C842" s="15"/>
      <c r="D842" s="15"/>
      <c r="E842" s="14"/>
    </row>
    <row r="843" spans="1:5" ht="14.25" customHeight="1" x14ac:dyDescent="0.3">
      <c r="A843" s="15"/>
      <c r="B843" s="15"/>
      <c r="C843" s="15"/>
      <c r="D843" s="15"/>
      <c r="E843" s="14"/>
    </row>
    <row r="844" spans="1:5" ht="14.25" customHeight="1" x14ac:dyDescent="0.3">
      <c r="A844" s="15"/>
      <c r="B844" s="15"/>
      <c r="C844" s="15"/>
      <c r="D844" s="15"/>
      <c r="E844" s="14"/>
    </row>
    <row r="845" spans="1:5" ht="14.25" customHeight="1" x14ac:dyDescent="0.3">
      <c r="A845" s="15"/>
      <c r="B845" s="15"/>
      <c r="C845" s="15"/>
      <c r="D845" s="15"/>
      <c r="E845" s="14"/>
    </row>
    <row r="846" spans="1:5" ht="14.25" customHeight="1" x14ac:dyDescent="0.3">
      <c r="A846" s="15"/>
      <c r="B846" s="15"/>
      <c r="C846" s="15"/>
      <c r="D846" s="15"/>
      <c r="E846" s="14"/>
    </row>
    <row r="847" spans="1:5" ht="14.25" customHeight="1" x14ac:dyDescent="0.3">
      <c r="A847" s="15"/>
      <c r="B847" s="15"/>
      <c r="C847" s="15"/>
      <c r="D847" s="15"/>
      <c r="E847" s="14"/>
    </row>
    <row r="848" spans="1:5" ht="14.25" customHeight="1" x14ac:dyDescent="0.3">
      <c r="A848" s="15"/>
      <c r="B848" s="15"/>
      <c r="C848" s="15"/>
      <c r="D848" s="15"/>
      <c r="E848" s="14"/>
    </row>
    <row r="849" spans="1:5" ht="14.25" customHeight="1" x14ac:dyDescent="0.3">
      <c r="A849" s="15"/>
      <c r="B849" s="15"/>
      <c r="C849" s="15"/>
      <c r="D849" s="15"/>
      <c r="E849" s="14"/>
    </row>
    <row r="850" spans="1:5" ht="14.25" customHeight="1" x14ac:dyDescent="0.3">
      <c r="A850" s="15"/>
      <c r="B850" s="15"/>
      <c r="C850" s="15"/>
      <c r="D850" s="15"/>
      <c r="E850" s="14"/>
    </row>
    <row r="851" spans="1:5" ht="14.25" customHeight="1" x14ac:dyDescent="0.3">
      <c r="A851" s="15"/>
      <c r="B851" s="15"/>
      <c r="C851" s="15"/>
      <c r="D851" s="15"/>
      <c r="E851" s="14"/>
    </row>
    <row r="852" spans="1:5" ht="14.25" customHeight="1" x14ac:dyDescent="0.3">
      <c r="A852" s="15"/>
      <c r="B852" s="15"/>
      <c r="C852" s="15"/>
      <c r="D852" s="15"/>
      <c r="E852" s="14"/>
    </row>
    <row r="853" spans="1:5" ht="14.25" customHeight="1" x14ac:dyDescent="0.3">
      <c r="A853" s="15"/>
      <c r="B853" s="15"/>
      <c r="C853" s="15"/>
      <c r="D853" s="15"/>
      <c r="E853" s="14"/>
    </row>
    <row r="854" spans="1:5" ht="14.25" customHeight="1" x14ac:dyDescent="0.3">
      <c r="A854" s="15"/>
      <c r="B854" s="15"/>
      <c r="C854" s="15"/>
      <c r="D854" s="15"/>
      <c r="E854" s="14"/>
    </row>
    <row r="855" spans="1:5" ht="14.25" customHeight="1" x14ac:dyDescent="0.3">
      <c r="A855" s="15"/>
      <c r="B855" s="15"/>
      <c r="C855" s="15"/>
      <c r="D855" s="15"/>
      <c r="E855" s="14"/>
    </row>
    <row r="856" spans="1:5" ht="14.25" customHeight="1" x14ac:dyDescent="0.3">
      <c r="A856" s="15"/>
      <c r="B856" s="15"/>
      <c r="C856" s="15"/>
      <c r="D856" s="15"/>
      <c r="E856" s="14"/>
    </row>
    <row r="857" spans="1:5" ht="14.25" customHeight="1" x14ac:dyDescent="0.3">
      <c r="A857" s="15"/>
      <c r="B857" s="15"/>
      <c r="C857" s="15"/>
      <c r="D857" s="15"/>
      <c r="E857" s="14"/>
    </row>
    <row r="858" spans="1:5" ht="14.25" customHeight="1" x14ac:dyDescent="0.3">
      <c r="A858" s="15"/>
      <c r="B858" s="15"/>
      <c r="C858" s="15"/>
      <c r="D858" s="15"/>
      <c r="E858" s="14"/>
    </row>
    <row r="859" spans="1:5" ht="14.25" customHeight="1" x14ac:dyDescent="0.3">
      <c r="A859" s="15"/>
      <c r="B859" s="15"/>
      <c r="C859" s="15"/>
      <c r="D859" s="15"/>
      <c r="E859" s="14"/>
    </row>
    <row r="860" spans="1:5" ht="14.25" customHeight="1" x14ac:dyDescent="0.3">
      <c r="A860" s="15"/>
      <c r="B860" s="15"/>
      <c r="C860" s="15"/>
      <c r="D860" s="15"/>
      <c r="E860" s="14"/>
    </row>
    <row r="861" spans="1:5" ht="14.25" customHeight="1" x14ac:dyDescent="0.3">
      <c r="A861" s="15"/>
      <c r="B861" s="15"/>
      <c r="C861" s="15"/>
      <c r="D861" s="15"/>
      <c r="E861" s="14"/>
    </row>
    <row r="862" spans="1:5" ht="14.25" customHeight="1" x14ac:dyDescent="0.3">
      <c r="A862" s="15"/>
      <c r="B862" s="15"/>
      <c r="C862" s="15"/>
      <c r="D862" s="15"/>
      <c r="E862" s="14"/>
    </row>
    <row r="863" spans="1:5" ht="14.25" customHeight="1" x14ac:dyDescent="0.3">
      <c r="A863" s="15"/>
      <c r="B863" s="15"/>
      <c r="C863" s="15"/>
      <c r="D863" s="15"/>
      <c r="E863" s="14"/>
    </row>
    <row r="864" spans="1:5" ht="14.25" customHeight="1" x14ac:dyDescent="0.3">
      <c r="A864" s="15"/>
      <c r="B864" s="15"/>
      <c r="C864" s="15"/>
      <c r="D864" s="15"/>
      <c r="E864" s="14"/>
    </row>
    <row r="865" spans="1:5" ht="14.25" customHeight="1" x14ac:dyDescent="0.3">
      <c r="A865" s="15"/>
      <c r="B865" s="15"/>
      <c r="C865" s="15"/>
      <c r="D865" s="15"/>
      <c r="E865" s="14"/>
    </row>
    <row r="866" spans="1:5" ht="14.25" customHeight="1" x14ac:dyDescent="0.3">
      <c r="A866" s="15"/>
      <c r="B866" s="15"/>
      <c r="C866" s="15"/>
      <c r="D866" s="15"/>
      <c r="E866" s="14"/>
    </row>
    <row r="867" spans="1:5" ht="14.25" customHeight="1" x14ac:dyDescent="0.3">
      <c r="A867" s="15"/>
      <c r="B867" s="15"/>
      <c r="C867" s="15"/>
      <c r="D867" s="15"/>
      <c r="E867" s="14"/>
    </row>
    <row r="868" spans="1:5" ht="14.25" customHeight="1" x14ac:dyDescent="0.3">
      <c r="A868" s="15"/>
      <c r="B868" s="15"/>
      <c r="C868" s="15"/>
      <c r="D868" s="15"/>
      <c r="E868" s="14"/>
    </row>
    <row r="869" spans="1:5" ht="14.25" customHeight="1" x14ac:dyDescent="0.3">
      <c r="A869" s="15"/>
      <c r="B869" s="15"/>
      <c r="C869" s="15"/>
      <c r="D869" s="15"/>
      <c r="E869" s="14"/>
    </row>
    <row r="870" spans="1:5" ht="14.25" customHeight="1" x14ac:dyDescent="0.3">
      <c r="A870" s="15"/>
      <c r="B870" s="15"/>
      <c r="C870" s="15"/>
      <c r="D870" s="15"/>
      <c r="E870" s="14"/>
    </row>
    <row r="871" spans="1:5" ht="14.25" customHeight="1" x14ac:dyDescent="0.3">
      <c r="A871" s="15"/>
      <c r="B871" s="15"/>
      <c r="C871" s="15"/>
      <c r="D871" s="15"/>
      <c r="E871" s="14"/>
    </row>
    <row r="872" spans="1:5" ht="14.25" customHeight="1" x14ac:dyDescent="0.3">
      <c r="A872" s="15"/>
      <c r="B872" s="15"/>
      <c r="C872" s="15"/>
      <c r="D872" s="15"/>
      <c r="E872" s="14"/>
    </row>
    <row r="873" spans="1:5" ht="14.25" customHeight="1" x14ac:dyDescent="0.3">
      <c r="A873" s="15"/>
      <c r="B873" s="15"/>
      <c r="C873" s="15"/>
      <c r="D873" s="15"/>
      <c r="E873" s="14"/>
    </row>
    <row r="874" spans="1:5" ht="14.25" customHeight="1" x14ac:dyDescent="0.3">
      <c r="A874" s="15"/>
      <c r="B874" s="15"/>
      <c r="C874" s="15"/>
      <c r="D874" s="15"/>
      <c r="E874" s="14"/>
    </row>
    <row r="875" spans="1:5" ht="14.25" customHeight="1" x14ac:dyDescent="0.3">
      <c r="A875" s="15"/>
      <c r="B875" s="15"/>
      <c r="C875" s="15"/>
      <c r="D875" s="15"/>
      <c r="E875" s="14"/>
    </row>
    <row r="876" spans="1:5" ht="14.25" customHeight="1" x14ac:dyDescent="0.3">
      <c r="A876" s="15"/>
      <c r="B876" s="15"/>
      <c r="C876" s="15"/>
      <c r="D876" s="15"/>
      <c r="E876" s="14"/>
    </row>
    <row r="877" spans="1:5" ht="14.25" customHeight="1" x14ac:dyDescent="0.3">
      <c r="A877" s="15"/>
      <c r="B877" s="15"/>
      <c r="C877" s="15"/>
      <c r="D877" s="15"/>
      <c r="E877" s="14"/>
    </row>
    <row r="878" spans="1:5" ht="14.25" customHeight="1" x14ac:dyDescent="0.3">
      <c r="A878" s="15"/>
      <c r="B878" s="15"/>
      <c r="C878" s="15"/>
      <c r="D878" s="15"/>
      <c r="E878" s="14"/>
    </row>
    <row r="879" spans="1:5" ht="14.25" customHeight="1" x14ac:dyDescent="0.3">
      <c r="A879" s="15"/>
      <c r="B879" s="15"/>
      <c r="C879" s="15"/>
      <c r="D879" s="15"/>
      <c r="E879" s="14"/>
    </row>
    <row r="880" spans="1:5" ht="14.25" customHeight="1" x14ac:dyDescent="0.3">
      <c r="A880" s="15"/>
      <c r="B880" s="15"/>
      <c r="C880" s="15"/>
      <c r="D880" s="15"/>
      <c r="E880" s="14"/>
    </row>
    <row r="881" spans="1:5" ht="14.25" customHeight="1" x14ac:dyDescent="0.3">
      <c r="A881" s="15"/>
      <c r="B881" s="15"/>
      <c r="C881" s="15"/>
      <c r="D881" s="15"/>
      <c r="E881" s="14"/>
    </row>
    <row r="882" spans="1:5" ht="14.25" customHeight="1" x14ac:dyDescent="0.3">
      <c r="A882" s="15"/>
      <c r="B882" s="15"/>
      <c r="C882" s="15"/>
      <c r="D882" s="15"/>
      <c r="E882" s="14"/>
    </row>
    <row r="883" spans="1:5" ht="14.25" customHeight="1" x14ac:dyDescent="0.3">
      <c r="A883" s="15"/>
      <c r="B883" s="15"/>
      <c r="C883" s="15"/>
      <c r="D883" s="15"/>
      <c r="E883" s="14"/>
    </row>
    <row r="884" spans="1:5" ht="14.25" customHeight="1" x14ac:dyDescent="0.3">
      <c r="A884" s="15"/>
      <c r="B884" s="15"/>
      <c r="C884" s="15"/>
      <c r="D884" s="15"/>
      <c r="E884" s="14"/>
    </row>
    <row r="885" spans="1:5" ht="14.25" customHeight="1" x14ac:dyDescent="0.3">
      <c r="A885" s="15"/>
      <c r="B885" s="15"/>
      <c r="C885" s="15"/>
      <c r="D885" s="15"/>
      <c r="E885" s="14"/>
    </row>
    <row r="886" spans="1:5" ht="14.25" customHeight="1" x14ac:dyDescent="0.3">
      <c r="A886" s="15"/>
      <c r="B886" s="15"/>
      <c r="C886" s="15"/>
      <c r="D886" s="15"/>
      <c r="E886" s="14"/>
    </row>
    <row r="887" spans="1:5" ht="14.25" customHeight="1" x14ac:dyDescent="0.3">
      <c r="A887" s="15"/>
      <c r="B887" s="15"/>
      <c r="C887" s="15"/>
      <c r="D887" s="15"/>
      <c r="E887" s="14"/>
    </row>
    <row r="888" spans="1:5" ht="14.25" customHeight="1" x14ac:dyDescent="0.3">
      <c r="A888" s="15"/>
      <c r="B888" s="15"/>
      <c r="C888" s="15"/>
      <c r="D888" s="15"/>
      <c r="E888" s="14"/>
    </row>
    <row r="889" spans="1:5" ht="14.25" customHeight="1" x14ac:dyDescent="0.3">
      <c r="A889" s="15"/>
      <c r="B889" s="15"/>
      <c r="C889" s="15"/>
      <c r="D889" s="15"/>
      <c r="E889" s="14"/>
    </row>
    <row r="890" spans="1:5" ht="14.25" customHeight="1" x14ac:dyDescent="0.3">
      <c r="A890" s="15"/>
      <c r="B890" s="15"/>
      <c r="C890" s="15"/>
      <c r="D890" s="15"/>
      <c r="E890" s="14"/>
    </row>
    <row r="891" spans="1:5" ht="14.25" customHeight="1" x14ac:dyDescent="0.3">
      <c r="A891" s="15"/>
      <c r="B891" s="15"/>
      <c r="C891" s="15"/>
      <c r="D891" s="15"/>
      <c r="E891" s="14"/>
    </row>
    <row r="892" spans="1:5" ht="14.25" customHeight="1" x14ac:dyDescent="0.3">
      <c r="A892" s="15"/>
      <c r="B892" s="15"/>
      <c r="C892" s="15"/>
      <c r="D892" s="15"/>
      <c r="E892" s="14"/>
    </row>
    <row r="893" spans="1:5" ht="14.25" customHeight="1" x14ac:dyDescent="0.3">
      <c r="A893" s="15"/>
      <c r="B893" s="15"/>
      <c r="C893" s="15"/>
      <c r="D893" s="15"/>
      <c r="E893" s="14"/>
    </row>
    <row r="894" spans="1:5" ht="14.25" customHeight="1" x14ac:dyDescent="0.3">
      <c r="A894" s="15"/>
      <c r="B894" s="15"/>
      <c r="C894" s="15"/>
      <c r="D894" s="15"/>
      <c r="E894" s="14"/>
    </row>
    <row r="895" spans="1:5" ht="14.25" customHeight="1" x14ac:dyDescent="0.3">
      <c r="A895" s="15"/>
      <c r="B895" s="15"/>
      <c r="C895" s="15"/>
      <c r="D895" s="15"/>
      <c r="E895" s="14"/>
    </row>
    <row r="896" spans="1:5" ht="14.25" customHeight="1" x14ac:dyDescent="0.3">
      <c r="A896" s="15"/>
      <c r="B896" s="15"/>
      <c r="C896" s="15"/>
      <c r="D896" s="15"/>
      <c r="E896" s="14"/>
    </row>
    <row r="897" spans="1:5" ht="14.25" customHeight="1" x14ac:dyDescent="0.3">
      <c r="A897" s="15"/>
      <c r="B897" s="15"/>
      <c r="C897" s="15"/>
      <c r="D897" s="15"/>
      <c r="E897" s="14"/>
    </row>
    <row r="898" spans="1:5" ht="14.25" customHeight="1" x14ac:dyDescent="0.3">
      <c r="A898" s="15"/>
      <c r="B898" s="15"/>
      <c r="C898" s="15"/>
      <c r="D898" s="15"/>
      <c r="E898" s="14"/>
    </row>
    <row r="899" spans="1:5" ht="14.25" customHeight="1" x14ac:dyDescent="0.3">
      <c r="A899" s="15"/>
      <c r="B899" s="15"/>
      <c r="C899" s="15"/>
      <c r="D899" s="15"/>
      <c r="E899" s="14"/>
    </row>
    <row r="900" spans="1:5" ht="14.25" customHeight="1" x14ac:dyDescent="0.3">
      <c r="A900" s="15"/>
      <c r="B900" s="15"/>
      <c r="C900" s="15"/>
      <c r="D900" s="15"/>
      <c r="E900" s="14"/>
    </row>
    <row r="901" spans="1:5" ht="14.25" customHeight="1" x14ac:dyDescent="0.3">
      <c r="A901" s="15"/>
      <c r="B901" s="15"/>
      <c r="C901" s="15"/>
      <c r="D901" s="15"/>
      <c r="E901" s="14"/>
    </row>
    <row r="902" spans="1:5" ht="14.25" customHeight="1" x14ac:dyDescent="0.3">
      <c r="A902" s="15"/>
      <c r="B902" s="15"/>
      <c r="C902" s="15"/>
      <c r="D902" s="15"/>
      <c r="E902" s="14"/>
    </row>
    <row r="903" spans="1:5" ht="14.25" customHeight="1" x14ac:dyDescent="0.3">
      <c r="A903" s="15"/>
      <c r="B903" s="15"/>
      <c r="C903" s="15"/>
      <c r="D903" s="15"/>
      <c r="E903" s="14"/>
    </row>
    <row r="904" spans="1:5" ht="14.25" customHeight="1" x14ac:dyDescent="0.3">
      <c r="A904" s="15"/>
      <c r="B904" s="15"/>
      <c r="C904" s="15"/>
      <c r="D904" s="15"/>
      <c r="E904" s="14"/>
    </row>
    <row r="905" spans="1:5" ht="14.25" customHeight="1" x14ac:dyDescent="0.3">
      <c r="A905" s="15"/>
      <c r="B905" s="15"/>
      <c r="C905" s="15"/>
      <c r="D905" s="15"/>
      <c r="E905" s="14"/>
    </row>
    <row r="906" spans="1:5" ht="14.25" customHeight="1" x14ac:dyDescent="0.3">
      <c r="A906" s="15"/>
      <c r="B906" s="15"/>
      <c r="C906" s="15"/>
      <c r="D906" s="15"/>
      <c r="E906" s="14"/>
    </row>
    <row r="907" spans="1:5" ht="14.25" customHeight="1" x14ac:dyDescent="0.3">
      <c r="A907" s="15"/>
      <c r="B907" s="15"/>
      <c r="C907" s="15"/>
      <c r="D907" s="15"/>
      <c r="E907" s="14"/>
    </row>
    <row r="908" spans="1:5" ht="14.25" customHeight="1" x14ac:dyDescent="0.3">
      <c r="A908" s="15"/>
      <c r="B908" s="15"/>
      <c r="C908" s="15"/>
      <c r="D908" s="15"/>
      <c r="E908" s="14"/>
    </row>
    <row r="909" spans="1:5" ht="14.25" customHeight="1" x14ac:dyDescent="0.3">
      <c r="A909" s="15"/>
      <c r="B909" s="15"/>
      <c r="C909" s="15"/>
      <c r="D909" s="15"/>
      <c r="E909" s="14"/>
    </row>
    <row r="910" spans="1:5" ht="14.25" customHeight="1" x14ac:dyDescent="0.3">
      <c r="A910" s="15"/>
      <c r="B910" s="15"/>
      <c r="C910" s="15"/>
      <c r="D910" s="15"/>
      <c r="E910" s="14"/>
    </row>
    <row r="911" spans="1:5" ht="14.25" customHeight="1" x14ac:dyDescent="0.3">
      <c r="A911" s="15"/>
      <c r="B911" s="15"/>
      <c r="C911" s="15"/>
      <c r="D911" s="15"/>
      <c r="E911" s="14"/>
    </row>
    <row r="912" spans="1:5" ht="14.25" customHeight="1" x14ac:dyDescent="0.3">
      <c r="A912" s="15"/>
      <c r="B912" s="15"/>
      <c r="C912" s="15"/>
      <c r="D912" s="15"/>
      <c r="E912" s="14"/>
    </row>
    <row r="913" spans="1:5" ht="14.25" customHeight="1" x14ac:dyDescent="0.3">
      <c r="A913" s="15"/>
      <c r="B913" s="15"/>
      <c r="C913" s="15"/>
      <c r="D913" s="15"/>
      <c r="E913" s="14"/>
    </row>
    <row r="914" spans="1:5" ht="14.25" customHeight="1" x14ac:dyDescent="0.3">
      <c r="A914" s="15"/>
      <c r="B914" s="15"/>
      <c r="C914" s="15"/>
      <c r="D914" s="15"/>
      <c r="E914" s="14"/>
    </row>
    <row r="915" spans="1:5" ht="14.25" customHeight="1" x14ac:dyDescent="0.3">
      <c r="A915" s="15"/>
      <c r="B915" s="15"/>
      <c r="C915" s="15"/>
      <c r="D915" s="15"/>
      <c r="E915" s="14"/>
    </row>
    <row r="916" spans="1:5" ht="14.25" customHeight="1" x14ac:dyDescent="0.3">
      <c r="A916" s="15"/>
      <c r="B916" s="15"/>
      <c r="C916" s="15"/>
      <c r="D916" s="15"/>
      <c r="E916" s="14"/>
    </row>
    <row r="917" spans="1:5" ht="14.25" customHeight="1" x14ac:dyDescent="0.3">
      <c r="A917" s="15"/>
      <c r="B917" s="15"/>
      <c r="C917" s="15"/>
      <c r="D917" s="15"/>
      <c r="E917" s="14"/>
    </row>
    <row r="918" spans="1:5" ht="14.25" customHeight="1" x14ac:dyDescent="0.3">
      <c r="A918" s="15"/>
      <c r="B918" s="15"/>
      <c r="C918" s="15"/>
      <c r="D918" s="15"/>
      <c r="E918" s="14"/>
    </row>
    <row r="919" spans="1:5" ht="14.25" customHeight="1" x14ac:dyDescent="0.3">
      <c r="A919" s="15"/>
      <c r="B919" s="15"/>
      <c r="C919" s="15"/>
      <c r="D919" s="15"/>
      <c r="E919" s="14"/>
    </row>
    <row r="920" spans="1:5" ht="14.25" customHeight="1" x14ac:dyDescent="0.3">
      <c r="A920" s="15"/>
      <c r="B920" s="15"/>
      <c r="C920" s="15"/>
      <c r="D920" s="15"/>
      <c r="E920" s="14"/>
    </row>
    <row r="921" spans="1:5" ht="14.25" customHeight="1" x14ac:dyDescent="0.3">
      <c r="A921" s="15"/>
      <c r="B921" s="15"/>
      <c r="C921" s="15"/>
      <c r="D921" s="15"/>
      <c r="E921" s="14"/>
    </row>
    <row r="922" spans="1:5" ht="14.25" customHeight="1" x14ac:dyDescent="0.3">
      <c r="A922" s="15"/>
      <c r="B922" s="15"/>
      <c r="C922" s="15"/>
      <c r="D922" s="15"/>
      <c r="E922" s="14"/>
    </row>
    <row r="923" spans="1:5" ht="14.25" customHeight="1" x14ac:dyDescent="0.3">
      <c r="A923" s="15"/>
      <c r="B923" s="15"/>
      <c r="C923" s="15"/>
      <c r="D923" s="15"/>
      <c r="E923" s="14"/>
    </row>
    <row r="924" spans="1:5" ht="14.25" customHeight="1" x14ac:dyDescent="0.3">
      <c r="A924" s="15"/>
      <c r="B924" s="15"/>
      <c r="C924" s="15"/>
      <c r="D924" s="15"/>
      <c r="E924" s="14"/>
    </row>
    <row r="925" spans="1:5" ht="14.25" customHeight="1" x14ac:dyDescent="0.3">
      <c r="A925" s="15"/>
      <c r="B925" s="15"/>
      <c r="C925" s="15"/>
      <c r="D925" s="15"/>
      <c r="E925" s="14"/>
    </row>
    <row r="926" spans="1:5" ht="14.25" customHeight="1" x14ac:dyDescent="0.3">
      <c r="A926" s="15"/>
      <c r="B926" s="15"/>
      <c r="C926" s="15"/>
      <c r="D926" s="15"/>
      <c r="E926" s="14"/>
    </row>
    <row r="927" spans="1:5" ht="14.25" customHeight="1" x14ac:dyDescent="0.3">
      <c r="A927" s="15"/>
      <c r="B927" s="15"/>
      <c r="C927" s="15"/>
      <c r="D927" s="15"/>
      <c r="E927" s="14"/>
    </row>
    <row r="928" spans="1:5" ht="14.25" customHeight="1" x14ac:dyDescent="0.3">
      <c r="A928" s="15"/>
      <c r="B928" s="15"/>
      <c r="C928" s="15"/>
      <c r="D928" s="15"/>
      <c r="E928" s="14"/>
    </row>
    <row r="929" spans="1:5" ht="14.25" customHeight="1" x14ac:dyDescent="0.3">
      <c r="A929" s="15"/>
      <c r="B929" s="15"/>
      <c r="C929" s="15"/>
      <c r="D929" s="15"/>
      <c r="E929" s="14"/>
    </row>
    <row r="930" spans="1:5" ht="14.25" customHeight="1" x14ac:dyDescent="0.3">
      <c r="A930" s="15"/>
      <c r="B930" s="15"/>
      <c r="C930" s="15"/>
      <c r="D930" s="15"/>
      <c r="E930" s="14"/>
    </row>
    <row r="931" spans="1:5" ht="14.25" customHeight="1" x14ac:dyDescent="0.3">
      <c r="A931" s="15"/>
      <c r="B931" s="15"/>
      <c r="C931" s="15"/>
      <c r="D931" s="15"/>
      <c r="E931" s="14"/>
    </row>
    <row r="932" spans="1:5" ht="14.25" customHeight="1" x14ac:dyDescent="0.3">
      <c r="A932" s="15"/>
      <c r="B932" s="15"/>
      <c r="C932" s="15"/>
      <c r="D932" s="15"/>
      <c r="E932" s="14"/>
    </row>
    <row r="933" spans="1:5" ht="14.25" customHeight="1" x14ac:dyDescent="0.3">
      <c r="A933" s="15"/>
      <c r="B933" s="15"/>
      <c r="C933" s="15"/>
      <c r="D933" s="15"/>
      <c r="E933" s="14"/>
    </row>
    <row r="934" spans="1:5" ht="14.25" customHeight="1" x14ac:dyDescent="0.3">
      <c r="A934" s="15"/>
      <c r="B934" s="15"/>
      <c r="C934" s="15"/>
      <c r="D934" s="15"/>
      <c r="E934" s="14"/>
    </row>
    <row r="935" spans="1:5" ht="14.25" customHeight="1" x14ac:dyDescent="0.3">
      <c r="A935" s="15"/>
      <c r="B935" s="15"/>
      <c r="C935" s="15"/>
      <c r="D935" s="15"/>
      <c r="E935" s="14"/>
    </row>
    <row r="936" spans="1:5" ht="14.25" customHeight="1" x14ac:dyDescent="0.3">
      <c r="A936" s="15"/>
      <c r="B936" s="15"/>
      <c r="C936" s="15"/>
      <c r="D936" s="15"/>
      <c r="E936" s="14"/>
    </row>
    <row r="937" spans="1:5" ht="14.25" customHeight="1" x14ac:dyDescent="0.3">
      <c r="A937" s="15"/>
      <c r="B937" s="15"/>
      <c r="C937" s="15"/>
      <c r="D937" s="15"/>
      <c r="E937" s="14"/>
    </row>
    <row r="938" spans="1:5" ht="14.25" customHeight="1" x14ac:dyDescent="0.3">
      <c r="A938" s="15"/>
      <c r="B938" s="15"/>
      <c r="C938" s="15"/>
      <c r="D938" s="15"/>
      <c r="E938" s="14"/>
    </row>
    <row r="939" spans="1:5" ht="14.25" customHeight="1" x14ac:dyDescent="0.3">
      <c r="A939" s="15"/>
      <c r="B939" s="15"/>
      <c r="C939" s="15"/>
      <c r="D939" s="15"/>
      <c r="E939" s="14"/>
    </row>
    <row r="940" spans="1:5" ht="14.25" customHeight="1" x14ac:dyDescent="0.3">
      <c r="A940" s="15"/>
      <c r="B940" s="15"/>
      <c r="C940" s="15"/>
      <c r="D940" s="15"/>
      <c r="E940" s="14"/>
    </row>
    <row r="941" spans="1:5" ht="14.25" customHeight="1" x14ac:dyDescent="0.3">
      <c r="A941" s="15"/>
      <c r="B941" s="15"/>
      <c r="C941" s="15"/>
      <c r="D941" s="15"/>
      <c r="E941" s="14"/>
    </row>
    <row r="942" spans="1:5" ht="14.25" customHeight="1" x14ac:dyDescent="0.3">
      <c r="A942" s="15"/>
      <c r="B942" s="15"/>
      <c r="C942" s="15"/>
      <c r="D942" s="15"/>
      <c r="E942" s="14"/>
    </row>
    <row r="943" spans="1:5" ht="14.25" customHeight="1" x14ac:dyDescent="0.3">
      <c r="A943" s="15"/>
      <c r="B943" s="15"/>
      <c r="C943" s="15"/>
      <c r="D943" s="15"/>
      <c r="E943" s="14"/>
    </row>
    <row r="944" spans="1:5" ht="14.25" customHeight="1" x14ac:dyDescent="0.3">
      <c r="A944" s="15"/>
      <c r="B944" s="15"/>
      <c r="C944" s="15"/>
      <c r="D944" s="15"/>
      <c r="E944" s="14"/>
    </row>
    <row r="945" spans="1:5" ht="14.25" customHeight="1" x14ac:dyDescent="0.3">
      <c r="A945" s="15"/>
      <c r="B945" s="15"/>
      <c r="C945" s="15"/>
      <c r="D945" s="15"/>
      <c r="E945" s="14"/>
    </row>
    <row r="946" spans="1:5" ht="14.25" customHeight="1" x14ac:dyDescent="0.3">
      <c r="A946" s="15"/>
      <c r="B946" s="15"/>
      <c r="C946" s="15"/>
      <c r="D946" s="15"/>
      <c r="E946" s="14"/>
    </row>
    <row r="947" spans="1:5" ht="14.25" customHeight="1" x14ac:dyDescent="0.3">
      <c r="A947" s="15"/>
      <c r="B947" s="15"/>
      <c r="C947" s="15"/>
      <c r="D947" s="15"/>
      <c r="E947" s="14"/>
    </row>
    <row r="948" spans="1:5" ht="14.25" customHeight="1" x14ac:dyDescent="0.3">
      <c r="A948" s="15"/>
      <c r="B948" s="15"/>
      <c r="C948" s="15"/>
      <c r="D948" s="15"/>
      <c r="E948" s="14"/>
    </row>
    <row r="949" spans="1:5" ht="14.25" customHeight="1" x14ac:dyDescent="0.3">
      <c r="A949" s="15"/>
      <c r="B949" s="15"/>
      <c r="C949" s="15"/>
      <c r="D949" s="15"/>
      <c r="E949" s="14"/>
    </row>
    <row r="950" spans="1:5" ht="14.25" customHeight="1" x14ac:dyDescent="0.3">
      <c r="A950" s="15"/>
      <c r="B950" s="15"/>
      <c r="C950" s="15"/>
      <c r="D950" s="15"/>
      <c r="E950" s="14"/>
    </row>
    <row r="951" spans="1:5" ht="14.25" customHeight="1" x14ac:dyDescent="0.3">
      <c r="A951" s="15"/>
      <c r="B951" s="15"/>
      <c r="C951" s="15"/>
      <c r="D951" s="15"/>
      <c r="E951" s="14"/>
    </row>
    <row r="952" spans="1:5" ht="14.25" customHeight="1" x14ac:dyDescent="0.3">
      <c r="A952" s="15"/>
      <c r="B952" s="15"/>
      <c r="C952" s="15"/>
      <c r="D952" s="15"/>
      <c r="E952" s="14"/>
    </row>
    <row r="953" spans="1:5" ht="14.25" customHeight="1" x14ac:dyDescent="0.3">
      <c r="A953" s="15"/>
      <c r="B953" s="15"/>
      <c r="C953" s="15"/>
      <c r="D953" s="15"/>
      <c r="E953" s="14"/>
    </row>
    <row r="954" spans="1:5" ht="14.25" customHeight="1" x14ac:dyDescent="0.3">
      <c r="A954" s="15"/>
      <c r="B954" s="15"/>
      <c r="C954" s="15"/>
      <c r="D954" s="15"/>
      <c r="E954" s="14"/>
    </row>
    <row r="955" spans="1:5" ht="14.25" customHeight="1" x14ac:dyDescent="0.3">
      <c r="A955" s="15"/>
      <c r="B955" s="15"/>
      <c r="C955" s="15"/>
      <c r="D955" s="15"/>
      <c r="E955" s="14"/>
    </row>
    <row r="956" spans="1:5" ht="14.25" customHeight="1" x14ac:dyDescent="0.3">
      <c r="A956" s="15"/>
      <c r="B956" s="15"/>
      <c r="C956" s="15"/>
      <c r="D956" s="15"/>
      <c r="E956" s="14"/>
    </row>
    <row r="957" spans="1:5" ht="14.25" customHeight="1" x14ac:dyDescent="0.3">
      <c r="A957" s="15"/>
      <c r="B957" s="15"/>
      <c r="C957" s="15"/>
      <c r="D957" s="15"/>
      <c r="E957" s="14"/>
    </row>
    <row r="958" spans="1:5" ht="14.25" customHeight="1" x14ac:dyDescent="0.3">
      <c r="A958" s="15"/>
      <c r="B958" s="15"/>
      <c r="C958" s="15"/>
      <c r="D958" s="15"/>
      <c r="E958" s="14"/>
    </row>
    <row r="959" spans="1:5" ht="14.25" customHeight="1" x14ac:dyDescent="0.3">
      <c r="A959" s="15"/>
      <c r="B959" s="15"/>
      <c r="C959" s="15"/>
      <c r="D959" s="15"/>
      <c r="E959" s="14"/>
    </row>
    <row r="960" spans="1:5" ht="14.25" customHeight="1" x14ac:dyDescent="0.3">
      <c r="A960" s="15"/>
      <c r="B960" s="15"/>
      <c r="C960" s="15"/>
      <c r="D960" s="15"/>
      <c r="E960" s="14"/>
    </row>
    <row r="961" spans="1:5" ht="14.25" customHeight="1" x14ac:dyDescent="0.3">
      <c r="A961" s="15"/>
      <c r="B961" s="15"/>
      <c r="C961" s="15"/>
      <c r="D961" s="15"/>
      <c r="E961" s="14"/>
    </row>
    <row r="962" spans="1:5" ht="14.25" customHeight="1" x14ac:dyDescent="0.3">
      <c r="A962" s="15"/>
      <c r="B962" s="15"/>
      <c r="C962" s="15"/>
      <c r="D962" s="15"/>
      <c r="E962" s="14"/>
    </row>
    <row r="963" spans="1:5" ht="14.25" customHeight="1" x14ac:dyDescent="0.3">
      <c r="A963" s="15"/>
      <c r="B963" s="15"/>
      <c r="C963" s="15"/>
      <c r="D963" s="15"/>
      <c r="E963" s="14"/>
    </row>
    <row r="964" spans="1:5" ht="14.25" customHeight="1" x14ac:dyDescent="0.3">
      <c r="A964" s="15"/>
      <c r="B964" s="15"/>
      <c r="C964" s="15"/>
      <c r="D964" s="15"/>
      <c r="E964" s="14"/>
    </row>
    <row r="965" spans="1:5" ht="14.25" customHeight="1" x14ac:dyDescent="0.3">
      <c r="A965" s="15"/>
      <c r="B965" s="15"/>
      <c r="C965" s="15"/>
      <c r="D965" s="15"/>
      <c r="E965" s="14"/>
    </row>
    <row r="966" spans="1:5" ht="14.25" customHeight="1" x14ac:dyDescent="0.3">
      <c r="A966" s="15"/>
      <c r="B966" s="15"/>
      <c r="C966" s="15"/>
      <c r="D966" s="15"/>
      <c r="E966" s="14"/>
    </row>
    <row r="967" spans="1:5" ht="14.25" customHeight="1" x14ac:dyDescent="0.3">
      <c r="A967" s="15"/>
      <c r="B967" s="15"/>
      <c r="C967" s="15"/>
      <c r="D967" s="15"/>
      <c r="E967" s="14"/>
    </row>
    <row r="968" spans="1:5" ht="14.25" customHeight="1" x14ac:dyDescent="0.3">
      <c r="A968" s="15"/>
      <c r="B968" s="15"/>
      <c r="C968" s="15"/>
      <c r="D968" s="15"/>
      <c r="E968" s="14"/>
    </row>
    <row r="969" spans="1:5" ht="14.25" customHeight="1" x14ac:dyDescent="0.3">
      <c r="A969" s="15"/>
      <c r="B969" s="15"/>
      <c r="C969" s="15"/>
      <c r="D969" s="15"/>
      <c r="E969" s="14"/>
    </row>
    <row r="970" spans="1:5" ht="14.25" customHeight="1" x14ac:dyDescent="0.3">
      <c r="A970" s="15"/>
      <c r="B970" s="15"/>
      <c r="C970" s="15"/>
      <c r="D970" s="15"/>
      <c r="E970" s="14"/>
    </row>
    <row r="971" spans="1:5" ht="14.25" customHeight="1" x14ac:dyDescent="0.3">
      <c r="A971" s="15"/>
      <c r="B971" s="15"/>
      <c r="C971" s="15"/>
      <c r="D971" s="15"/>
      <c r="E971" s="14"/>
    </row>
    <row r="972" spans="1:5" ht="14.25" customHeight="1" x14ac:dyDescent="0.3">
      <c r="A972" s="15"/>
      <c r="B972" s="15"/>
      <c r="C972" s="15"/>
      <c r="D972" s="15"/>
      <c r="E972" s="14"/>
    </row>
    <row r="973" spans="1:5" ht="14.25" customHeight="1" x14ac:dyDescent="0.3">
      <c r="A973" s="15"/>
      <c r="B973" s="15"/>
      <c r="C973" s="15"/>
      <c r="D973" s="15"/>
      <c r="E973" s="14"/>
    </row>
    <row r="974" spans="1:5" ht="14.25" customHeight="1" x14ac:dyDescent="0.3">
      <c r="A974" s="15"/>
      <c r="B974" s="15"/>
      <c r="C974" s="15"/>
      <c r="D974" s="15"/>
      <c r="E974" s="14"/>
    </row>
    <row r="975" spans="1:5" ht="14.25" customHeight="1" x14ac:dyDescent="0.3">
      <c r="A975" s="15"/>
      <c r="B975" s="15"/>
      <c r="C975" s="15"/>
      <c r="D975" s="15"/>
      <c r="E975" s="14"/>
    </row>
    <row r="976" spans="1:5" ht="14.25" customHeight="1" x14ac:dyDescent="0.3">
      <c r="A976" s="15"/>
      <c r="B976" s="15"/>
      <c r="C976" s="15"/>
      <c r="D976" s="15"/>
      <c r="E976" s="14"/>
    </row>
    <row r="977" spans="1:5" ht="14.25" customHeight="1" x14ac:dyDescent="0.3">
      <c r="A977" s="15"/>
      <c r="B977" s="15"/>
      <c r="C977" s="15"/>
      <c r="D977" s="15"/>
      <c r="E977" s="14"/>
    </row>
    <row r="978" spans="1:5" ht="14.25" customHeight="1" x14ac:dyDescent="0.3">
      <c r="A978" s="15"/>
      <c r="B978" s="15"/>
      <c r="C978" s="15"/>
      <c r="D978" s="15"/>
      <c r="E978" s="14"/>
    </row>
    <row r="979" spans="1:5" ht="14.25" customHeight="1" x14ac:dyDescent="0.3">
      <c r="A979" s="15"/>
      <c r="B979" s="15"/>
      <c r="C979" s="15"/>
      <c r="D979" s="15"/>
      <c r="E979" s="14"/>
    </row>
    <row r="980" spans="1:5" ht="14.25" customHeight="1" x14ac:dyDescent="0.3">
      <c r="A980" s="15"/>
      <c r="B980" s="15"/>
      <c r="C980" s="15"/>
      <c r="D980" s="15"/>
      <c r="E980" s="14"/>
    </row>
    <row r="981" spans="1:5" ht="14.25" customHeight="1" x14ac:dyDescent="0.3">
      <c r="A981" s="15"/>
      <c r="B981" s="15"/>
      <c r="C981" s="15"/>
      <c r="D981" s="15"/>
      <c r="E981" s="14"/>
    </row>
    <row r="982" spans="1:5" ht="14.25" customHeight="1" x14ac:dyDescent="0.3">
      <c r="A982" s="15"/>
      <c r="B982" s="15"/>
      <c r="C982" s="15"/>
      <c r="D982" s="15"/>
      <c r="E982" s="14"/>
    </row>
    <row r="983" spans="1:5" ht="14.25" customHeight="1" x14ac:dyDescent="0.3">
      <c r="A983" s="15"/>
      <c r="B983" s="15"/>
      <c r="C983" s="15"/>
      <c r="D983" s="15"/>
      <c r="E983" s="14"/>
    </row>
    <row r="984" spans="1:5" ht="14.25" customHeight="1" x14ac:dyDescent="0.3">
      <c r="A984" s="15"/>
      <c r="B984" s="15"/>
      <c r="C984" s="15"/>
      <c r="D984" s="15"/>
      <c r="E984" s="14"/>
    </row>
    <row r="985" spans="1:5" ht="14.25" customHeight="1" x14ac:dyDescent="0.3">
      <c r="A985" s="15"/>
      <c r="B985" s="15"/>
      <c r="C985" s="15"/>
      <c r="D985" s="15"/>
      <c r="E985" s="14"/>
    </row>
    <row r="986" spans="1:5" ht="14.25" customHeight="1" x14ac:dyDescent="0.3">
      <c r="A986" s="15"/>
      <c r="B986" s="15"/>
      <c r="C986" s="15"/>
      <c r="D986" s="15"/>
      <c r="E986" s="14"/>
    </row>
    <row r="987" spans="1:5" ht="14.25" customHeight="1" x14ac:dyDescent="0.3">
      <c r="A987" s="15"/>
      <c r="B987" s="15"/>
      <c r="C987" s="15"/>
      <c r="D987" s="15"/>
      <c r="E987" s="14"/>
    </row>
    <row r="988" spans="1:5" ht="14.25" customHeight="1" x14ac:dyDescent="0.3">
      <c r="A988" s="15"/>
      <c r="B988" s="15"/>
      <c r="C988" s="15"/>
      <c r="D988" s="15"/>
      <c r="E988" s="14"/>
    </row>
    <row r="989" spans="1:5" ht="14.25" customHeight="1" x14ac:dyDescent="0.3">
      <c r="A989" s="15"/>
      <c r="B989" s="15"/>
      <c r="C989" s="15"/>
      <c r="D989" s="15"/>
      <c r="E989" s="14"/>
    </row>
    <row r="990" spans="1:5" ht="14.25" customHeight="1" x14ac:dyDescent="0.3">
      <c r="A990" s="15"/>
      <c r="B990" s="15"/>
      <c r="C990" s="15"/>
      <c r="D990" s="15"/>
      <c r="E990" s="14"/>
    </row>
    <row r="991" spans="1:5" ht="14.25" customHeight="1" x14ac:dyDescent="0.3">
      <c r="A991" s="15"/>
      <c r="B991" s="15"/>
      <c r="C991" s="15"/>
      <c r="D991" s="15"/>
      <c r="E991" s="14"/>
    </row>
    <row r="992" spans="1:5" ht="14.25" customHeight="1" x14ac:dyDescent="0.3">
      <c r="A992" s="15"/>
      <c r="B992" s="15"/>
      <c r="C992" s="15"/>
      <c r="D992" s="15"/>
      <c r="E992" s="14"/>
    </row>
    <row r="993" spans="1:5" ht="14.25" customHeight="1" x14ac:dyDescent="0.3">
      <c r="A993" s="15"/>
      <c r="B993" s="15"/>
      <c r="C993" s="15"/>
      <c r="D993" s="15"/>
      <c r="E993" s="14"/>
    </row>
    <row r="994" spans="1:5" ht="14.25" customHeight="1" x14ac:dyDescent="0.3">
      <c r="A994" s="15"/>
      <c r="B994" s="15"/>
      <c r="C994" s="15"/>
      <c r="D994" s="15"/>
      <c r="E994" s="14"/>
    </row>
    <row r="995" spans="1:5" ht="14.25" customHeight="1" x14ac:dyDescent="0.3">
      <c r="A995" s="15"/>
      <c r="B995" s="15"/>
      <c r="C995" s="15"/>
      <c r="D995" s="15"/>
      <c r="E995" s="14"/>
    </row>
    <row r="996" spans="1:5" ht="14.25" customHeight="1" x14ac:dyDescent="0.3">
      <c r="A996" s="15"/>
      <c r="B996" s="15"/>
      <c r="C996" s="15"/>
      <c r="D996" s="15"/>
      <c r="E996" s="14"/>
    </row>
    <row r="997" spans="1:5" ht="14.25" customHeight="1" x14ac:dyDescent="0.3">
      <c r="A997" s="15"/>
      <c r="B997" s="15"/>
      <c r="C997" s="15"/>
      <c r="D997" s="15"/>
      <c r="E997" s="14"/>
    </row>
    <row r="998" spans="1:5" ht="14.25" customHeight="1" x14ac:dyDescent="0.3">
      <c r="A998" s="15"/>
      <c r="B998" s="15"/>
      <c r="C998" s="15"/>
      <c r="D998" s="15"/>
      <c r="E998" s="14"/>
    </row>
    <row r="999" spans="1:5" ht="14.25" customHeight="1" x14ac:dyDescent="0.3">
      <c r="A999" s="15"/>
      <c r="B999" s="15"/>
      <c r="C999" s="15"/>
      <c r="D999" s="15"/>
      <c r="E999" s="14"/>
    </row>
    <row r="1000" spans="1:5" ht="14.25" customHeight="1" x14ac:dyDescent="0.3">
      <c r="A1000" s="15"/>
      <c r="B1000" s="15"/>
      <c r="C1000" s="15"/>
      <c r="D1000" s="15"/>
      <c r="E1000" s="14"/>
    </row>
  </sheetData>
  <conditionalFormatting sqref="A2:D500">
    <cfRule type="expression" dxfId="2" priority="2">
      <formula>AND(COUNTA($A2:$D2)&gt;0,A2="")</formula>
    </cfRule>
    <cfRule type="expression" dxfId="1" priority="3">
      <formula>AND($E2&lt;&gt;"",$E2&lt;&gt;"OK")</formula>
    </cfRule>
  </conditionalFormatting>
  <conditionalFormatting sqref="E2:E500">
    <cfRule type="expression" dxfId="0" priority="4">
      <formula>AND($E2&lt;&gt;"",$E2&lt;&gt;"OK")</formula>
    </cfRule>
  </conditionalFormatting>
  <dataValidations count="3">
    <dataValidation type="list" errorStyle="information" allowBlank="1" showInputMessage="1" errorTitle="Custom value accepted" error="A custom value is allowed. Choose an existing option or continue with your typed value." promptTitle="Search or add custom value" prompt="Type to search an existing option, or enter a new custom value if no match exists." sqref="A2:A500" xr:uid="{00000000-0002-0000-0A00-000000000000}">
      <formula1>dv_TeacherAbbr</formula1>
      <formula2>0</formula2>
    </dataValidation>
    <dataValidation type="list" errorStyle="information" allowBlank="1" showInputMessage="1" errorTitle="Custom value accepted" error="A custom value is allowed. Choose an existing option or continue with your typed value." promptTitle="Search or add custom value" prompt="Type to search an existing option, or enter a new custom value if no match exists." sqref="B2:B500" xr:uid="{00000000-0002-0000-0A00-000001000000}">
      <formula1>dv_Day</formula1>
      <formula2>0</formula2>
    </dataValidation>
    <dataValidation type="list" errorStyle="information" allowBlank="1" showInputMessage="1" errorTitle="Custom value accepted" error="A custom value is allowed. Choose an existing option or continue with your typed value." promptTitle="Search or add custom value" prompt="Type to search an existing option, or enter a new custom value if no match exists." sqref="C2:D500" xr:uid="{00000000-0002-0000-0A00-000002000000}">
      <formula1>dv_Time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Summary</vt:lpstr>
      <vt:lpstr>Lists</vt:lpstr>
      <vt:lpstr>Config</vt:lpstr>
      <vt:lpstr>Year_Sem</vt:lpstr>
      <vt:lpstr>Teachers</vt:lpstr>
      <vt:lpstr>Credit_Rules</vt:lpstr>
      <vt:lpstr>Courses</vt:lpstr>
      <vt:lpstr>Rooms</vt:lpstr>
      <vt:lpstr>Room_Preference</vt:lpstr>
      <vt:lpstr>Day_Preference</vt:lpstr>
      <vt:lpstr>Teacher_Unavailability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Alif Hossain</cp:lastModifiedBy>
  <cp:revision>0</cp:revision>
  <dcterms:created xsi:type="dcterms:W3CDTF">2026-08-16T04:28:56Z</dcterms:created>
  <dcterms:modified xsi:type="dcterms:W3CDTF">2026-08-17T06:49:56Z</dcterms:modified>
  <dc:language>en-US</dc:language>
</cp:coreProperties>
</file>